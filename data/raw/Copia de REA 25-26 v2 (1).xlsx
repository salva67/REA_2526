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Sar001132\Suscripcion_Diversos_Gcia_Seg_Grales\GRANIZO\Suscripcion\PRODUCCION\25-26\"/>
    </mc:Choice>
  </mc:AlternateContent>
  <xr:revisionPtr revIDLastSave="0" documentId="13_ncr:1_{D2C735E9-EBD5-4465-8EF3-6EAEE522C26B}" xr6:coauthVersionLast="47" xr6:coauthVersionMax="47" xr10:uidLastSave="{00000000-0000-0000-0000-000000000000}"/>
  <bookViews>
    <workbookView xWindow="-110" yWindow="-110" windowWidth="19420" windowHeight="11500" activeTab="1" xr2:uid="{D180D983-3F47-493F-8FE3-2A3879D90247}"/>
  </bookViews>
  <sheets>
    <sheet name="Hoja2" sheetId="4" r:id="rId1"/>
    <sheet name="25-26" sheetId="1" r:id="rId2"/>
    <sheet name="EMISION 31-3" sheetId="2" r:id="rId3"/>
    <sheet name="Hoja1" sheetId="3" r:id="rId4"/>
  </sheets>
  <definedNames>
    <definedName name="_xlnm._FilterDatabase" localSheetId="1" hidden="1">'25-26'!$A$5:$X$216</definedName>
    <definedName name="_xlnm._FilterDatabase" localSheetId="2" hidden="1">'EMISION 31-3'!$A$1:$AW$1364</definedName>
  </definedNames>
  <calcPr calcId="191029"/>
  <pivotCaches>
    <pivotCache cacheId="3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92" i="1" l="1"/>
  <c r="N92" i="1"/>
  <c r="O116" i="1"/>
  <c r="N116" i="1"/>
  <c r="O202" i="1"/>
  <c r="N202" i="1"/>
  <c r="V200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4" i="1" s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L4" i="1"/>
  <c r="K4" i="1"/>
  <c r="S4" i="1"/>
  <c r="F13" i="3"/>
  <c r="F14" i="3"/>
  <c r="F12" i="3"/>
  <c r="F10" i="3"/>
  <c r="T4" i="1" l="1"/>
  <c r="S3" i="1"/>
  <c r="H12" i="3" l="1"/>
  <c r="I1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tc={05737E36-0E55-48A6-9D54-54586673DA06}</author>
  </authors>
  <commentList>
    <comment ref="E1" authorId="0" shapeId="0" xr:uid="{05737E36-0E55-48A6-9D54-54586673DA0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Insertar TC que sale del total en $AR de nuestro archivo dividiendolo por el 100% en USD del archivo de Suyai </t>
      </text>
    </comment>
  </commentList>
</comments>
</file>

<file path=xl/sharedStrings.xml><?xml version="1.0" encoding="utf-8"?>
<sst xmlns="http://schemas.openxmlformats.org/spreadsheetml/2006/main" count="15889" uniqueCount="1939">
  <si>
    <t xml:space="preserve">IMPORTES EN USD CORRESPONDIENTES AL 100% </t>
  </si>
  <si>
    <t xml:space="preserve"> </t>
  </si>
  <si>
    <t>AÑO CONTRATO</t>
  </si>
  <si>
    <t>COSECHA</t>
  </si>
  <si>
    <t>COBERTURA</t>
  </si>
  <si>
    <t>CULTIVO</t>
  </si>
  <si>
    <t>PROVINCIA</t>
  </si>
  <si>
    <t>DEPARTAMENTO</t>
  </si>
  <si>
    <t>HAS</t>
  </si>
  <si>
    <t>PRIMA TC</t>
  </si>
  <si>
    <t>SUMA TC</t>
  </si>
  <si>
    <t xml:space="preserve">S. ASEG 100%- USD  </t>
  </si>
  <si>
    <t xml:space="preserve">PRIMA 100%- USD </t>
  </si>
  <si>
    <t>FINA</t>
  </si>
  <si>
    <t>BASICA</t>
  </si>
  <si>
    <t>TRIGO</t>
  </si>
  <si>
    <t>BUENOS AIRES</t>
  </si>
  <si>
    <t>9 DE JULIO</t>
  </si>
  <si>
    <t>25 DE MAYO</t>
  </si>
  <si>
    <t>ADOLFO ALSINA</t>
  </si>
  <si>
    <t>CHIVILCOY</t>
  </si>
  <si>
    <t>COLON</t>
  </si>
  <si>
    <t>EXALTACION DE LA CRUZ</t>
  </si>
  <si>
    <t>GENERAL VILLEGAS</t>
  </si>
  <si>
    <t>LINCOLN</t>
  </si>
  <si>
    <t>MAIPU</t>
  </si>
  <si>
    <t>PERGAMINO</t>
  </si>
  <si>
    <t>PUAN</t>
  </si>
  <si>
    <t>RAMALLO</t>
  </si>
  <si>
    <t>RIVADAVIA</t>
  </si>
  <si>
    <t>FINA OTROS</t>
  </si>
  <si>
    <t>BASICA + VIENTOS</t>
  </si>
  <si>
    <t>CORDOBA</t>
  </si>
  <si>
    <t>LA PAMPA</t>
  </si>
  <si>
    <t>SANTA FE</t>
  </si>
  <si>
    <t>GRUESA</t>
  </si>
  <si>
    <t>GIRASOL</t>
  </si>
  <si>
    <t>SAN LUIS</t>
  </si>
  <si>
    <t>MAIZ</t>
  </si>
  <si>
    <t>BRAGADO</t>
  </si>
  <si>
    <t>GUAMINI</t>
  </si>
  <si>
    <t>LOBERIA</t>
  </si>
  <si>
    <t>PEHUAJO</t>
  </si>
  <si>
    <t>ROJAS</t>
  </si>
  <si>
    <t>SALLIQUELLO</t>
  </si>
  <si>
    <t>TRES LOMAS</t>
  </si>
  <si>
    <t>TANDIL</t>
  </si>
  <si>
    <t>JUAREZ CELMAN</t>
  </si>
  <si>
    <t>PRESIDENTE ROQUE SAENZ PE¥A</t>
  </si>
  <si>
    <t>RIO CUARTO</t>
  </si>
  <si>
    <t>SAN JUSTO</t>
  </si>
  <si>
    <t>TERCERO ARRIBA</t>
  </si>
  <si>
    <t>UNION</t>
  </si>
  <si>
    <t>ATREUCO</t>
  </si>
  <si>
    <t>CAPITAL</t>
  </si>
  <si>
    <t>CHAPALEUFU</t>
  </si>
  <si>
    <t>CONHELLO</t>
  </si>
  <si>
    <t>MARACO</t>
  </si>
  <si>
    <t>QUEMU QUEMU</t>
  </si>
  <si>
    <t>CASEROS</t>
  </si>
  <si>
    <t>CONSTITUCION</t>
  </si>
  <si>
    <t>GENERAL LOPEZ</t>
  </si>
  <si>
    <t>IRIONDO</t>
  </si>
  <si>
    <t>SAN MARTIN</t>
  </si>
  <si>
    <t>SOJA</t>
  </si>
  <si>
    <t>CARLOS TEJEDOR</t>
  </si>
  <si>
    <t>CORONEL SUAREZ</t>
  </si>
  <si>
    <t>GENERAL PINTO</t>
  </si>
  <si>
    <t>GENERAL ROCA</t>
  </si>
  <si>
    <t>GENERAL SAN MARTIN</t>
  </si>
  <si>
    <t>RIO TERCERO</t>
  </si>
  <si>
    <t>BELGRANO</t>
  </si>
  <si>
    <t>OLAVARRIA</t>
  </si>
  <si>
    <t>SAAVEDRA</t>
  </si>
  <si>
    <t>NRO POLIZA</t>
  </si>
  <si>
    <t>NRO POLIZA TRN</t>
  </si>
  <si>
    <t>ANULADA?</t>
  </si>
  <si>
    <t>DOCUMENTO</t>
  </si>
  <si>
    <t>ASEGURADO</t>
  </si>
  <si>
    <t>LOCALIDAD</t>
  </si>
  <si>
    <t>NOMBRE DEPTO</t>
  </si>
  <si>
    <t>CPOSTAL</t>
  </si>
  <si>
    <t>DESCR.PROVINCIA</t>
  </si>
  <si>
    <t>PRODUCTOR</t>
  </si>
  <si>
    <t>NOMBRE PRODUCTOR</t>
  </si>
  <si>
    <t>RIESGO</t>
  </si>
  <si>
    <t>PRIMA</t>
  </si>
  <si>
    <t>SUMA ASEGURADA</t>
  </si>
  <si>
    <t>CANT.HAS</t>
  </si>
  <si>
    <t>SA_X_HAS</t>
  </si>
  <si>
    <t>MONEDA</t>
  </si>
  <si>
    <t>TIPO CAMBIO</t>
  </si>
  <si>
    <t>QUINTAL</t>
  </si>
  <si>
    <t>COTIZ.QUINTAL</t>
  </si>
  <si>
    <t>SUMA ASEGURADA TC</t>
  </si>
  <si>
    <t>SA_X_HAS_TC</t>
  </si>
  <si>
    <t>PLAN PAGO</t>
  </si>
  <si>
    <t>VIGENCIA</t>
  </si>
  <si>
    <t>VENCIMIENTO</t>
  </si>
  <si>
    <t>CANT.SINI.</t>
  </si>
  <si>
    <t>PRIMA COMIS. ORI.</t>
  </si>
  <si>
    <t>PRIMA RECARGOS ORI.</t>
  </si>
  <si>
    <t>PRIMA COMIS. $</t>
  </si>
  <si>
    <t>PRIMA RECARGOS $</t>
  </si>
  <si>
    <t>REC.FIN. $</t>
  </si>
  <si>
    <t>IMPUESTO $</t>
  </si>
  <si>
    <t>BONIF. $</t>
  </si>
  <si>
    <t>PREMIO $</t>
  </si>
  <si>
    <t>GESTOR COBRO</t>
  </si>
  <si>
    <t>% COMISION</t>
  </si>
  <si>
    <t>IMP COMISION</t>
  </si>
  <si>
    <t>IMP COMIS TC</t>
  </si>
  <si>
    <t>OBS REA</t>
  </si>
  <si>
    <t>CAPITAL CEDIDO</t>
  </si>
  <si>
    <t>PRIMA CEDIDA</t>
  </si>
  <si>
    <t>CAPITAL CEDIDO TC</t>
  </si>
  <si>
    <t>PRIMA CEDIDA TC</t>
  </si>
  <si>
    <t xml:space="preserve"> NUEVOS VIENTOS S.R.L.</t>
  </si>
  <si>
    <t>CARIDDI, PABLO MARTIN</t>
  </si>
  <si>
    <t>G</t>
  </si>
  <si>
    <t>MAIZ II - CAMPO FRANCO - 135 HAS</t>
  </si>
  <si>
    <t>N</t>
  </si>
  <si>
    <t>AG</t>
  </si>
  <si>
    <t>PAOLUCCI CRISTIAN GERMAN</t>
  </si>
  <si>
    <t>CASELGRANDI, OSCAR JOSE</t>
  </si>
  <si>
    <t>F</t>
  </si>
  <si>
    <t>TRIGO - CAMPO BOSARELLI - 33 HAS</t>
  </si>
  <si>
    <t>S</t>
  </si>
  <si>
    <t xml:space="preserve"> AGROPAOLUCCI DE PAOLUCCI CRISTIAN Y PAOLUCCI CAROL</t>
  </si>
  <si>
    <t>TRIGO - CAMPO LOS INDIOS - 22 HAS</t>
  </si>
  <si>
    <t>LEDESMA IGNACIO JOSE</t>
  </si>
  <si>
    <t>SANTA REGINA</t>
  </si>
  <si>
    <t>MAGRIS, OSCAR ROMANO</t>
  </si>
  <si>
    <t>TRIGO - CAMPO RANCHO CHICO - 316 HAS</t>
  </si>
  <si>
    <t>HELA</t>
  </si>
  <si>
    <t>CENTENO - CAMPO RANCHO CHICO - 10 HAS</t>
  </si>
  <si>
    <t>LEDESMA CARLOS MARIA</t>
  </si>
  <si>
    <t>CENTENO - CAMPO RANCHO CHICO -10 HAS</t>
  </si>
  <si>
    <t>DEGRATI PABLO ANDRES</t>
  </si>
  <si>
    <t>MARIA SUSANA</t>
  </si>
  <si>
    <t>MIRABET, PABLO</t>
  </si>
  <si>
    <t>TRIGO - CAMPO ELISA - 64 HAS</t>
  </si>
  <si>
    <t>MIRABET PABLO</t>
  </si>
  <si>
    <t>SASTRE</t>
  </si>
  <si>
    <t>TRIGO - CAMPO PROPIO - 62 HAS</t>
  </si>
  <si>
    <t>TRIGO - CAMPO CUIA - 15 HAS</t>
  </si>
  <si>
    <t xml:space="preserve"> CHIOTTI SERGIO R. ARIEL Y BERNARDO A. SH</t>
  </si>
  <si>
    <t>TRIGO - CAMPO CANAL - 134 HAS</t>
  </si>
  <si>
    <t>CIEF RAFAEL</t>
  </si>
  <si>
    <t>TRIGO - CAMPO FLOCCO - 64 HAS</t>
  </si>
  <si>
    <t>TRIGO - CAMPO LOS OLMOS - 13 HAS</t>
  </si>
  <si>
    <t>TRIGO - CAMPO CHANCHERIA - 11 HAS</t>
  </si>
  <si>
    <t>TRIGO - CAMPO TANO - 50 HAS</t>
  </si>
  <si>
    <t xml:space="preserve"> LA CUEVA DEL OSO S.A</t>
  </si>
  <si>
    <t>GRAL.ARENALES</t>
  </si>
  <si>
    <t>GENERAL ARENALES</t>
  </si>
  <si>
    <t>TESSADRO, ANGEL LUIS</t>
  </si>
  <si>
    <t>TRIGO - CAMPO SCACHERI - 73 HAS</t>
  </si>
  <si>
    <t xml:space="preserve"> ESTABLECIMIENTO DON CIRILO SAS</t>
  </si>
  <si>
    <t>LABOULAYE</t>
  </si>
  <si>
    <t>TRIGO - CAMPO CHACRA NORTE - 102 HAS</t>
  </si>
  <si>
    <t>FRAN</t>
  </si>
  <si>
    <t xml:space="preserve"> DEJAVU SOCIEDAD ANONIMA</t>
  </si>
  <si>
    <t>LABOULAGE</t>
  </si>
  <si>
    <t>TRIGO - CAMPO LA CAUTIVA - 75 HAS</t>
  </si>
  <si>
    <t>BONINO GUILLERMO</t>
  </si>
  <si>
    <t>LAS VARILLAS</t>
  </si>
  <si>
    <t>TRIGO - CAMPO BONINO - 64 HAS</t>
  </si>
  <si>
    <t xml:space="preserve"> CAMPO SAUCE S.A.</t>
  </si>
  <si>
    <t>SALDUNGARAY</t>
  </si>
  <si>
    <t>TORNQUIST</t>
  </si>
  <si>
    <t>SALVI, EDUARDO</t>
  </si>
  <si>
    <t>TRIGO - CAMPO DON OSCAR - 110 HAS</t>
  </si>
  <si>
    <t xml:space="preserve"> ALTOLAGUIRRE Joaqu¡n, Jos‚ Mar¡a y Ana Josefa</t>
  </si>
  <si>
    <t>HERNANDO</t>
  </si>
  <si>
    <t>LENARDUZZI, NELSON HECTOR</t>
  </si>
  <si>
    <t>TRIGO - CAMPO HERNANDO - 156 HAS</t>
  </si>
  <si>
    <t xml:space="preserve"> RATTO SANTIAGO Y CIA S.CAP I SECC IV</t>
  </si>
  <si>
    <t>JUNIN</t>
  </si>
  <si>
    <t>DI CAPUA, JUAN PABLO</t>
  </si>
  <si>
    <t>TRIGO - CAMPO EL RECUERDO - 50 HAS</t>
  </si>
  <si>
    <t>MUTTIGLIENGO MARCELO</t>
  </si>
  <si>
    <t>COLONIA SAN BARTOLOME</t>
  </si>
  <si>
    <t>ELLENA, JOSE LUIS</t>
  </si>
  <si>
    <t>TRIGO - CAMPO CAMANDONA - 37 HAS</t>
  </si>
  <si>
    <t>TRIGO - CAMPO CHIAVASSA - 50 HAS</t>
  </si>
  <si>
    <t>TRIGO - CAMPO CHIAVASSA - 57 HAS</t>
  </si>
  <si>
    <t>RINALDI ANTONIO JOSE</t>
  </si>
  <si>
    <t>ABUD ANA EDITH</t>
  </si>
  <si>
    <t>CAMPO BOERO</t>
  </si>
  <si>
    <t>TRIGO - CAMPO ABUD 1 - 18 HAS</t>
  </si>
  <si>
    <t>TRIGO - CAMPO ABUD 2 - 64 HAS</t>
  </si>
  <si>
    <t>TRIGO - CAMPO ABUD - 63 HAS</t>
  </si>
  <si>
    <t>TRIGO - CAMPO ABUD - 40 HAS</t>
  </si>
  <si>
    <t>BONINO GUSTAVO MARCOS</t>
  </si>
  <si>
    <t>TRIGO - CAMPO BONINO - 65 HAS</t>
  </si>
  <si>
    <t>TRIGO - CAMPO MAGARIO - 30 HAS</t>
  </si>
  <si>
    <t xml:space="preserve"> SANTA ANA SH</t>
  </si>
  <si>
    <t>VILLA RAMALLO</t>
  </si>
  <si>
    <t>ESCALANTE, GUILLERMO LUCIO</t>
  </si>
  <si>
    <t>CEBADA - CAMPO  PASCUALI ALDA - 23 HAS</t>
  </si>
  <si>
    <t>CEBADA - CAMPO CENTOFANTE MUTTI - 22 HAS</t>
  </si>
  <si>
    <t>GARCIA MARIANO</t>
  </si>
  <si>
    <t>CEBADA - CAMPO MUTT - 30 HAS</t>
  </si>
  <si>
    <t>GUTIERREZ EZEQUEL RAUL</t>
  </si>
  <si>
    <t>CEBADA - CAMPO LA VIOLETA - 19 HAS</t>
  </si>
  <si>
    <t>PICINI MARIA MERCEDES</t>
  </si>
  <si>
    <t>CEBADA - CAMPO AUTOPISTA - 22 HAS</t>
  </si>
  <si>
    <t>BRACALENTTI IVAN ALEJANDRO</t>
  </si>
  <si>
    <t>CEBADA - CAMPO PEREZ MICHO - 35 HAS</t>
  </si>
  <si>
    <t>CEBADA - MATOVICH FEED LOT  - 25 HAS</t>
  </si>
  <si>
    <t>DONOFRIO RAUL</t>
  </si>
  <si>
    <t>LOS QUIRQUINCHOS</t>
  </si>
  <si>
    <t>LUNA MARIONI, GONZALO JAVIER</t>
  </si>
  <si>
    <t>TRIGO - CAMPO DONOFRIO - 10 HAS</t>
  </si>
  <si>
    <t>TRIGO - CAMPO DONOFRIO 2 - 31 HAS</t>
  </si>
  <si>
    <t>ABUD ALBERTO JORGE</t>
  </si>
  <si>
    <t>TRIGO- CAMPO ABUD - 63 HAS</t>
  </si>
  <si>
    <t xml:space="preserve"> CRIOLANI AGROPECUARIA S.A.</t>
  </si>
  <si>
    <t>TOTORAS</t>
  </si>
  <si>
    <t>JAIME, LEANDRO OSCAR</t>
  </si>
  <si>
    <t>TRIGO- CAMPO LAS MARIAS LOTE 5-6-7  - 48 HAS</t>
  </si>
  <si>
    <t>TRIGO - CAMPO TOTORAS BAJO - 14 HAS</t>
  </si>
  <si>
    <t>TRIGO - CAMPO LOTE BOSCHI - 21 HAS</t>
  </si>
  <si>
    <t>TRIGO - CAMPO CAPELLA - 86 HAS</t>
  </si>
  <si>
    <t xml:space="preserve"> OMBU VIEJO S.A</t>
  </si>
  <si>
    <t>EL TREBOL</t>
  </si>
  <si>
    <t>TRIGO - CAMPO PASCUAL -13 HAS</t>
  </si>
  <si>
    <t>TRIGO - CAMPO ROSSO - 9 HAS</t>
  </si>
  <si>
    <t>TRIGO - CAMPO ROSSO 1 - 17 HAS</t>
  </si>
  <si>
    <t>TRIGO - CAMPO REBOLA - 33 HAS</t>
  </si>
  <si>
    <t>RUSSO FAUSTINO</t>
  </si>
  <si>
    <t>SEMINARA, MARCOS MIGUEL</t>
  </si>
  <si>
    <t>TRIGO - CAMPO SAN EUSTAQUIO - 50 HAS</t>
  </si>
  <si>
    <t>TRIGO - CAMPO MARTINICO - 20 HAS</t>
  </si>
  <si>
    <t>TRIGO - CAMPO ROBERTS - 30 HAS</t>
  </si>
  <si>
    <t>TRIGO - CAMPO LOS DOS ABUELOS - 18 HAS</t>
  </si>
  <si>
    <t>TRIGO - CAMPO EST.VIGILANCIA - 42 HAS</t>
  </si>
  <si>
    <t>TRIGO - CAMPO CHACRA CRIADERO LINCOLN - 23 HAS</t>
  </si>
  <si>
    <t>TRIGO - CAMPO CUARTEL V .P.A. - 49 HAS</t>
  </si>
  <si>
    <t>RASPO LIANA MARIA</t>
  </si>
  <si>
    <t>CITERONI, CARLOS FRANCISCO</t>
  </si>
  <si>
    <t>TRIGO - CAMPO RASPO - 179 HAS</t>
  </si>
  <si>
    <t>CAPPELLO LUCAS</t>
  </si>
  <si>
    <t>DUSSAUD</t>
  </si>
  <si>
    <t>TRIGO - CAMPO DON PATRICIO - 137 HAS</t>
  </si>
  <si>
    <t>TRIGO - CAMPO SANTA VICTORIA L1/L2 - 150 HAS</t>
  </si>
  <si>
    <t>TRIGO - CAMPO EL PORVENIR - 120 HAS</t>
  </si>
  <si>
    <t>TRIGO - CAMPO LA FLORIDA L1//L2 -122 HAS</t>
  </si>
  <si>
    <t>VERKUYL SERGIO ANDRES</t>
  </si>
  <si>
    <t>GRAL.PINTO</t>
  </si>
  <si>
    <t>TRIGO - CAMPO LA FLORIDA L1/L2 - 122 HAS</t>
  </si>
  <si>
    <t>AZAR JORGE ALFREDO</t>
  </si>
  <si>
    <t xml:space="preserve"> WING AGRO S.R.L.</t>
  </si>
  <si>
    <t>TRIGO - CAMPO LOTE 1 - 100 HAS</t>
  </si>
  <si>
    <t>MORRA LUIS</t>
  </si>
  <si>
    <t>LAS ROSAS</t>
  </si>
  <si>
    <t>BALDO, HECTOR DAVID</t>
  </si>
  <si>
    <t>TRIGO - CAMPO MORRA - 46 HAS</t>
  </si>
  <si>
    <t>MAZZA CARLOS ANTONIO</t>
  </si>
  <si>
    <t>TRIGO - CAMPO MAZZA C.- 27 HAS</t>
  </si>
  <si>
    <t>DELLACELLA FABRISIO M.</t>
  </si>
  <si>
    <t>TRIGO - CAMPO DELLA CELLA - 66 HAS</t>
  </si>
  <si>
    <t>SAN LORENZO</t>
  </si>
  <si>
    <t>AVENA - CAMPO SULIVAN - 46 HAS</t>
  </si>
  <si>
    <t xml:space="preserve"> LAS ELOISAS S.A.</t>
  </si>
  <si>
    <t>RIO PRIMERO</t>
  </si>
  <si>
    <t>FAERHER, CAROLINA</t>
  </si>
  <si>
    <t>TRIGO - CAMPO SEGUN PLANO - 93 HAS</t>
  </si>
  <si>
    <t>RUMI ALBERTO TIMOTEO</t>
  </si>
  <si>
    <t>CAYADA SECA</t>
  </si>
  <si>
    <t>TRIGO - CAMPO DON TIMOTEO - 114 HAS</t>
  </si>
  <si>
    <t>DIRR PATRICIA ESTHER</t>
  </si>
  <si>
    <t>SAN MIGUEL ARCANGEL</t>
  </si>
  <si>
    <t>ECIOLAZA, FERNANDO ADRIAN</t>
  </si>
  <si>
    <t>CEBADA - CAMPO DON COSME - 40 HAS</t>
  </si>
  <si>
    <t>CEBADA - CAMPO GIRAUDO -25 HAS</t>
  </si>
  <si>
    <t>STOESSEL MAURO ANDRES</t>
  </si>
  <si>
    <t>DARREGUEIRA</t>
  </si>
  <si>
    <t>TRIGO - CAMPO STOESSEL - 85 HAS</t>
  </si>
  <si>
    <t>CEBADA - CAMPO STOESSEL - 54 HAS</t>
  </si>
  <si>
    <t xml:space="preserve"> TAUREL DE CANDIANI S.A.</t>
  </si>
  <si>
    <t>SERRANO</t>
  </si>
  <si>
    <t>TRIGO - CAMPO LA CODICIADA - 399,33 HAS</t>
  </si>
  <si>
    <t xml:space="preserve"> DON LERO S.A.</t>
  </si>
  <si>
    <t>TRIGO- CAMPO LA CLARITA - 73 HAS</t>
  </si>
  <si>
    <t>TRIGO - CAMPO LA CODICIADA - 221 HAS</t>
  </si>
  <si>
    <t xml:space="preserve"> ILLUMINATI HECTOR AURELIO E ILLUMINATI SARA MARTA</t>
  </si>
  <si>
    <t>TRIGO - CAMPO DON AURELIO - 184 HAS</t>
  </si>
  <si>
    <t xml:space="preserve"> EL PARAISO SERV.AGROPECUARIOS</t>
  </si>
  <si>
    <t>EL PARAISO (P  RAMALLO)</t>
  </si>
  <si>
    <t>ARVEJAS - CAMPO DAVEL - 57 HAS</t>
  </si>
  <si>
    <t xml:space="preserve"> LIO AURE AGROPECUARIA S.A.</t>
  </si>
  <si>
    <t>ARENAZA</t>
  </si>
  <si>
    <t>TRIGO - CAMPO DON AURELIO LOTE 10 - 39 HAS</t>
  </si>
  <si>
    <t>DAMIANI ROBERTO</t>
  </si>
  <si>
    <t>ESTANCIA SAN ANTONIO</t>
  </si>
  <si>
    <t>ROSARIO</t>
  </si>
  <si>
    <t>TOLOSA, PABLO EZEQUIEL</t>
  </si>
  <si>
    <t>TRIGO  - CAMPO DAMIANI - 18 HAS</t>
  </si>
  <si>
    <t xml:space="preserve"> SCACCIA DANIEL Y SCACCIA DIEGO S.H.</t>
  </si>
  <si>
    <t>LENTEJA - CAMPO SCACCIA - 30 HAS</t>
  </si>
  <si>
    <t>TRIGO - CAMPO SCACCIA - 23 HAS</t>
  </si>
  <si>
    <t>PERIN GASTON DARDO</t>
  </si>
  <si>
    <t>TRIGO - CAMPO CASTELAR - 100 HAS</t>
  </si>
  <si>
    <t>BOTTA EMILIANO</t>
  </si>
  <si>
    <t>TRIGO - CAMPO BOTTA - 75 HAS</t>
  </si>
  <si>
    <t>COMETTO DAVID</t>
  </si>
  <si>
    <t>TRIGO - CAMPO ORIHUELA - 80 HAS</t>
  </si>
  <si>
    <t xml:space="preserve"> TRANQUERAS S. R. L.</t>
  </si>
  <si>
    <t>TRIGO - CAMPO FORTALEZA - 150 HAS</t>
  </si>
  <si>
    <t>TRIGO - CAMPO LA REVANCHA - 50 HAS</t>
  </si>
  <si>
    <t>CERINO CESAR TITO</t>
  </si>
  <si>
    <t>TRANSITO</t>
  </si>
  <si>
    <t>TRIGO - CAMPO CERINO - 90 HAS</t>
  </si>
  <si>
    <t>CIPOLATTI CLEMAR CEFERINO</t>
  </si>
  <si>
    <t>LA TORDILLA</t>
  </si>
  <si>
    <t>TRIGO - CAMPO CIPOLATTI - 42 HAS</t>
  </si>
  <si>
    <t>CISMONDI PABLO</t>
  </si>
  <si>
    <t>LA FRANCIA</t>
  </si>
  <si>
    <t>TRIGO - CAMPO CISMONDI - 214 HAS</t>
  </si>
  <si>
    <t>BARONETO SERGIO</t>
  </si>
  <si>
    <t>BARONETTO DAMIAN ALEJANDRO</t>
  </si>
  <si>
    <t>TRIGO - CAMPO CISMONDI -214 HAS</t>
  </si>
  <si>
    <t xml:space="preserve"> DOSAM AGROPECUARIA S.A.</t>
  </si>
  <si>
    <t>COLONIA LUQUE</t>
  </si>
  <si>
    <t>, NORFOLK CONSULTING GROUP S.A.</t>
  </si>
  <si>
    <t>TRIGO - CAMPO EL ARGENTINO - 80 HAS</t>
  </si>
  <si>
    <t xml:space="preserve"> LA TAJADA SAACEI</t>
  </si>
  <si>
    <t>TRIGO -CAMPO NUESTRA PAMPA - 142,80</t>
  </si>
  <si>
    <t xml:space="preserve"> CARMONA INMOBILIARIA Y AGROPECUARIA SA</t>
  </si>
  <si>
    <t>TRIGO - CAMPO ESTANCIA LOS NOGALES - 216,50 HAS</t>
  </si>
  <si>
    <t>TRIGO - CAMPO ESTANCIA GUANACO - 293 HAS</t>
  </si>
  <si>
    <t>BOTTA NELSON RAUL</t>
  </si>
  <si>
    <t xml:space="preserve"> . JOSE DI TONDO E HIJOS  S.D.H</t>
  </si>
  <si>
    <t>TRIGO - CAMPO ROSSI - 60 HAS</t>
  </si>
  <si>
    <t xml:space="preserve"> EL VERGEL SRL</t>
  </si>
  <si>
    <t>TRIGO - CAMPO EL VERGEL - 140 HAS</t>
  </si>
  <si>
    <t>SERAFINI ALDO MARCELO</t>
  </si>
  <si>
    <t>MICOLINI, CARINA DEL VALLE</t>
  </si>
  <si>
    <t>TRIGO - CAMPO RAIMUNDI - 93 HAS</t>
  </si>
  <si>
    <t>TRIGO - CAMPO RANGEL - 93 HAS</t>
  </si>
  <si>
    <t>TRIGO - CAMPO PESANDO - 246 HAS</t>
  </si>
  <si>
    <t>TRIGO - CAMPO SERAFINI - 264 HAS</t>
  </si>
  <si>
    <t xml:space="preserve"> PALUCO S.A. </t>
  </si>
  <si>
    <t>TRIGO - CAMPO RIEGO COSTAMAGNA - 54 HAS</t>
  </si>
  <si>
    <t>ARVEJA - CAMPO RIEGO COSTAMAGNA - 162 HAS</t>
  </si>
  <si>
    <t xml:space="preserve"> PROYECCION ORIENTAL S.A.</t>
  </si>
  <si>
    <t>TRIGO - CAMPO RAIMUNDI - 180 HAS</t>
  </si>
  <si>
    <t>GARAT JUAN CARLOS</t>
  </si>
  <si>
    <t>TRIGO - CAMPO BERTIN - 96 HAS</t>
  </si>
  <si>
    <t>TRIGO - CAMPO GARCIA - 60 HAS</t>
  </si>
  <si>
    <t>TRIGO - CAMPO VIVES - 50 HAS</t>
  </si>
  <si>
    <t>TRIGO - CAMPO LAS TOTORAS - 50 HAS</t>
  </si>
  <si>
    <t>CEBADA - CAMPO BERTIN - 40 HAS</t>
  </si>
  <si>
    <t>VIEN</t>
  </si>
  <si>
    <t>CEBADA - CAMPO GARAT - 25 HAS</t>
  </si>
  <si>
    <t>CEBADA - CAMPO ESTEVEZ 1 - 50 HAS</t>
  </si>
  <si>
    <t>CEBADA - CAMPO ESTEVEZ 2 -70 HAS</t>
  </si>
  <si>
    <t>GONZALEZ BALCARCE JOSE</t>
  </si>
  <si>
    <t>VENADO TUERTO</t>
  </si>
  <si>
    <t>TRIGO - CAMPO LA RULETERA - 168,50 HAS</t>
  </si>
  <si>
    <t>TRIGO - CAMPO LA CHELITA - 342,50 HAS</t>
  </si>
  <si>
    <t xml:space="preserve"> LA CHELITA S.A</t>
  </si>
  <si>
    <t>SELLANES DAEL JERONIMO</t>
  </si>
  <si>
    <t>SAN MARCOS DE VENADO TUERTO</t>
  </si>
  <si>
    <t>TRIGO - CAMPO LA RULETERIA - 168,50</t>
  </si>
  <si>
    <t>AMERICA</t>
  </si>
  <si>
    <t xml:space="preserve"> AYM SERVICIOS AGROPECUARIOS S.R.L.</t>
  </si>
  <si>
    <t xml:space="preserve"> COBREROS S A</t>
  </si>
  <si>
    <t>QUEMU-QUEMU</t>
  </si>
  <si>
    <t>DAHIR, DANIEL ARMANDO</t>
  </si>
  <si>
    <t>TRIGO - CAMPO EL 10 DE JULIO - 160 HAS</t>
  </si>
  <si>
    <t>TRIGO - CAMPO LOS FRESNOS - 152 HAS</t>
  </si>
  <si>
    <t>TRIGO - CAMPO EL REPECHO - 85 HAS</t>
  </si>
  <si>
    <t>SELESAN ELEUTERIO DANIEL</t>
  </si>
  <si>
    <t>ESTEBAN A. GASCON</t>
  </si>
  <si>
    <t>CEBADA - CAMPO GORJON - 38 HAS</t>
  </si>
  <si>
    <t>CEBADA - CAMPO BUGNER - 66 HAS</t>
  </si>
  <si>
    <t>CEBADA - CAMPO GORJON - 28HAS</t>
  </si>
  <si>
    <t>TRIGO - CAMPO KLOSTER - 32 HAS</t>
  </si>
  <si>
    <t>IRAZOQUI RICARDO HECTOR</t>
  </si>
  <si>
    <t>CEBADA - CAMPO PUCHI - 173 HAS</t>
  </si>
  <si>
    <t>CEBADA - CAMPO EL POTRO - 567 HAS</t>
  </si>
  <si>
    <t>CEBADA - CAMPO EL CHAPARRAL - 92 HAS</t>
  </si>
  <si>
    <t>CEBADA - CAMPO NUEVO - 147 HAS</t>
  </si>
  <si>
    <t>CEBADA - CAMPO CASIQUE MARIANO - 360 HAS</t>
  </si>
  <si>
    <t>TRIGO - CAMPO EL POTRO - 432 HAS</t>
  </si>
  <si>
    <t>DARRAGUEIRA</t>
  </si>
  <si>
    <t>TRIGO - CAMPO NUEVO - 447 HAS</t>
  </si>
  <si>
    <t>TRIGO - CAMPO CASIQUE MARIANO - 1448 HAS</t>
  </si>
  <si>
    <t xml:space="preserve"> MANANTIAL 29 S.A.</t>
  </si>
  <si>
    <t>TRIGO - CAMPO EL TROMPO - 385 HAS</t>
  </si>
  <si>
    <t xml:space="preserve"> 26 DE ABRIL S.A.</t>
  </si>
  <si>
    <t xml:space="preserve"> GLMH SOCIEDAD POR ACCIONES SIMPLIFICADA</t>
  </si>
  <si>
    <t>EDUARDO CASTEX</t>
  </si>
  <si>
    <t>NAGEL, LEONARDO ARIEL</t>
  </si>
  <si>
    <t>TRIGO - CAMPO GLMH SAS -102 HAS</t>
  </si>
  <si>
    <t>TRIGO - CAMPO SUR - 65 HAS</t>
  </si>
  <si>
    <t>CEBADA - CAMPO SEGUN PLANO - 70 HAS</t>
  </si>
  <si>
    <t>GUATRACHE</t>
  </si>
  <si>
    <t>CEBADA - CAMPO LA ERNESTINA - 630 HAS</t>
  </si>
  <si>
    <t>SUCESION  DE DE BERNARDI JUAN ALBERTO</t>
  </si>
  <si>
    <t>WAGNER, ARIEL EDUARDO</t>
  </si>
  <si>
    <t>TRIGO - CAMPO LOTE 1 - 48 HAS</t>
  </si>
  <si>
    <t>CEBADA - CAMPO LOTE 1, 2, 3 - 70 HAS</t>
  </si>
  <si>
    <t>TRIGO - CAMPO LA ERNESTINA - 620 HAS</t>
  </si>
  <si>
    <t xml:space="preserve"> LA RAMALLERA SA</t>
  </si>
  <si>
    <t>CEBADA - CAMPO RAPOLLA - 56 HAS</t>
  </si>
  <si>
    <t>CEBADA - CAMPO RAVELLINO FRONTERA - 67 HAS</t>
  </si>
  <si>
    <t>CEBADA - CAMPO CAMPORA - 30 HAS</t>
  </si>
  <si>
    <t>OMBRONI HECTOR MARIO</t>
  </si>
  <si>
    <t>TRENEL</t>
  </si>
  <si>
    <t>TRIGO - CAMPO  ARATA - 100 HAS</t>
  </si>
  <si>
    <t xml:space="preserve"> LOS REARTES SOCIEDAD ANONIMA</t>
  </si>
  <si>
    <t>GENERAL LEVALLE</t>
  </si>
  <si>
    <t>SQUILARI, FABIO DAVID</t>
  </si>
  <si>
    <t>CENTENO - CAMPO DIAMANTE LOTE 4,16,1 - 235 HAS</t>
  </si>
  <si>
    <t>TERESZCZUK NATALIO RAUL</t>
  </si>
  <si>
    <t>CENTENO - CAMPO DIAMNTE LOTE 4,16,1 - 235 HAS</t>
  </si>
  <si>
    <t xml:space="preserve"> SEED AGRO S.R.L.</t>
  </si>
  <si>
    <t xml:space="preserve"> MIRGOR AGRO S.A.U.</t>
  </si>
  <si>
    <t>BOLIVAR</t>
  </si>
  <si>
    <t>, HECTOR MARTINEZ SOSA Y CIA. SA</t>
  </si>
  <si>
    <t>TRIGO - CAMPO SAUCE LOTE 3-5-6 - 165 HAS</t>
  </si>
  <si>
    <t xml:space="preserve"> ALEJANDRO EDUARDO DE ELIA Y MARIA NATALI DE ELIA S</t>
  </si>
  <si>
    <t>TRIGO - CAMPO ARATA - 100 HAS</t>
  </si>
  <si>
    <t>TORTORELLA MATIAS FABIAN</t>
  </si>
  <si>
    <t>INTENDENTE ALVEAR</t>
  </si>
  <si>
    <t>MURTA, MARIA VALERIA</t>
  </si>
  <si>
    <t>TRIGO - CAMPO LA NONA - 42 HAS</t>
  </si>
  <si>
    <t>VALONI CARLOS ALBERTO</t>
  </si>
  <si>
    <t>ROSALES</t>
  </si>
  <si>
    <t>TRIGO - CAMPO LA ESPERANZA - 40 HAS</t>
  </si>
  <si>
    <t xml:space="preserve"> TERRA SERV.AGROPECUARIOS S.R.L.</t>
  </si>
  <si>
    <t>JOVITA</t>
  </si>
  <si>
    <t>TRIGO - CAMPO JOVITA - 162 HAS</t>
  </si>
  <si>
    <t>VEGA MARIO</t>
  </si>
  <si>
    <t>TRIGO - CAMPO BAHAMAS - 118 HAS</t>
  </si>
  <si>
    <t>TRIGO - CAMPO PASCUALI CALLE - 35 HAS</t>
  </si>
  <si>
    <t>TRIGO - CAMPO PASCUALI CASA ARRIBA/GALLEGO - 23 HAS</t>
  </si>
  <si>
    <t>IGOILLO FACUNDO</t>
  </si>
  <si>
    <t>TRIGO - CAMPO CHIAPAROLLI - 40 HAS</t>
  </si>
  <si>
    <t>TRIGO - CAMPO EXPOAGRO - 55 HAS</t>
  </si>
  <si>
    <t>TRIGO - CAMPO PLANTA - 10 HAS</t>
  </si>
  <si>
    <t>TRIGO - CAMPO BETTINA ERRE ELE - 35 HAS</t>
  </si>
  <si>
    <t>TRIGO - CAMPO ADELA CATINI  - 32 HAS</t>
  </si>
  <si>
    <t xml:space="preserve"> DIESEL PETRILLI S.A.</t>
  </si>
  <si>
    <t>TRIGO - CAMPO PETRILLI - 45 HAS</t>
  </si>
  <si>
    <t>SUCESION DE GIACHINO NESTOR</t>
  </si>
  <si>
    <t>COLONIA LABORDEBOY</t>
  </si>
  <si>
    <t>TRIGO - CAMPO CHANCHERIA - 20 HAS</t>
  </si>
  <si>
    <t>TRIGO - CAMPO CASA 30 - 30 HAS</t>
  </si>
  <si>
    <t xml:space="preserve"> SAN JOSE AGRICOLA GANADERA S.A</t>
  </si>
  <si>
    <t>MELO</t>
  </si>
  <si>
    <t>TRIGO - CAMPO SOL DE MAYO - 180 HAS</t>
  </si>
  <si>
    <t>TRIGO - CAMPO LA LAGUNA - 146 HAS</t>
  </si>
  <si>
    <t>VILLA ROSSI</t>
  </si>
  <si>
    <t>TRIGO - CAMPO SAN EDUARDO - 200 HAS</t>
  </si>
  <si>
    <t>HIPOLITO BOUCHARD</t>
  </si>
  <si>
    <t>TRIGO - CAMPO DON LORENZO - 375 HAS</t>
  </si>
  <si>
    <t>TRIGO - CAMPO EPUMALAL  - 707 HAS</t>
  </si>
  <si>
    <t>CENTENO - CAMPO EPUMALAL - 50 HAS</t>
  </si>
  <si>
    <t>GIACHINO JAVIER</t>
  </si>
  <si>
    <t>TRIGO - CAMPO SALA - 26 HAS</t>
  </si>
  <si>
    <t>TRIGO - CAMPO ALDAZABAL - 17 HAS</t>
  </si>
  <si>
    <t>VAN DEURS ADRIANA MARIA</t>
  </si>
  <si>
    <t>TRIGO - CAMPO ESTANCIA VAN DEURS - 72 HAS</t>
  </si>
  <si>
    <t>TRIGO - CAMPO CHACRA - 22 HAS</t>
  </si>
  <si>
    <t>NUCIARI DARIO ANGEL</t>
  </si>
  <si>
    <t>TRIGO - CAMPO CHACRA 22 - 21 HAS</t>
  </si>
  <si>
    <t>TRIGO - CAMPO LA MARTA - 33 HAS</t>
  </si>
  <si>
    <t>TRIGO - CAMPO PEDRUELO - 30 HAS</t>
  </si>
  <si>
    <t>TRIGO - NAVARRO VELA  - 70 HAS</t>
  </si>
  <si>
    <t>TRIGO - CAMPO DEMARIA - 35 HAS</t>
  </si>
  <si>
    <t>TRIGO - CAMPO RICCO - 30 HAS</t>
  </si>
  <si>
    <t>TRIGO - CAMPO PAQUIONI - 28 HAS</t>
  </si>
  <si>
    <t>PEREZ ADRIAN</t>
  </si>
  <si>
    <t>TRIGO - CAMPO TRIANGULO - 21 HAS</t>
  </si>
  <si>
    <t>TRIGO - CAMPO CHACRA NANCY - 22 HAS</t>
  </si>
  <si>
    <t xml:space="preserve"> HARAS CONGREVE S.A.</t>
  </si>
  <si>
    <t>VICUNA MACKENNA</t>
  </si>
  <si>
    <t>TRIGO - CAMPO LA PERDIZ - 560 HAS</t>
  </si>
  <si>
    <t xml:space="preserve"> PERSICHINI ANTONIO Y PERSICHINI PEDRO</t>
  </si>
  <si>
    <t>PUEBLO NUEVO</t>
  </si>
  <si>
    <t>TRIGO - CAMPO PERSECHINI - 100 HAS</t>
  </si>
  <si>
    <t xml:space="preserve"> MODO SA</t>
  </si>
  <si>
    <t>TRIGO - CAMPO LOTE 3 - 47 HAS</t>
  </si>
  <si>
    <t>TRIGO - CAMPO LOTE 4 -44 HAS</t>
  </si>
  <si>
    <t>TRIGO - CAMPO LOTE STAPINATO PERUANA - 40 HAS</t>
  </si>
  <si>
    <t>TRIGO - CAMPO LOTE OLIVOS OESTE - 26 HAS</t>
  </si>
  <si>
    <t>TRIGO - LOTE OLIVOS ESTE -18 HAS</t>
  </si>
  <si>
    <t>TRIGO - CAMPO STAPINATTO 60 -64 HAS</t>
  </si>
  <si>
    <t>TRIGO - CAMPO COGGIOLA GRANDE - 36 HAS</t>
  </si>
  <si>
    <t>TRIGO - CAMPO COGGIOLA CHICO - 17 HAS</t>
  </si>
  <si>
    <t>MAIZ - CAMPO ABUELA - 60 HAS</t>
  </si>
  <si>
    <t>MAIZ - CAMPO SASTRE SUR - 30 HAS</t>
  </si>
  <si>
    <t>MAIZ - CAMPO LOTE 2  -38 HAS</t>
  </si>
  <si>
    <t>MAIZ - CAMPO FERRERO SAN JORGE -  25 HAS</t>
  </si>
  <si>
    <t>SOJA II - CAMPO EL TROMPO - 385 HAS</t>
  </si>
  <si>
    <t>SOJA II - CAMPO EL TROMPO -385 HAS</t>
  </si>
  <si>
    <t>SANTINELLI BRAIAN</t>
  </si>
  <si>
    <t>TRIGO -CAMPO RAVELLINO -71 HAS</t>
  </si>
  <si>
    <t>CUESTA JUAN MARTIN</t>
  </si>
  <si>
    <t>ALVAREZ</t>
  </si>
  <si>
    <t>MAIZ - CAMPO CUESTA - 25 HAS</t>
  </si>
  <si>
    <t xml:space="preserve"> COMPA¥ÖA DE INVERSION AGROPECUARIA</t>
  </si>
  <si>
    <t>TRIGO - CAMPO CAMPITO - 55 HAS</t>
  </si>
  <si>
    <t>TRIGO - CAMPO LA FAVORITA - 84 HAS</t>
  </si>
  <si>
    <t>CEBADA - CAMPO LA FAVORITA - 68 HAS</t>
  </si>
  <si>
    <t>CEBADA - CAMPO LA SALADA - 55 HAS</t>
  </si>
  <si>
    <t xml:space="preserve"> JM3 S.R.L.</t>
  </si>
  <si>
    <t>TRIGO - CAMPO LA CARLOTA 2A-2B - 90HAS</t>
  </si>
  <si>
    <t>TRIGO - CAMPO LA MARUCA 1-2 - 73 HAS</t>
  </si>
  <si>
    <t>TRIGO - CAMPO EL CHA¥AR BAJO VIA - 38 HAS</t>
  </si>
  <si>
    <t>TRIGO - EL CHA¥AR MEDIO LOMA - 88 HAS</t>
  </si>
  <si>
    <t>TRIGO - CAMPO LA ¥ATA L3 A-B, L4, L7, L8  - 236 HAS</t>
  </si>
  <si>
    <t>VERRA GERARDO ADRIAN</t>
  </si>
  <si>
    <t>TRIGO - CAMPO BONARDO - 45 HAS</t>
  </si>
  <si>
    <t>BELETTI EDMUNDO FELIX</t>
  </si>
  <si>
    <t>ARROYO CABRAL</t>
  </si>
  <si>
    <t>TRIGO - CAMPO COLONIA SAN LUCAS - 99 HAS</t>
  </si>
  <si>
    <t>TRIGO -CAMPO CRESPO - 71 HAS</t>
  </si>
  <si>
    <t>PROPERZI LUIS</t>
  </si>
  <si>
    <t>BERRETTA</t>
  </si>
  <si>
    <t>SIRONI, SEBASTIAN SANTIAGO</t>
  </si>
  <si>
    <t>TRIGO - CAMPO PROPERSI - 36 HAS</t>
  </si>
  <si>
    <t>SUCESION DE SCHIAVETTA PEDRO</t>
  </si>
  <si>
    <t>TRIGO - CAMPO SAN JUAN - 170 HAS</t>
  </si>
  <si>
    <t>TRIGO - CAMPO LA JULIA - 190 HAS</t>
  </si>
  <si>
    <t xml:space="preserve"> EL OMBU DE LINCOLN S.R.L.</t>
  </si>
  <si>
    <t>TRIGO - CAMPO CRUZ DE ORO - 202 HAS</t>
  </si>
  <si>
    <t>TRIGO - CAMPO CHALET -167 HAS</t>
  </si>
  <si>
    <t>TRIGO- CAMPO LOS ALAMOS (2,6,7 Y 8) - 156 HAS</t>
  </si>
  <si>
    <t>SOJA II - CAMPO CRUZ DE ORO - 202 HAS</t>
  </si>
  <si>
    <t>SOJA II - CAMPO CHALET - 167 HAS</t>
  </si>
  <si>
    <t>SOJA II - CAMPO LOS ALAMOS 2,6,7 Y 8 - 156 HAS</t>
  </si>
  <si>
    <t xml:space="preserve"> MIRACLE S.A.</t>
  </si>
  <si>
    <t>EL DORADO</t>
  </si>
  <si>
    <t>LEANDRO N. ALEM</t>
  </si>
  <si>
    <t>TRIGO - CAMPO TAMBO VIEJO -50 HAS</t>
  </si>
  <si>
    <t>TRIGO - CAMPO LA HILARIA - 83 HAS</t>
  </si>
  <si>
    <t>BADANO PABLO</t>
  </si>
  <si>
    <t>REGIS JUAN</t>
  </si>
  <si>
    <t>TRIGO - CAMPO TAMBO VIEJO - 50 HAS</t>
  </si>
  <si>
    <t xml:space="preserve"> ESTANCIA SAN ENRIQUE</t>
  </si>
  <si>
    <t>TRIGO - CAMPO LOTE 1 -48 HAS</t>
  </si>
  <si>
    <t>TRIGO - CAMPO LOTE 3 -47 HAS</t>
  </si>
  <si>
    <t>TRIGO - CAMPO LOTE 25 - 52 HAS</t>
  </si>
  <si>
    <t>TRIGO - CAMPO LOTE 26 - 53 HAS</t>
  </si>
  <si>
    <t>SOJA II - CAMPO LOTE 1 - 48 HAS</t>
  </si>
  <si>
    <t>SOJA II - CAMPO LOTE 3 -47 HAS</t>
  </si>
  <si>
    <t>SOJA II - CAMPO LOTE 25 - 52 HAS</t>
  </si>
  <si>
    <t>SOJA II - CAMPO LOTE 26 - 53 HAS</t>
  </si>
  <si>
    <t xml:space="preserve"> CAMPOS Y HACIENDAS DON JOAQUIN SOCIEDAD ANONIMA</t>
  </si>
  <si>
    <t>TRIGO - CAMPO AILLACO - 200 HAS</t>
  </si>
  <si>
    <t xml:space="preserve"> MARCOLINI HNOS S.A.</t>
  </si>
  <si>
    <t>TRIGO - CAMPO GARMENDIA LOTE 1 - 374 HAS</t>
  </si>
  <si>
    <t>CEBADA - CAMPO BUITRAGO LOTE 2 -198 HAS</t>
  </si>
  <si>
    <t>CEBADA - CAMPO GARMENDIA LOTE 3 - 37 HAS</t>
  </si>
  <si>
    <t>BARLOQUI ADRIAN OSCAR</t>
  </si>
  <si>
    <t>ARVEJAS - CAMPO TESSONE PARAISO - 25 HAS</t>
  </si>
  <si>
    <t>ARVEJAS - CAMPO MARCONE - 53 HAS</t>
  </si>
  <si>
    <t>ARVEJAS - CAMPO FAUSTO - 46 HAS</t>
  </si>
  <si>
    <t>ARVEJAS - CAMPO ANA MARIA - 52 HAS</t>
  </si>
  <si>
    <t>ARVEJAS - CAMPO BETINA DE LEONE - 70 HAS</t>
  </si>
  <si>
    <t>ARVEJAS - CAMPO TESSONE R-51 - 22 HAS</t>
  </si>
  <si>
    <t xml:space="preserve"> ALBIZU TAMAGNONE HNOS</t>
  </si>
  <si>
    <t>MOCOVI</t>
  </si>
  <si>
    <t>TRIGO - CAMPO EL TREBOL SUR - 120 HAS</t>
  </si>
  <si>
    <t>GARDES JULIANA</t>
  </si>
  <si>
    <t>TRIGO - CAMPO LE RETOUR - 81 HAS</t>
  </si>
  <si>
    <t xml:space="preserve"> CAMPO DON JUAN S.R.L.</t>
  </si>
  <si>
    <t>TRIGO - CAMPO DON JUAN - 195 HAS</t>
  </si>
  <si>
    <t>NOVO NESTOR RAéL</t>
  </si>
  <si>
    <t>TRIGO - CAMPO ZARATE - 30 HAS</t>
  </si>
  <si>
    <t>TRIGO - CAMPO SEIS DEDOS - 30 HAS</t>
  </si>
  <si>
    <t xml:space="preserve"> CALI OSCAR Y OMAR</t>
  </si>
  <si>
    <t>SOLDINI</t>
  </si>
  <si>
    <t>LENTEJA - CAMPO CALI - 15 HAS</t>
  </si>
  <si>
    <t>DE VALERIO EDGARDO</t>
  </si>
  <si>
    <t>FRAILE, LEONARDO OSCAR</t>
  </si>
  <si>
    <t>TRIGO - CAMPO LA NORMITA - 52 HAS</t>
  </si>
  <si>
    <t>MAIZ - CAMPO BOLATTI - 74 HAS</t>
  </si>
  <si>
    <t>MAIZ - CAMPO OLIVOS SUR - 40 HAS</t>
  </si>
  <si>
    <t>MAIZ - CAMPO CARGNOLINO - 40 HAS</t>
  </si>
  <si>
    <t xml:space="preserve"> LAU ARREBAK S.A</t>
  </si>
  <si>
    <t>DAIREAUX</t>
  </si>
  <si>
    <t>CEBADA - CAMPO LA ELVIRA - 230,10 HAS</t>
  </si>
  <si>
    <t>SANTA ISABEL (BOLIVAR-P  GRAL.</t>
  </si>
  <si>
    <t>CEBADA - CAMPO LAS CASUARINAS - 348 HAS</t>
  </si>
  <si>
    <t>TRIGO- LAS CASUARINAS - 559 HAS</t>
  </si>
  <si>
    <t>AGNELLO RENE</t>
  </si>
  <si>
    <t>TRIGO - CAMPO AGNELLO - 61 HAS</t>
  </si>
  <si>
    <t>CAMPISI NICOLAS RUBEN</t>
  </si>
  <si>
    <t>MAIZ - CAMPO BANCIOTTO - 65 HAS</t>
  </si>
  <si>
    <t>LONG NERINA ELSA</t>
  </si>
  <si>
    <t>MAIZ - CAMPO SAN MARTIN -32 HAS</t>
  </si>
  <si>
    <t>GIRASOL - CAMPO S.VICENTE - 78  HAS</t>
  </si>
  <si>
    <t xml:space="preserve"> A S GAZTAMBIDE S AAG C</t>
  </si>
  <si>
    <t>BENITO JUAREZ</t>
  </si>
  <si>
    <t>FREYRE, RUBEN HECTOR</t>
  </si>
  <si>
    <t>TRIGO - CAMPO LOTES 10-12-13 - 256 HAS</t>
  </si>
  <si>
    <t>CEBADA - LOTES 9-11-8-5 - 246 HAS</t>
  </si>
  <si>
    <t xml:space="preserve"> AGRO UNION VIKA SRL</t>
  </si>
  <si>
    <t>TRIGO - CAMPO PROPIO HERNANDO (LOTES 3 Y 5) -138 HAS</t>
  </si>
  <si>
    <t>PE¥ALOZA FLORINDO IGNACIO</t>
  </si>
  <si>
    <t>TRIGO - CAMPO PROPIO HERNANDO (LOTES 1 Y 2) - 149 HAS</t>
  </si>
  <si>
    <t>MAIZ - CAMPO CHACRA - 28 HAS</t>
  </si>
  <si>
    <t>MAIZ - CAMPO CALCATERRA OESTE - 65 HAS</t>
  </si>
  <si>
    <t>MAIZ - CAMPO DON JUAN - 45 HAS</t>
  </si>
  <si>
    <t>MAIZ - CAMPO LOS PINOS - 58 HAS</t>
  </si>
  <si>
    <t>MAIZ - CAMPO RASUAL - 95 HAS</t>
  </si>
  <si>
    <t>MAIZ - CAMPO RADONICH - 23 HAS</t>
  </si>
  <si>
    <t>ARROQUY JUAN MARTIN</t>
  </si>
  <si>
    <t>TRIGO - CAMPO LOTE 1 - 56 HAS</t>
  </si>
  <si>
    <t>TRIGO - CAMPO LOTE 2 - 53 HAS</t>
  </si>
  <si>
    <t>CEBADA - CAMPO LOTE 3 Y 4 -125 HAS</t>
  </si>
  <si>
    <t xml:space="preserve"> AGROPECUARIA JBS</t>
  </si>
  <si>
    <t>TRIGO - CAMPO FERRERO - 45 HAS</t>
  </si>
  <si>
    <t>TRIGO - CAMPO MAZZUCHI - 50 HAS</t>
  </si>
  <si>
    <t>AVENA - CAMPO COLLADO - 20 HAS</t>
  </si>
  <si>
    <t xml:space="preserve"> COMPA¥IA AGROGANADERA DEL SUD S A</t>
  </si>
  <si>
    <t>BALCARCE</t>
  </si>
  <si>
    <t>TRIGO - CAMPO LA MA¥ANITA - 195,30</t>
  </si>
  <si>
    <t>TRIGO - CAMPO MARIA LUISA - 148,50 HAS</t>
  </si>
  <si>
    <t>CEBADA - CAMPO LA MA¥ANITA - 162,20</t>
  </si>
  <si>
    <t>CEBADA - CAMPO MARIA LUISA - 132 HAS</t>
  </si>
  <si>
    <t>CEBADA - CAMPO TUNQUELEN - 87 HAS</t>
  </si>
  <si>
    <t>GIRASOL - CAMPO LOTES 1-2-3-4 - 127 HAS</t>
  </si>
  <si>
    <t>GIROTTI HORACIO ANDRES</t>
  </si>
  <si>
    <t>TRIGO - CAMPO EL FORTIN - 130 HAS</t>
  </si>
  <si>
    <t>TRIGO - CAMPO LA MOROCHA - 56 HAS</t>
  </si>
  <si>
    <t>GIRASOL -CAMPO LA MA¥ANITA - 102,70 HAS</t>
  </si>
  <si>
    <t xml:space="preserve"> SIEMBRA Y TRILLA S.A.S.</t>
  </si>
  <si>
    <t>DOMINGUEZ, CEFERINO JUAN CARLOS</t>
  </si>
  <si>
    <t>GIRASOL - CAMPO SIEMBRA Y TRILLA SAS - 50 HAS</t>
  </si>
  <si>
    <t>MAIZ - CAMPO SIEMBRA Y TRILLA SAS - 25 HAS</t>
  </si>
  <si>
    <t>MAIZ II - CAMPO SIEMBRA Y TRILLA SAS - 100 HAS</t>
  </si>
  <si>
    <t>SOLARI ALFREDO</t>
  </si>
  <si>
    <t>SALLIQUELO</t>
  </si>
  <si>
    <t>TRIGO - CAMPO EL CORDOBES - 173 HAS</t>
  </si>
  <si>
    <t>ELGUE MAURICIO ARIEL</t>
  </si>
  <si>
    <t>TRIGO - CAMPO EL FORTIN - 186 HAS</t>
  </si>
  <si>
    <t>GIULIANI EDGARDO ERNESTO</t>
  </si>
  <si>
    <t>REYNOSO JUAN MANUEL</t>
  </si>
  <si>
    <t>TRIGO - CAMPO TRIGO - 159 HAS</t>
  </si>
  <si>
    <t>LA CALIFORNIA</t>
  </si>
  <si>
    <t>MAIZ - CAMPO MORRA - 22 HAS</t>
  </si>
  <si>
    <t>GIRASOL - CAMPO CHIAVASSA - 50 HAS</t>
  </si>
  <si>
    <t>MAIZ - CAMPO CHIAVASSA - 47 HAS</t>
  </si>
  <si>
    <t xml:space="preserve"> LA HACIENDA S.R.L.</t>
  </si>
  <si>
    <t>CORDOBA, DANIEL NORBERTO</t>
  </si>
  <si>
    <t>TRIGO - CAMPO DON CONSTANCIO - 245 HAS</t>
  </si>
  <si>
    <t xml:space="preserve"> FIGISA SRL</t>
  </si>
  <si>
    <t>AVENA - CAMPO SANTA JOSEFA  LOTE 1 - 20 HAS</t>
  </si>
  <si>
    <t>CENTENO - CAMPO SANTA JOSEFA LOTE 5 -30 HAS</t>
  </si>
  <si>
    <t>ALCARAZ RUBEN ALONSO</t>
  </si>
  <si>
    <t>MARENGO, ESTEBAN</t>
  </si>
  <si>
    <t>GIRASOL -CAMPO DON DARIO - 45 HAS</t>
  </si>
  <si>
    <t>GIRASOL - CAMPO ALICIA - 83 HAS</t>
  </si>
  <si>
    <t>ARBUATTI FERNANDO</t>
  </si>
  <si>
    <t>TRIGO - CAMPO ARBUATTI/GLADYS ARIAS - 50 HAS</t>
  </si>
  <si>
    <t>TRIGO - CAMPO JAVIER OBLIGADO - 52 HAS</t>
  </si>
  <si>
    <t>TRIGO - CAMPO GIANNI/RIESCO - 124 HAS</t>
  </si>
  <si>
    <t>TRIGO - CAMPO PONGA - 10 HAS</t>
  </si>
  <si>
    <t xml:space="preserve"> AGROSILA</t>
  </si>
  <si>
    <t>CEBADA - CAMPO EL POTRERO - 644 HAS</t>
  </si>
  <si>
    <t>VIEN - HELA</t>
  </si>
  <si>
    <t>TRIGO -CAMPO EL POTRERO - 236 HAS</t>
  </si>
  <si>
    <t xml:space="preserve"> SANTA CANDELARIA S.R.L.</t>
  </si>
  <si>
    <t>TRIGO - CAMPO SANTA CATALINA - 108 HAS</t>
  </si>
  <si>
    <t xml:space="preserve"> ALBORADA SOC COLECTIVA</t>
  </si>
  <si>
    <t>TRIGO - CAMPO LA PRIMERA - 259 HAS</t>
  </si>
  <si>
    <t>TRIGO - CAMPO LESCANO - 70 HAS</t>
  </si>
  <si>
    <t>CEBADA - CAMPO LA PRIMERA - 200 HAS</t>
  </si>
  <si>
    <t>ARVEJAS  - CAMPO FER -20HAS</t>
  </si>
  <si>
    <t>ARVEJAS - CAMPO DENTO/COMP - 21 HAS</t>
  </si>
  <si>
    <t>ARVEJAS - CAMPO GUERRINA - 46 HAS</t>
  </si>
  <si>
    <t>KESSLER HUGO ALFREDO</t>
  </si>
  <si>
    <t>EL RECREO</t>
  </si>
  <si>
    <t>MAIZ II - CAMPO KESSLER - 100 HAS</t>
  </si>
  <si>
    <t>BOLES GUSTAVO JOSE</t>
  </si>
  <si>
    <t>TRIGO - CAMPO HUITRRU - 40 HAS</t>
  </si>
  <si>
    <t>ROIBAS LUIS ALBERTO</t>
  </si>
  <si>
    <t>ARVEJAS - CAMPO CHACRA - 40 HAS</t>
  </si>
  <si>
    <t>FEDERIGHI MARTIN ADRIAN</t>
  </si>
  <si>
    <t>ARVEJAS - CAMPO CHACRA  - 40 HAS</t>
  </si>
  <si>
    <t>TRAILL VERONICA</t>
  </si>
  <si>
    <t>MAIZ - CAMPO LOTE 3 - 70 HAS</t>
  </si>
  <si>
    <t>QUILLEHAUQUY JOSE MARIA</t>
  </si>
  <si>
    <t>ALONSO, JORGELINA</t>
  </si>
  <si>
    <t>TRIGO - CAMPO SAN ROBERTO - 60 HAS</t>
  </si>
  <si>
    <t xml:space="preserve"> AGRO 3 DE TANDIL SRL</t>
  </si>
  <si>
    <t>TRIGO - CAMPO NAPALEOFU - 131 HAS</t>
  </si>
  <si>
    <t>CEBADA - CAMPO NAPALEOFU - 271 HAS</t>
  </si>
  <si>
    <t xml:space="preserve"> BIDEGAIN HERMANOS S.H.</t>
  </si>
  <si>
    <t>SABATTINI, MARIA EUGENIA</t>
  </si>
  <si>
    <t>TRIGO -CAMPO SEGUN PLANO - 50 HAS</t>
  </si>
  <si>
    <t>TRIGO - CAMPO SEGUN PLANO - 35 HAS</t>
  </si>
  <si>
    <t>TRIGO - CAMPO SEGUN PLANO - 22 HAS</t>
  </si>
  <si>
    <t>TRIGO - CAMPO SEGUN PLANO - 170 HAS</t>
  </si>
  <si>
    <t>STROCCHI CARLOS</t>
  </si>
  <si>
    <t>LA CARLOTA</t>
  </si>
  <si>
    <t>STRATTA, FACUNDO</t>
  </si>
  <si>
    <t>MAIZ - CAMPO STROCCHI -100 HAS</t>
  </si>
  <si>
    <t>PETRAGLIA MARIANO</t>
  </si>
  <si>
    <t>ALTO ALEGRE (D  UNION)</t>
  </si>
  <si>
    <t>MAIZ - CAMPO PETRAGLIA - 70 HAS</t>
  </si>
  <si>
    <t>SOJA II - CAMPO SAN EUSTAQUIO - 50 HAS</t>
  </si>
  <si>
    <t>ENCINA</t>
  </si>
  <si>
    <t>SOJA II - CAMPO MARTINICO -20 HAS</t>
  </si>
  <si>
    <t>SOJA II - CAMPO ROBERTS - 30 HAS</t>
  </si>
  <si>
    <t>SOJA II - CAMPO LOS DOS ABUELOS - 18 HAS</t>
  </si>
  <si>
    <t>SOJA II - CAMPO EST.VIGILANCIA -42 HAS</t>
  </si>
  <si>
    <t>SOJA II - CAMPO CHACRA CRIADERO LINCOLN - 23 HAS</t>
  </si>
  <si>
    <t>SOJA II - CAMPO CUARTEL V  P.A  -49 HAS.</t>
  </si>
  <si>
    <t>MAIZ - CAMPO CATTANEO - 60 HAS</t>
  </si>
  <si>
    <t>MAIZ - CAMPO RODRIGUEZ - 24 HAS</t>
  </si>
  <si>
    <t>MAIZ - CAMPO RIVAS - 40 HAS</t>
  </si>
  <si>
    <t>FUMERO HUGO ROBERTO</t>
  </si>
  <si>
    <t>MAGOIA, JORGE PEDRO</t>
  </si>
  <si>
    <t>TRIGO - CAMPO HUGO - 60 HAS</t>
  </si>
  <si>
    <t>BONGIOVANNI MARTIN MARCELO</t>
  </si>
  <si>
    <t>TRIGO - CAMPO RUTA  - 92 HAS</t>
  </si>
  <si>
    <t>TRIGO - CAMPO CIRA - 115 HAS</t>
  </si>
  <si>
    <t>TRIGO - CAMPO EL RAULITO - 220 HAS</t>
  </si>
  <si>
    <t>DE FRANCESCO MARTIN</t>
  </si>
  <si>
    <t>TRIGO - CAMPO EL FORTIN -130 HAS</t>
  </si>
  <si>
    <t>GIUMELLI RUBEN OSVALDO</t>
  </si>
  <si>
    <t>CEBADA - CAMPO ARBILLA - 93 HAS</t>
  </si>
  <si>
    <t>CEBADA -CAMPO CALVO - 55 HAS</t>
  </si>
  <si>
    <t>CEBADA - CAMPO CLOTILDE - 66  HAS</t>
  </si>
  <si>
    <t>CEBADA - CAMPO DON CARLOS - 220 HAS</t>
  </si>
  <si>
    <t>CEBADA - CAMPO EBEN EZER - 121 HAS</t>
  </si>
  <si>
    <t>CEBADA - CAMPO ESTEVEZ - 250 HAS</t>
  </si>
  <si>
    <t>CEBADA - CAMPO MONTERO - 204 HAS</t>
  </si>
  <si>
    <t>TRIGO - CAMPO  CASA - 132 HAS</t>
  </si>
  <si>
    <t>TRIGO - CAMPO DON CARLOS - 59 HAS</t>
  </si>
  <si>
    <t>TRIGO - CAMPO LONG - 80 HAS</t>
  </si>
  <si>
    <t>TRIGO - CAMPO NUCCI - 112 HAS</t>
  </si>
  <si>
    <t>TRIGO - CAMPO PIZZANO - 333 HAS</t>
  </si>
  <si>
    <t xml:space="preserve"> GUSTAVO ROMERO S.R.L.</t>
  </si>
  <si>
    <t>ARCE, GUILLERMO</t>
  </si>
  <si>
    <t>TRIGO - CAMPO LA MISERICORDIA - 168 HAS</t>
  </si>
  <si>
    <t>GIRAUDO Ignacio Gabriel</t>
  </si>
  <si>
    <t>COLONIA SANTA TERESA</t>
  </si>
  <si>
    <t>CEBADA - CAMPO TAMBITO NORTE - 80 HAS</t>
  </si>
  <si>
    <t>CEBADA - CAMPO TAMBITO SUR - 100 HAS</t>
  </si>
  <si>
    <t>CEBADA - CAMPO  TAMBITO OESTE - 37 HAS</t>
  </si>
  <si>
    <t>CEBADA - CAMPO LA SALADA - 200 HAS</t>
  </si>
  <si>
    <t>CEBADA - CAMPO RUPPEL - 160 HAS</t>
  </si>
  <si>
    <t>CEBADA - CAMPO LA MARIA SUR - 193 HAS</t>
  </si>
  <si>
    <t>SPADA RODOLFO ANTONIO</t>
  </si>
  <si>
    <t>RUFINO</t>
  </si>
  <si>
    <t>MASITTI, LENA</t>
  </si>
  <si>
    <t>MAIZ - CAMPO LAS MARIAS - 25 HAS</t>
  </si>
  <si>
    <t>GIRASOL - CAMPO LOTES 6-7-8 -  171 HAS</t>
  </si>
  <si>
    <t>MAIZ - CAMPO MORRA - 15 HAS</t>
  </si>
  <si>
    <t>GORO FEDERICO</t>
  </si>
  <si>
    <t>SAN NICOLAS</t>
  </si>
  <si>
    <t>TRIGO - CAMPO AUTOPISTA - 14 HAS</t>
  </si>
  <si>
    <t>Hiriart Bernardo</t>
  </si>
  <si>
    <t>TRIGO - CAMPO SEGUN PLANO - 134 HAS</t>
  </si>
  <si>
    <t xml:space="preserve"> EL LUGAR S.A.S</t>
  </si>
  <si>
    <t>MAIZ - CAMPO LOS EUCALIPTOS - 38 HAS</t>
  </si>
  <si>
    <t>FABRETTI GERMAN SERGIO</t>
  </si>
  <si>
    <t>TRIGO - CAMPO LA POSTA - 35 HAS</t>
  </si>
  <si>
    <t>TRIGO - CAMPO MARENGO - 88 HAS</t>
  </si>
  <si>
    <t xml:space="preserve"> LAUKUNA SRL</t>
  </si>
  <si>
    <t>TRIGO - CAMPO EL MILAGRO - 123 HAS</t>
  </si>
  <si>
    <t>TRIGO - CAMPO LOS AROMOS - 75 HAS</t>
  </si>
  <si>
    <t xml:space="preserve"> ALIANI HNOS SH</t>
  </si>
  <si>
    <t>LA BOMBILLA</t>
  </si>
  <si>
    <t>ACOSTA, PATRICIA LILIANA</t>
  </si>
  <si>
    <t>GIRASOL - CAMPO FORMENTO - 157,70 HAS</t>
  </si>
  <si>
    <t>GIRASOL - CAMPO LAZOTA - 629,50 HAS</t>
  </si>
  <si>
    <t>GIRASOL - CAMPO ALIANI - 200,30 HAS</t>
  </si>
  <si>
    <t>GIRASOL - CAMPO ASTUTI - 235,70 HAS</t>
  </si>
  <si>
    <t>GIRASOL - INGARAMO - 184,50 HAS</t>
  </si>
  <si>
    <t>ISAIA AMERICO ANTONIO</t>
  </si>
  <si>
    <t>TRIGO - CAMPO RAGO - 60 HAS</t>
  </si>
  <si>
    <t>TRIGO - CAMPO TOSELLO NORTE - 43 HAS</t>
  </si>
  <si>
    <t>TRIGO - CAMPO TOSELLO SUR - 45 HAS</t>
  </si>
  <si>
    <t>TRIGO - CAMPO URRUTIA - 35 HAS</t>
  </si>
  <si>
    <t>ROSSO LUIS JOSE MARIA</t>
  </si>
  <si>
    <t>MAIZ - CAMPO ROSSO  - 35 HAS</t>
  </si>
  <si>
    <t>MAIZ - CAMPO ROSSO - 28 HAS</t>
  </si>
  <si>
    <t xml:space="preserve"> VCL ARGENTINA S.A</t>
  </si>
  <si>
    <t>EL RASTREADOR</t>
  </si>
  <si>
    <t>MAIZ II - CAMPO LAS MARIAS  LOTE 1 - 112 HAS</t>
  </si>
  <si>
    <t>SOJA - CAMPO DON FEDERICO (LOTE 5, 6,7 Y 8) - 232 HAS</t>
  </si>
  <si>
    <t>SOJA - CAMPO LAS MARIAS LOTE 2 - 105 HAS</t>
  </si>
  <si>
    <t>MAIZ - CAMPO DON FEDERICO - 232 HAS</t>
  </si>
  <si>
    <t>HUANCHILLA SUD</t>
  </si>
  <si>
    <t>SOJA - CAMPO LA CELINA -  320 HAS</t>
  </si>
  <si>
    <t>SOJA II - CAMPO SAUCE LOTE 3-5-6 - 170 HAS</t>
  </si>
  <si>
    <t>SOJA - CAMPO SAUCE - 167 HAS</t>
  </si>
  <si>
    <t>MAIZ - CAMPO SAUCE - 73 HAS</t>
  </si>
  <si>
    <t>MAIZ II - CAMPO SAUCE - 170 HAS</t>
  </si>
  <si>
    <t>GIRASOL - CAMPO SAUCE - 210 HAS</t>
  </si>
  <si>
    <t>FERRI DANIEL WALTER</t>
  </si>
  <si>
    <t>MAIZ - CAMPO LEONI - 64 HAS</t>
  </si>
  <si>
    <t>TERZI MAURICIO</t>
  </si>
  <si>
    <t>TRIGO - CAMPO CORLETTO - 37 HAS</t>
  </si>
  <si>
    <t>GIRASOL - CAMPO LAS VARILLAS - 60 HAS</t>
  </si>
  <si>
    <t>ARVEJAS - CAMPO EXPOAGRO  -37 HAS</t>
  </si>
  <si>
    <t xml:space="preserve"> CIELOS CEREALES SOCIEDAD ANONIMA</t>
  </si>
  <si>
    <t>TRIGO - CAMPO SIETE LOMAS - 138 HAS</t>
  </si>
  <si>
    <t>TRIGO - CAMPO LA CONSTANCIA - 134 HAS</t>
  </si>
  <si>
    <t xml:space="preserve"> EL RANCHO DE ENZO EDGARDO GONZALEZ</t>
  </si>
  <si>
    <t>CEBADA - CAMPO AMANCAY - 333 HAS</t>
  </si>
  <si>
    <t>TRIGO - CAMPO EL POTRO - 964 HAS</t>
  </si>
  <si>
    <t>CEBADA - CAMPO EL POTRO - 928 HAS</t>
  </si>
  <si>
    <t>CEBADA - CAMPO EL OVERO - 300 HAS</t>
  </si>
  <si>
    <t>TRIGO - CAMPO EL TRUEQUE - 141 HAS</t>
  </si>
  <si>
    <t>TRIGO - CAMPO EL ANCLA - 219 HAS</t>
  </si>
  <si>
    <t>CEBADA - CAMPO EL ALERO - 54 HAS</t>
  </si>
  <si>
    <t>CEBADA - CAMPO EL RANCHO - 117 HAS</t>
  </si>
  <si>
    <t>TRIGO - CAMPO LA RESERVA - 245 HAS</t>
  </si>
  <si>
    <t>TRIGO - CAMPO SAN RAFAEL - 186 HAS</t>
  </si>
  <si>
    <t>CEBADA - CAMPO SAN RAFAEL - 287 HAS</t>
  </si>
  <si>
    <t>BATET RAUL JOSE</t>
  </si>
  <si>
    <t>GIRASOL - CAMPO SAN CRISTOBAL - 90 HAS</t>
  </si>
  <si>
    <t>SOJA - CAMPO EL VERGEL - 180 HAS</t>
  </si>
  <si>
    <t>SOJA - CAMPO BERTERO - 50 HAS</t>
  </si>
  <si>
    <t>SOJA - CAMPO GIUBERGIA - 72 HAS</t>
  </si>
  <si>
    <t>SOJA - CAMPO SEIA - 75 HAS</t>
  </si>
  <si>
    <t>SOJA - CAMPO OLIVERO - 16 HAS</t>
  </si>
  <si>
    <t>SOJA - CAMPO LUCA - 70 HAS</t>
  </si>
  <si>
    <t xml:space="preserve"> LOS RETO¥OS S.R.L.</t>
  </si>
  <si>
    <t>GIRASOL - CAMPO SOMA - 100 HAS</t>
  </si>
  <si>
    <t>GIRASOL - CAMPO EL RETO¥O - 157 HAS</t>
  </si>
  <si>
    <t>GIRASOL - CAMPO DON DAVID - 73 HAS</t>
  </si>
  <si>
    <t>GIRASOL - CAMPO MARTINEZ- 46 HAS</t>
  </si>
  <si>
    <t>GIRASOL - CAMPO CABODEBILLA - 135 HAS</t>
  </si>
  <si>
    <t>GAGINO IGNACIO ALBERTO</t>
  </si>
  <si>
    <t>GIRASOL - CAMPO LA SABIRINA - 100 HAS</t>
  </si>
  <si>
    <t>GIRASOL - CAMPO LA 85 - 50 HAS</t>
  </si>
  <si>
    <t>HERRERO CRISTIAN</t>
  </si>
  <si>
    <t>ABRA DE HINOJO</t>
  </si>
  <si>
    <t>AVENA - CAMPO LA ALICIA - 55 HAS</t>
  </si>
  <si>
    <t>CEBADA - CAMPO LA ALICIA - 13 HAS</t>
  </si>
  <si>
    <t>JULIO ARGENTINO ROCA</t>
  </si>
  <si>
    <t>GIRASOL - CAMPO SAN VICENTE - 290 HAS</t>
  </si>
  <si>
    <t>VIEN - FRAN5%</t>
  </si>
  <si>
    <t>GIRASOL - CAMPO SAN VICENTE - 110 HAS</t>
  </si>
  <si>
    <t>GIRASOL - CAMPO EPUMALAL - 150 HAS</t>
  </si>
  <si>
    <t>GIRASOL - CAMPO NAPOLI - 178 HAS</t>
  </si>
  <si>
    <t>RIERA JULIA ELENA</t>
  </si>
  <si>
    <t>TRIGO - CAMPO LOS CEDROS L2-L3 - 76 HAS</t>
  </si>
  <si>
    <t>ALVAREZ SILVIA NOEMI</t>
  </si>
  <si>
    <t>MAIZ - CAMO DON ANGEL LOTES 1, 2 - 83 HAS</t>
  </si>
  <si>
    <t>GARICANO ANDRES</t>
  </si>
  <si>
    <t>TRIGO - CAMPO SOLA - 28 HAS</t>
  </si>
  <si>
    <t>TRIGO - CAMPO BARRIO CABA¥A - 24 HAS</t>
  </si>
  <si>
    <t>TRIGO - CAMPO TRIUNVIRATO - 58 HAS</t>
  </si>
  <si>
    <t>TRIGO -CAMPO LA MARGARITA 3B1-3A1 - 80 HAS</t>
  </si>
  <si>
    <t xml:space="preserve"> TASSI Y CÖA SRL</t>
  </si>
  <si>
    <t>TRIGO - CAMPO LA MARGARITA 3B1-3A1 - 80 HAS</t>
  </si>
  <si>
    <t>SOJA - CAMPO MATEO SCACHERI - 54 HAS</t>
  </si>
  <si>
    <t>SALVI LUIS NAZARENO</t>
  </si>
  <si>
    <t>VILLA CONSTITUCION</t>
  </si>
  <si>
    <t>ROSSI, PABLO ANDRES</t>
  </si>
  <si>
    <t>MAIZ - CAMPO SALVI - 20 HAS</t>
  </si>
  <si>
    <t xml:space="preserve"> CAMPOS Y HACIENDAS DON JOAQUIN</t>
  </si>
  <si>
    <t>SOJA - CAMPO DON BERNARDO - 210 HAS</t>
  </si>
  <si>
    <t>SOJA - CAMPO LOS MANANTIALES - 600 HAS</t>
  </si>
  <si>
    <t xml:space="preserve"> AGRONOR S.A.</t>
  </si>
  <si>
    <t>SOJA  - CAMPO DON FELIX - 455 HAS</t>
  </si>
  <si>
    <t>GIRASOL - CAMPO DON FELIX - 130 HAS</t>
  </si>
  <si>
    <t xml:space="preserve"> AGRO ACTIVE  S.A.S.</t>
  </si>
  <si>
    <t>GIRASOL - CAMPO DON FELIPE - 140 HAS</t>
  </si>
  <si>
    <t>VISACHI LEONEL</t>
  </si>
  <si>
    <t>LENTEJA - CAMPO VISACHI - 16 HAS</t>
  </si>
  <si>
    <t>VISACHI RICARDO</t>
  </si>
  <si>
    <t>BATTITATO ADRIAN</t>
  </si>
  <si>
    <t>ALVEAR</t>
  </si>
  <si>
    <t>TRIGO - CAMPO BATTIATO - 39 HAS</t>
  </si>
  <si>
    <t>TRIGO - CAMPO BOTTA - 49 HAS</t>
  </si>
  <si>
    <t>MAIZ II - CAMPO EL QUEMADO - 42 HAS</t>
  </si>
  <si>
    <t xml:space="preserve"> MELI LOO S. R. L.</t>
  </si>
  <si>
    <t>GIRASOL - CAMPO SAN MIGUEL - 150 HAS</t>
  </si>
  <si>
    <t>SOJA II - CAMPO BOTTA - 49 HAS</t>
  </si>
  <si>
    <t>SOJA II - CAMPO BOTTA - 60 HAS</t>
  </si>
  <si>
    <t>TRIGO - CAMPO BOTTA - 25 HAS</t>
  </si>
  <si>
    <t>SOJA II - CAMPO BOTTA -25 HAS</t>
  </si>
  <si>
    <t>SOJA II - CAMPO BOTTA - 25 HAS</t>
  </si>
  <si>
    <t>D' ERCOLI JOSE LUJAN</t>
  </si>
  <si>
    <t>GENERAL LAGOS</t>
  </si>
  <si>
    <t>ARVEJA - CAMPO D'ERCOLI - 5 HAS</t>
  </si>
  <si>
    <t>TRIGO- CAMPO D'ERCOLI - 52 HAS</t>
  </si>
  <si>
    <t>MAIZ - CAMPO BRUSCHINI - 150 HAS</t>
  </si>
  <si>
    <t>CACCIOLA JUAN CARLOS</t>
  </si>
  <si>
    <t>LENTEJA - CAMPO CACCIOLA - 64 HAS</t>
  </si>
  <si>
    <t>PERSECHINI ROBERTO</t>
  </si>
  <si>
    <t>LENTEJA - CAMPO PERSECHINI - 10 HAS</t>
  </si>
  <si>
    <t>ARVEJA - CAMPO PERSECHINI - 38 HAS</t>
  </si>
  <si>
    <t>LENTEJA - CAMPO PERSECHINI - 41 HAS</t>
  </si>
  <si>
    <t>PERSECHINI MARTIN</t>
  </si>
  <si>
    <t>LENTEJA - CAMPO PERSECHINI  -10 HAS</t>
  </si>
  <si>
    <t>ALICIA</t>
  </si>
  <si>
    <t>GIRASOL - CAMPO ABUD - 22 HAS</t>
  </si>
  <si>
    <t>GENIO HUGO</t>
  </si>
  <si>
    <t>MAIZ - CAMPO EL ABUELO - 25 HAS</t>
  </si>
  <si>
    <t>MINICH MANUEL</t>
  </si>
  <si>
    <t>CNEL.SUAREZ</t>
  </si>
  <si>
    <t>CEBADA - CAMPO EL 75 - 82 HAS</t>
  </si>
  <si>
    <t>ARVEJAS - CAMPO BOTTA - 60 HAS</t>
  </si>
  <si>
    <t>ARVEJAS  - CAMPO BOTTA - 60 HAS</t>
  </si>
  <si>
    <t>GIRASOL - CAMPO ZALLOCO - 90 HAS</t>
  </si>
  <si>
    <t>GIRASOL - CAMPO FERRERO - 40 HAS</t>
  </si>
  <si>
    <t>GIRASOL - CAMPO CANAL - 38 HAS</t>
  </si>
  <si>
    <t>SOJA - CAMPO STROCCHI -  150 HAS</t>
  </si>
  <si>
    <t>BELL VILLE</t>
  </si>
  <si>
    <t>SOJA - CAMPO PETRAGLIA - 170 HAS</t>
  </si>
  <si>
    <t>SORGO - CAMPO DON ANGEL L1,3,5 - 92 HAS</t>
  </si>
  <si>
    <t>SOJA - CAMPO DON ANGEL L2,4,6,7 - 167 HAS</t>
  </si>
  <si>
    <t>SOJA - CAMPO SAN JORGE L 1, 2 - 181 HAS</t>
  </si>
  <si>
    <t>VERRA ROBERTO</t>
  </si>
  <si>
    <t>MONTE DEL FRAYLE</t>
  </si>
  <si>
    <t>SOJA - CAMPO VERRA Y BARBERIS - 73 HAS</t>
  </si>
  <si>
    <t>SOJA - CAMPO SOMALE - 70 HAS</t>
  </si>
  <si>
    <t>SOJA - CAMPO FOTHER VIEJO - 25 HAS</t>
  </si>
  <si>
    <t>SOMALE OSCAR JOSE</t>
  </si>
  <si>
    <t>LAS ISLETILLAS</t>
  </si>
  <si>
    <t xml:space="preserve"> JYEAGRO SA</t>
  </si>
  <si>
    <t>SOJA - CAMPO ERNESTO Y LURGO - 70 HAS</t>
  </si>
  <si>
    <t>SOJA - CAMPO CARNAGHI - 46 HAS</t>
  </si>
  <si>
    <t>SOJA - CAMPO CARNAGHI II - 18 HAS</t>
  </si>
  <si>
    <t>PUSSETTO JUAN CARLOS</t>
  </si>
  <si>
    <t>SOJA - CAMPO PUSSETTO  - 125 HAS</t>
  </si>
  <si>
    <t>ALLES MARCOS ADRIAN</t>
  </si>
  <si>
    <t>GIRASOL - CAMPO MARCOS - 421 HAS</t>
  </si>
  <si>
    <t>AVENA - CAMPO NUCCI - 40 HAS</t>
  </si>
  <si>
    <t>CEBADA  - CAMPO EL REFUGIO - 121 HAS</t>
  </si>
  <si>
    <t>GIRASOL - CAMPO MARCOS - 409 HAS</t>
  </si>
  <si>
    <t xml:space="preserve"> AGROSERVICIOS DON GERONIMO S.R.L.</t>
  </si>
  <si>
    <t>GIRASOL - CAMPO MARCOS - 581 HAS</t>
  </si>
  <si>
    <t>GIRASOL  - CAMPO DON JUAN - 70 HAS</t>
  </si>
  <si>
    <t>GIRASOL - CAMPO EL MOSQUITO - 150 HAS</t>
  </si>
  <si>
    <t>SOJA - CAMPO EL TREBOL - 264 HAS</t>
  </si>
  <si>
    <t>SOJA - CAMPO EL TREBOL SUR - 53 HAS</t>
  </si>
  <si>
    <t>MAIZ II - CAMPO EL TREBOL - 142 HAS</t>
  </si>
  <si>
    <t>MAIZ II - CAMPO EL TREBOL SUR - 202 HAS</t>
  </si>
  <si>
    <t>GIRASOL - CAMPO EL TREBOL - 163 HAS</t>
  </si>
  <si>
    <t xml:space="preserve"> FEDEA S.A.</t>
  </si>
  <si>
    <t>SOJA - CAMPO EL PARQUE - 219 HAS</t>
  </si>
  <si>
    <t>SOJA - CAMPO LA DORITA - 62 HAS</t>
  </si>
  <si>
    <t>RAMOS HUGO</t>
  </si>
  <si>
    <t>GIRASOL - CAMPO LA ALICIA - 248 HAS</t>
  </si>
  <si>
    <t>SOJA - CAMPO SOMA - 95 HAS</t>
  </si>
  <si>
    <t>SOJA - CAMPO EL RETO¥O - 80 HAS</t>
  </si>
  <si>
    <t>SOJA - CAMPO DON DAVID - 73 HAS</t>
  </si>
  <si>
    <t>SOJA - CAMPO BARBERIS - 100 HAS</t>
  </si>
  <si>
    <t>SOJA - CAMPO DON JUAN - 162 HAS</t>
  </si>
  <si>
    <t xml:space="preserve"> FONDOMONTE SOUTH AMERICA S.A.</t>
  </si>
  <si>
    <t>TRIGO - CAMPO EL DESCANSO - 745 HAS</t>
  </si>
  <si>
    <t>TRIGO - CAMPO DO¥A ROSA - 200 HAS</t>
  </si>
  <si>
    <t>ULAGNERO RAUL ALFREDO</t>
  </si>
  <si>
    <t>ELENA</t>
  </si>
  <si>
    <t>SOJA - CAMPO CASCO -200 HAS</t>
  </si>
  <si>
    <t>SOJA - CAMPO ESTANCIA - 35 HAS</t>
  </si>
  <si>
    <t>SOJA - CAMPO AGHEMO - 25 HAS</t>
  </si>
  <si>
    <t>ULAGNERO RAUL JAVIER</t>
  </si>
  <si>
    <t>SOJA - CAMPO BERTONE - 120 HAS</t>
  </si>
  <si>
    <t>SUCESION DE CIRAVEGNA MARCELO ARIEL</t>
  </si>
  <si>
    <t>SOJA - CAMPO ENTRADA Y GALLINAS  - 65 HAS</t>
  </si>
  <si>
    <t>SOJA - CAMPO CIRAVEGNA A - 24 HAS</t>
  </si>
  <si>
    <t>SOJA - CAMPO CIRAVEGNA B - 27 HAS</t>
  </si>
  <si>
    <t>SOJA - CAMPO BARANOSKY - 64 HAS</t>
  </si>
  <si>
    <t>SOJA - CAMPO CARTUCCIA  - 20 HAS</t>
  </si>
  <si>
    <t>SOJA - CAMPO CARTUCCIA B - 20 HAS</t>
  </si>
  <si>
    <t>IGLESIAS ERALDO</t>
  </si>
  <si>
    <t>GIRASOL - CAMPO SANTA ANITA - 85 HAS</t>
  </si>
  <si>
    <t>TRAVERSO LUIS EDUARDO</t>
  </si>
  <si>
    <t>ALMEIRA ALBERTO AGUSTIN</t>
  </si>
  <si>
    <t>GIRASOL - CAMPO LA CASUALIDAD - 183 HAS</t>
  </si>
  <si>
    <t>MOSCOLONI GUSTAVO</t>
  </si>
  <si>
    <t>GENERAL FOTHERINGHAM</t>
  </si>
  <si>
    <t>SOJA - CAMPO MOSCOLONI - 63 HAS</t>
  </si>
  <si>
    <t>SOJA - CAMPO RANCHO CHICO - 169 HAS</t>
  </si>
  <si>
    <t>SOJA - CAMPO RANCHO CHICO -169 HAS</t>
  </si>
  <si>
    <t>MAIZ - CAMPO ORIHUELA - 48 HAS</t>
  </si>
  <si>
    <t>GIRASOL - CAMPO ORIHUELA - 40 HAS</t>
  </si>
  <si>
    <t>SOJA - CAMPO ORIHUELA - 20 HAS</t>
  </si>
  <si>
    <t xml:space="preserve"> ESTABLECIMIENTO MOLAR S.A.</t>
  </si>
  <si>
    <t>SANTA CRISTINA</t>
  </si>
  <si>
    <t>MAIZ - CAMPO PASCHETA - 100 HAS</t>
  </si>
  <si>
    <t>MAIZ - CAMPO GIORDANO NESTOR - 90 HAS</t>
  </si>
  <si>
    <t>MAIZ - CAMPO FENOGLIO - 35 HAS</t>
  </si>
  <si>
    <t>MAIZ - CAMPO SANTOS - 145 HAS</t>
  </si>
  <si>
    <t>SOJA - CAMPO LA CODICIADA - 98 HAS</t>
  </si>
  <si>
    <t>SOJA - CAMPO LA CODICIADA - 227 HAS</t>
  </si>
  <si>
    <t>GIRASOL - CAMPO LA CODICIADA - 140 HAS</t>
  </si>
  <si>
    <t>TOLEDO GERMAN ALBERTO</t>
  </si>
  <si>
    <t>TRIGO - CAMPO TOLEDO LOTE 1  - 19 HAS</t>
  </si>
  <si>
    <t>RESLER GABRIEL RAUL</t>
  </si>
  <si>
    <t>GIRASOL - CAMPO MACAGNO - 112 HAS</t>
  </si>
  <si>
    <t>GIRASOL - CAMPO LA 102 - 150 HAS</t>
  </si>
  <si>
    <t>GIRASOL - CAMPO ARATA - 311 HAS</t>
  </si>
  <si>
    <t>SOJA - CAMPO MARTA BERTOLA - 212 HAS</t>
  </si>
  <si>
    <t>SOJA -CAMPO VINCENTI -220 HAS</t>
  </si>
  <si>
    <t>SOJA- CAMPO FENOGLIO G.LEVALLE - 50 HAS</t>
  </si>
  <si>
    <t>PACHECO DE MELO</t>
  </si>
  <si>
    <t>SOJA - CAMPO ORIHUELA - 84 HAS</t>
  </si>
  <si>
    <t>SOJA - CAMPO LA NI¥A - 295 HAS</t>
  </si>
  <si>
    <t>SOJA - CAMPO LA CLARITA - 81 HAS</t>
  </si>
  <si>
    <t>SOJA - CAMPO LA CLARITA - 166 HAS</t>
  </si>
  <si>
    <t>SOJA - CAMPO LA CLARITA - 142 HAS</t>
  </si>
  <si>
    <t>GIRASOL - CAMPO  LA CLARITA - 122 HAS</t>
  </si>
  <si>
    <t>GIRASOL - CAMPO LA NI¥A - 140 HAS</t>
  </si>
  <si>
    <t>SOJA - CAMPO SEGUN PLANO - 23 HAS</t>
  </si>
  <si>
    <t>ORPELLA JAIME JUAN</t>
  </si>
  <si>
    <t xml:space="preserve"> ZUBIGARAY RICARDO Y ABEL SOCIEDAD DE HECHO</t>
  </si>
  <si>
    <t>TRIGO - CAMPO EL AGUILA - 73 HAS</t>
  </si>
  <si>
    <t>CEBADA - CAMPO EL AGUILA - 109 HAS</t>
  </si>
  <si>
    <t>SOJA - CAMPO EL AGUILA - 102 HAS</t>
  </si>
  <si>
    <t>SOJA - CAMPO E BI ARAIAK - 76 HAS</t>
  </si>
  <si>
    <t>MAIZ - CAMPO EL AGUILA - 99 HAS</t>
  </si>
  <si>
    <t>MAIZ - CAMPO E BI ARAIAK - 18 HAS</t>
  </si>
  <si>
    <t xml:space="preserve"> SURBE S.A</t>
  </si>
  <si>
    <t>CEBADA - CAMPO LA RAMADA - 28 HAS</t>
  </si>
  <si>
    <t>CEBADA - CAMPO TISERA - 32 HAS</t>
  </si>
  <si>
    <t>GIRASOL - CAMPO LA RAMADA - 63 HAS</t>
  </si>
  <si>
    <t>Marconetto RENZO</t>
  </si>
  <si>
    <t>SOJA - CAMPO 3 - 73 HAS</t>
  </si>
  <si>
    <t>GIRASOL - CAMPO 1 - 13 HAS</t>
  </si>
  <si>
    <t>GIRASOL - CAMPO  2 -23 HAS</t>
  </si>
  <si>
    <t xml:space="preserve"> FUENTE FRIA S.A</t>
  </si>
  <si>
    <t>SOJA - CAMPO FUENTE FRIA - 350 HAS</t>
  </si>
  <si>
    <t>SOJA - CAMPO SAN TITO 2 - 100 HAS</t>
  </si>
  <si>
    <t>MAIZ II - CAMPO SAN TITO 1 - 100 HAS</t>
  </si>
  <si>
    <t>MAIZ II - CAMPO LA CONSTANCIA - 100 HAS</t>
  </si>
  <si>
    <t>MAIZ - CAMPO LA ALICIA - 75 HAS</t>
  </si>
  <si>
    <t>CANONERO HECTOR RUBEN</t>
  </si>
  <si>
    <t>GIRASOL - CAMPO CANELAS - 61 HAS</t>
  </si>
  <si>
    <t>GIRASOL - CAMPO LA  BAGUALA - 190 HAS</t>
  </si>
  <si>
    <t>GIRASOL - CAMPO DON BERTO - 80 HAS</t>
  </si>
  <si>
    <t>GIRASOL - CAMPO ARNAUDO - 135 HAS</t>
  </si>
  <si>
    <t>SOJA - CAMPO AMBROSSIONI - 32 HAS</t>
  </si>
  <si>
    <t>SOJA - CAMPO  SALVI - 20 HAS</t>
  </si>
  <si>
    <t>BIANCHINI EDUARDO GABRIEL</t>
  </si>
  <si>
    <t>GENERAL DEHEZA</t>
  </si>
  <si>
    <t>SOJA - CAMPO DON ERNESTO - 160 HAS</t>
  </si>
  <si>
    <t>ZULIANI MIRTA ELSA</t>
  </si>
  <si>
    <t>SOJA -  CAMPO DON ERNESTO - 160 HAS</t>
  </si>
  <si>
    <t>SOJA - CAMPO HERNANDO - 224 HAS</t>
  </si>
  <si>
    <t>SOJA - CAMPO GRAL FOTHERINGHAM - 131 HAS</t>
  </si>
  <si>
    <t>SOJA - CAMPO PRIMO - 152 HAS</t>
  </si>
  <si>
    <t>GIRASOL  - CAMPO DON DARIO - 29 HAS</t>
  </si>
  <si>
    <t>MAIZ - CAMPO SASTRE - 16 HAS</t>
  </si>
  <si>
    <t>OITANA MARTIN</t>
  </si>
  <si>
    <t>MAIZ - CAMPO CASTELAR - 20 HAS</t>
  </si>
  <si>
    <t>SOJA - CAMPO CASA - 62 HAS</t>
  </si>
  <si>
    <t xml:space="preserve"> AGRO CORONEL SUAREZ SACIFYA</t>
  </si>
  <si>
    <t>TRIGO - CAMPO AGRO SUAREZ - 55 HAS</t>
  </si>
  <si>
    <t>ARGELICH FRANCISCO JOSE</t>
  </si>
  <si>
    <t>SOJA - CAMPO SAN FRANCISCO - 110 HAS</t>
  </si>
  <si>
    <t>SOJA - CAMPO LAS MARIAS - 52 HAS</t>
  </si>
  <si>
    <t>LINARES HERNAN</t>
  </si>
  <si>
    <t>SOJA II - CAMPO LOS NABOS - 120 HAS</t>
  </si>
  <si>
    <t>CATRILO</t>
  </si>
  <si>
    <t>GIRASOL - CAMPO LA DELFINA - 490 HAS</t>
  </si>
  <si>
    <t>GIRASOL - CAMPO LA FLORIDA - 222 HAS</t>
  </si>
  <si>
    <t xml:space="preserve"> WIT MATES S.A.</t>
  </si>
  <si>
    <t>REYNA ROBERTO ADRIAN</t>
  </si>
  <si>
    <t>ALVAREZ ANTONIO IGNACIO</t>
  </si>
  <si>
    <t>GIRASOL - CAMPO LA DELFINA - 490  HAS</t>
  </si>
  <si>
    <t>GIRASOL -CAMPO LA FLORIDA - 222 HAS</t>
  </si>
  <si>
    <t>MAIZ II - CAMPO LA DELFINA - 378 HAS</t>
  </si>
  <si>
    <t>MAIZ II - CAMPO LA FLORIDA - 171 HAS</t>
  </si>
  <si>
    <t xml:space="preserve"> AGROSYN AMERICA S.A.</t>
  </si>
  <si>
    <t>MAIZ II - CAMPO  LA FLORIDA - 171 HAS</t>
  </si>
  <si>
    <t>SOJA - CAMPO CALLETTI TRILI LA ILDA - 100 HAS</t>
  </si>
  <si>
    <t>SOJA - CAMPO CALLETTI VILLA MIRASOL - 200 HAS</t>
  </si>
  <si>
    <t>MAIZ II - CAMPO DON FRANCISCO - 158 HAS</t>
  </si>
  <si>
    <t>MAIZ II - CAMPO LOS NABOS - 78 HAS</t>
  </si>
  <si>
    <t>GIRASOL - CAMPO CACIQUE MARIANO - 300 HAS</t>
  </si>
  <si>
    <t>LUIS M.A. SUCESION VAGGIONE</t>
  </si>
  <si>
    <t>BILBAO, NATALIA CAROLINA</t>
  </si>
  <si>
    <t>SOJA - CAMPO EL JORGITO - 215 HAS</t>
  </si>
  <si>
    <t>SOJA - CAMPO LUIS MORRA - 22 HAS</t>
  </si>
  <si>
    <t>GIRASOL - CAMPO CALLETTI TRILI - 120 HAS</t>
  </si>
  <si>
    <t>GIRASOL - CAMPO CALLETTI  METILEO - 100 HAS</t>
  </si>
  <si>
    <t>GIRASOL - CAMPO LOS TRONQUITOS -210 HAS</t>
  </si>
  <si>
    <t>DORILA</t>
  </si>
  <si>
    <t>GIRASOL  - CAMPO LAS 33 -33 HAS</t>
  </si>
  <si>
    <t>SOJA - CAMPO LA MAESTRA - 150 HAS</t>
  </si>
  <si>
    <t>SOJA - CAMPO SARAH  - 116 HAS</t>
  </si>
  <si>
    <t>MAIZ - CAMPO LA MAESTRA - 137 HAS</t>
  </si>
  <si>
    <t>MAIZ - CAMPO LA TERECITA - 70 HAS</t>
  </si>
  <si>
    <t>MAIZ - CAMPO EL TRIANGULO - 70 HAS</t>
  </si>
  <si>
    <t>BORTHIRY DIEGO GUALTER</t>
  </si>
  <si>
    <t>GIRASOL - CAMPO BORTHIRY - 80 HAS</t>
  </si>
  <si>
    <t>BONARDO ELDER MIGUEL</t>
  </si>
  <si>
    <t>SOJA - CAMPO MIGUEL BONARDO - 107 HAS</t>
  </si>
  <si>
    <t>SORGO - CAMPO LOS EUCALIPTOS - 45 HAS</t>
  </si>
  <si>
    <t xml:space="preserve"> LUIS Y DANIEL MORALEJO S.H</t>
  </si>
  <si>
    <t>PASTEUR</t>
  </si>
  <si>
    <t>RILLO, MELISA NOE</t>
  </si>
  <si>
    <t>MAIZ - CAMPO MELISA - 16,50 HAS</t>
  </si>
  <si>
    <t xml:space="preserve"> CEREALES S.A.</t>
  </si>
  <si>
    <t>SOJA - CAMPO CABALLITO - 28 HAS</t>
  </si>
  <si>
    <t>SOJA - CAMPO CALCA ESTE - 65 HAS</t>
  </si>
  <si>
    <t>SOJA - CAMPO CALCA RUTA - 45 HAS</t>
  </si>
  <si>
    <t>GIRASOL - CAMPO PANADEIRO - 112 HAS</t>
  </si>
  <si>
    <t>GIRASOL - CAMPO DON ALBERTO - 90 HAS</t>
  </si>
  <si>
    <t>CONCHEZ TOMAS</t>
  </si>
  <si>
    <t xml:space="preserve"> FALCO HNOS S.R.L</t>
  </si>
  <si>
    <t>GIRASOL - CAMPO LA CHOLA - 208 HAS</t>
  </si>
  <si>
    <t>GIRASOL - CAMPO DON CONSTANCIO - 33 HAS</t>
  </si>
  <si>
    <t>MAIZ - CAMPO DON BERTO - 30 HAS</t>
  </si>
  <si>
    <t xml:space="preserve"> SUCESORES DE ANTONIO Y NELIDA EN FORMACION</t>
  </si>
  <si>
    <t>SOJA - CAMPO LAS MERCEDES - 190 HAS</t>
  </si>
  <si>
    <t>SOJA - CAMPO LA QUERENCIA - 108 HAS</t>
  </si>
  <si>
    <t>MAIZ II - CAMPO LA QUERENCIA - 104 HAS</t>
  </si>
  <si>
    <t>MAIZ II - CAMPO LAS MERCEDES - 115 HAS</t>
  </si>
  <si>
    <t xml:space="preserve"> MARIA ELENA S.A.</t>
  </si>
  <si>
    <t>ZUCCARINO, NICOLAS</t>
  </si>
  <si>
    <t>TRIGO - CAMPO SAN MARCOS - 879 HAS</t>
  </si>
  <si>
    <t>CEBADA - CAMPO SAN MARCOS - 84 HAS</t>
  </si>
  <si>
    <t>GIRASOL -CAMPO SAN MARCOS - 112 HAS</t>
  </si>
  <si>
    <t>MAIZ  - CAMPO SAN MARCOS - 1063 HAS</t>
  </si>
  <si>
    <t>MAIZ II - CAMPO SAN MARCOS -  261 HAS</t>
  </si>
  <si>
    <t>SOJA - CAMPO SAN MARCOS - 1565 HAS</t>
  </si>
  <si>
    <t>BONARDO ALBERTO JUAN</t>
  </si>
  <si>
    <t>SOJA - CAMPO BONARDO - 120 HAS</t>
  </si>
  <si>
    <t>SOJA II - CAMPO SAN MARCOS - 983 HAS</t>
  </si>
  <si>
    <t>GIRASOL - CAMPO  LOS AROMOS -88 HAS</t>
  </si>
  <si>
    <t>GIRASOL - CAMPO GALLINALES - 72 HAS</t>
  </si>
  <si>
    <t>GIRASOL - CAMPO EL MILAGRO - 167 HAS</t>
  </si>
  <si>
    <t>GIRASOL - CAMPO LA ESPERANZA - 50 HAS</t>
  </si>
  <si>
    <t>GIRASOL - CAMPO SAN JORGE - 44 HAS</t>
  </si>
  <si>
    <t>GIRASOL - CAMPO EL RECUERDO- 29 HAS</t>
  </si>
  <si>
    <t>GIRASOL - CAMPO DON PEPE- 66 HAS</t>
  </si>
  <si>
    <t>BAUZA MARIA ANGELICA</t>
  </si>
  <si>
    <t>GIRASOL - CAMPO ANTUCA - 98 HAS</t>
  </si>
  <si>
    <t>CALANDRI VALERIA</t>
  </si>
  <si>
    <t>GIRASOL - CAMPO LOS AROMOS - 62 HAS</t>
  </si>
  <si>
    <t>IGLESIAS ROBERTO JULIO Y SRA.</t>
  </si>
  <si>
    <t>GIRASOL - CAMPO CHACRA - 22 HAS</t>
  </si>
  <si>
    <t>SOJA - CAMPO LA ALICIA - 150 HAS</t>
  </si>
  <si>
    <t>GIRASOL - CAMPO LAS CA¥ITAS- 10HAS</t>
  </si>
  <si>
    <t>MAIZ II - CAMPO OMBU - 120 HAS</t>
  </si>
  <si>
    <t>GIRASOL - CAMPO DON MARCELINO -116 HAS</t>
  </si>
  <si>
    <t>GIRASOL - CAMPO SAN GABRIEL - 196 HAS</t>
  </si>
  <si>
    <t>GIRASOL - CAMPO LA LILIANA - 328 HAS</t>
  </si>
  <si>
    <t>SOJA - CAMPO LA LILIANA - 235 HAS</t>
  </si>
  <si>
    <t>SOJA - CAMPO LA CELINA - 300 HAS</t>
  </si>
  <si>
    <t>MAIZ II - CAMPO LA LILIANA - 212 HAS</t>
  </si>
  <si>
    <t>TASSO MARCELO</t>
  </si>
  <si>
    <t>SOJA - CAMPO TASSO - 80 HAS</t>
  </si>
  <si>
    <t xml:space="preserve"> EL REMANSO DE ROGGERO S.A.</t>
  </si>
  <si>
    <t>SOJA - CAMPO ULLATE - 135 HAS</t>
  </si>
  <si>
    <t>SOJA - CAMPO MELERO - 110 HAS</t>
  </si>
  <si>
    <t>GENERAL SOLER</t>
  </si>
  <si>
    <t>SOJA - CAMPO LOS RETO¥OS - 210 HAS</t>
  </si>
  <si>
    <t>SOJA - CAMPO ¥ANDU - 94 HAS</t>
  </si>
  <si>
    <t>SOJA - CAMPO EL REMANSO DE ROGGERO - 73 HAS</t>
  </si>
  <si>
    <t>SOJA - CAMPO GRAFEVILLE -181 HAS</t>
  </si>
  <si>
    <t>SOJA - CAMPO FRANCO - 135 HAS</t>
  </si>
  <si>
    <t>SOJA - CAMPO EL OMBU - 330 HAS</t>
  </si>
  <si>
    <t xml:space="preserve"> LATERRE SAS</t>
  </si>
  <si>
    <t>SOJA - CAMPO LAS 30 DE JOSE (BEZATTO) - 30 HAS</t>
  </si>
  <si>
    <t xml:space="preserve"> DOMINAGRO S.A.S.</t>
  </si>
  <si>
    <t>SOJA - CAMPO WALTER - 100 HAS</t>
  </si>
  <si>
    <t>SOJA - CAMPO CONIGLIO  - 179 HAS</t>
  </si>
  <si>
    <t>TOSI ANA MARIA</t>
  </si>
  <si>
    <t>SOJA - CAMPO LA PORTE¥A - 86 HAS</t>
  </si>
  <si>
    <t>SOJA - CAMPO LOS EUCALIPTOS - 30 HAS</t>
  </si>
  <si>
    <t>SOJA - CAMPO GASTALDI - 80 HAS</t>
  </si>
  <si>
    <t>SOJA - CAMPO LOS TRES CHANCHITOS - 93 HAS</t>
  </si>
  <si>
    <t>SOJA - CAMPO PROPIO HERNANDO - 210 HAS</t>
  </si>
  <si>
    <t>SOJA - CAMPO LOPEZ - 50 HAS</t>
  </si>
  <si>
    <t>SOJA - CAMPO POSEBON - 50 HAS</t>
  </si>
  <si>
    <t>SOJA - CAMPO LEVRINO - 21 HAS</t>
  </si>
  <si>
    <t>PEREYRA DIEGO IVAN</t>
  </si>
  <si>
    <t>VILLA ASCASUBI</t>
  </si>
  <si>
    <t>, ORGANIZACION NELDO RAFFO S.A.</t>
  </si>
  <si>
    <t>SOJA - CAMPO VILLA ASCASUBI - 25 HAS</t>
  </si>
  <si>
    <t>SOJA - CAMPO TROMBOTTO   - 182 HAS</t>
  </si>
  <si>
    <t>SOJA - CAMPO VEZZA - 50 HAS</t>
  </si>
  <si>
    <t>SOJA - CAMPO PARRA - 40 HAS</t>
  </si>
  <si>
    <t>SOJA - CAMPO PROPIO LUCA - 60 HAS</t>
  </si>
  <si>
    <t>MAIZ - CAMPO VILLA ASCASUBI - 15 HAS</t>
  </si>
  <si>
    <t>GIRASOL - CAMPO EL PORVENIR - 200 HAS</t>
  </si>
  <si>
    <t>GIRASOL - CAMPO SANTA ELISA - 120 HAS</t>
  </si>
  <si>
    <t>GIRASOL - CAMPO SUR - 65 HAS</t>
  </si>
  <si>
    <t>GIRASOL - CAMPO LA RUTA 6 - 98 HAS</t>
  </si>
  <si>
    <t>GIRASOL - CAMPO CASTEX - 130 HAS</t>
  </si>
  <si>
    <t>GIRASOL - CAMPO BOEUF - 100 HAS</t>
  </si>
  <si>
    <t>SOJA - CAMPO SARAH - 116 HAS</t>
  </si>
  <si>
    <t>GIRASOL - CAMPO LOS TRONQUITOS - 210 HAS</t>
  </si>
  <si>
    <t>GIRASOL - CAMPO LAS 33 - 33 HAS</t>
  </si>
  <si>
    <t>MAIZ II - CAMPO EL OMBU - 120 HAS</t>
  </si>
  <si>
    <t>OREGLIA ARIEL IVAN</t>
  </si>
  <si>
    <t>GIRASOL - CAMPO SAN MARTINO - 114 HAS</t>
  </si>
  <si>
    <t>SOJA - CAMPO KESSLER - 100 HAS</t>
  </si>
  <si>
    <t>RIORDA NELSON ADELMO</t>
  </si>
  <si>
    <t>SOJA - CAMPO RIORDA - 172 HAS</t>
  </si>
  <si>
    <t>MAIZ - CAMPO RIORDA  - 67 HAS</t>
  </si>
  <si>
    <t>GIRASOL - CAMPO RAPP - 80 HAS</t>
  </si>
  <si>
    <t>AMAN PABLO GERMAN</t>
  </si>
  <si>
    <t>GIRASOL - CAMPO LA GLORIA - 232 HAS</t>
  </si>
  <si>
    <t>BRUNO GUSTAVO EZEQUIEL</t>
  </si>
  <si>
    <t>GIRASOL - CAMPO LOMA VERDE - 38 HAS</t>
  </si>
  <si>
    <t>GIRASOL - CAMPO LA EMMA - 41 HAS</t>
  </si>
  <si>
    <t>GIRASOL - CAMPO CAMPO 1 - 22 HAS</t>
  </si>
  <si>
    <t>GIRASOL - CAMPO CAMPO 2 - 8 HAS</t>
  </si>
  <si>
    <t>GIRASOL - CAMPO CAMPO 3 - 28 HAS</t>
  </si>
  <si>
    <t>ALVAREZ GUSTAVO DANIEL</t>
  </si>
  <si>
    <t>SORGO - CAMPO LAS TRES MARÖAS L1 - 55 HAS</t>
  </si>
  <si>
    <t>SOJA - CAMPO LAS TRES MARÖAS - 195 HAS</t>
  </si>
  <si>
    <t>MAIZ - CAMPO LAS TRES MARÖAS - 40 HAS</t>
  </si>
  <si>
    <t>MAIZ - CAMPO CONSUS - ANDREANI - 60 HAS</t>
  </si>
  <si>
    <t>SOJA - CAMPO DON AURELIO - 298 HAS</t>
  </si>
  <si>
    <t>MAIZ - CAMPO LA ESPERANZA - 37 HAS</t>
  </si>
  <si>
    <t>GIRASOL - CAMPO DON MARCELINO - 116 HAS</t>
  </si>
  <si>
    <t>LA CHAPELLE</t>
  </si>
  <si>
    <t>MAIZ II - CAMPO EL CHISPAZO - 419 HAS</t>
  </si>
  <si>
    <t xml:space="preserve"> PAMPA REDONDA S.R.L.</t>
  </si>
  <si>
    <t>GIRASOL - CAMPO  PICCINI - 68 HAS</t>
  </si>
  <si>
    <t>SOJA - CAMPO FERRERO SASTRE- 33 HAS</t>
  </si>
  <si>
    <t>SOJA - CAMPO PANERO - 50 HAS</t>
  </si>
  <si>
    <t>SOJA - CAMPO LOTE 1- 44 HAS</t>
  </si>
  <si>
    <t>SOJA - CAMPO SASTRE NORTE - 54 HAS</t>
  </si>
  <si>
    <t>SOJA II - CAMPO LOTE 3  Y 4- 47 HAS</t>
  </si>
  <si>
    <t>SOJA - CAMPO LA CAPILLA - 80 HAS</t>
  </si>
  <si>
    <t>SOJA - CAMPO AIROLA - 60 HAS</t>
  </si>
  <si>
    <t>SOJA - CAMPO RASUAL SOJA 1RA - 60 HAS</t>
  </si>
  <si>
    <t>SOJA II - CAMPO AIROLA 2DA -36 HAS</t>
  </si>
  <si>
    <t xml:space="preserve"> BELBUSTI RAUL S.A.</t>
  </si>
  <si>
    <t>GIRASOL - CAMPO LA QUEMADA - 160 HAS</t>
  </si>
  <si>
    <t>PINTUCCI HUGO PASCUAL</t>
  </si>
  <si>
    <t>GIRASOL - CAMPO LOTE CARETTO - 45 HAS</t>
  </si>
  <si>
    <t>SOJA -CAMPO LAS VARILLAS - 218 HAS</t>
  </si>
  <si>
    <t>MAIZ - CAMPO CHACRA NORTE -  64 HAS</t>
  </si>
  <si>
    <t>SOJA - CAMPO CHACRA NORTE - 329,50 HAS</t>
  </si>
  <si>
    <t>ROVERA MATIAS DANIEL</t>
  </si>
  <si>
    <t>SOJA - CAMPO PEGORARO - 240 HAS</t>
  </si>
  <si>
    <t>SOJA - CAMPO MIEGGI HNOS - 86 HAS</t>
  </si>
  <si>
    <t>SOJA - CAMPO MARENGO  - 67 HAS</t>
  </si>
  <si>
    <t>SOJA - CAMPO LA POSTA - 148 HAS</t>
  </si>
  <si>
    <t>MAGRIS AMBLETO ROMANO</t>
  </si>
  <si>
    <t>GIRASOL - CAMPO LOS HERMANOS - 12 HAS</t>
  </si>
  <si>
    <t>GIRASOL - CAMPO EL GRINGO - 12 HAS</t>
  </si>
  <si>
    <t>SOJA II - CAMPO RANCHO CHICO - 326 HAS</t>
  </si>
  <si>
    <t>SOJA II -  CAMPO RANCHO CHICO - 326 HAS</t>
  </si>
  <si>
    <t>VELAZQUEZ CARLOS TOMAS</t>
  </si>
  <si>
    <t>GIRASOL - CAMPO SAN ALBERTO - 175 HAS</t>
  </si>
  <si>
    <t>SUCESION DE LUCIO JOSE DE LA BARRERA</t>
  </si>
  <si>
    <t>GIRASOL - CAMPO LA PAMPITA - 12 HAS</t>
  </si>
  <si>
    <t>FISCHER MARIA DE LOS ANGELES</t>
  </si>
  <si>
    <t>GIRASOL - CAMPO SAN ALBERTO - 22 HAS</t>
  </si>
  <si>
    <t>GIRASOL - CAMPO YRIGOYEN - 40 HAS</t>
  </si>
  <si>
    <t>ARANA JOSE MARIA</t>
  </si>
  <si>
    <t>HUANCHILLA</t>
  </si>
  <si>
    <t>SOJA - CAMPO ARANA - 255 HAS</t>
  </si>
  <si>
    <t>MAIZ II - CAMPO ARANA - 115 HAS</t>
  </si>
  <si>
    <t>LUCIENTES ROMAN</t>
  </si>
  <si>
    <t>MAIZ II -CAMPO LUCIENTES - 80 HAS</t>
  </si>
  <si>
    <t xml:space="preserve"> DON MIGUEL SRL</t>
  </si>
  <si>
    <t>COLONIA DOROTEA</t>
  </si>
  <si>
    <t>UGARTE, CARLOS ENRIQUE</t>
  </si>
  <si>
    <t>SOJA - CAMPO DON MIGUEL - 200 HAS</t>
  </si>
  <si>
    <t>MAIZ - CAMPO DON AURELIO - 111 HAS</t>
  </si>
  <si>
    <t>RANQUELES</t>
  </si>
  <si>
    <t>MAIZ - CAMPO DON JUAN  - 93 HAS</t>
  </si>
  <si>
    <t>CINGOLANI ALBERTO RAMON</t>
  </si>
  <si>
    <t>TRIGO - CAMPO CINGOLANI -20 HAS</t>
  </si>
  <si>
    <t>BUDASSI JORGE</t>
  </si>
  <si>
    <t>LENTEJA - CAMPO BUDASSI - 36 HAS</t>
  </si>
  <si>
    <t>SOJA - CAMPO BOGGINO - 30 HAS</t>
  </si>
  <si>
    <t>HENTSCHEL NICOLAS</t>
  </si>
  <si>
    <t>SOJA - CAMPO LA PRIMAVERA- 165 HAS</t>
  </si>
  <si>
    <t>MAIZ II - CAMPO LA PRIMAVERA 2 - 115 HAS</t>
  </si>
  <si>
    <t>SOJA - CAMPO ROMO - 130  HAS</t>
  </si>
  <si>
    <t>ULAGNERO RAUL ALEJANDRO</t>
  </si>
  <si>
    <t>SOJA - CAMPO BRITO - 95 HAS</t>
  </si>
  <si>
    <t>SOJA  - CAMPO FERRARA - 192 HAS</t>
  </si>
  <si>
    <t>GORI EDMUNDO HUGO</t>
  </si>
  <si>
    <t>SANTA EMILIA</t>
  </si>
  <si>
    <t>MAIZ - CAMPO LA ABUELA - 40 HAS</t>
  </si>
  <si>
    <t>MAIZ - CAMPO BASSI - 31 HAS</t>
  </si>
  <si>
    <t>MAIZ - CAMPO SCAFINO - 35 HAS</t>
  </si>
  <si>
    <t>PERADOTTO JOSE ALBERTO</t>
  </si>
  <si>
    <t>PEDERNERA</t>
  </si>
  <si>
    <t>FERNANDEZ, CRISTIAN DAVID</t>
  </si>
  <si>
    <t>SOJA - CAMPO EL NIAGARA - 220 HAS</t>
  </si>
  <si>
    <t>PERADOTTO JULIO CESAR</t>
  </si>
  <si>
    <t xml:space="preserve"> AGROSERVICIOS HUITRRU S A</t>
  </si>
  <si>
    <t>SAN JOSE (GRAL. PICO-D  MARACO</t>
  </si>
  <si>
    <t>SOJA - CAMPO AYERRA TREBOLARES - 220 HAS</t>
  </si>
  <si>
    <t>MAIZ II - CAMPO AYERRA TREBOLARES - 70 HAS</t>
  </si>
  <si>
    <t>GIRASOL - CAMPO AYERRA TREBOLARES - 35 HAS</t>
  </si>
  <si>
    <t>GENERAL PICO</t>
  </si>
  <si>
    <t>SOJA - CAMPO SAN CRISTOBAL - 95 HAS</t>
  </si>
  <si>
    <t xml:space="preserve"> AGRO ACTIVE S.A.S.</t>
  </si>
  <si>
    <t>SOJA - CAMPO EL CAMPITO - 95 HAS</t>
  </si>
  <si>
    <t>MAIZ II - CAMPO SAN FRANCISCO - 100 HAS</t>
  </si>
  <si>
    <t>SOJA II - CAMPO MARIA SUSANA - 64 HAS</t>
  </si>
  <si>
    <t>AVENA - CAMPO LOS HERMANOS - 20 HAS</t>
  </si>
  <si>
    <t>AVENA - CAMPO EL GRINGO - 8 HAS</t>
  </si>
  <si>
    <t>ETCHEVERS MARIA MARGARITA</t>
  </si>
  <si>
    <t>GIRASOL - CAMPO DON GUILLERMO - 115 HAS</t>
  </si>
  <si>
    <t>GIRASOL - CAMPO PEOR ES NADA - 20 HAS</t>
  </si>
  <si>
    <t>MAIZ- CAMPO CEMENTERIO LINCOLN - 30 HAS</t>
  </si>
  <si>
    <t>MAIZ - CAMPO CUARTEL V - 70 HAS</t>
  </si>
  <si>
    <t>MAIZ - CAMPO CARLOS BAYAUCA - 39 HAS</t>
  </si>
  <si>
    <t>MAIZ - CAMPOS CARLOS EL TRIUNFO - 50 HAS</t>
  </si>
  <si>
    <t>MAIZ - CAMPO PERGAMINERA - 30 HAS</t>
  </si>
  <si>
    <t>MAIZ - CAMPO SAN AGUSTIN - 44 HAS</t>
  </si>
  <si>
    <t xml:space="preserve"> AGRÖCOLA ECHAVE</t>
  </si>
  <si>
    <t>SOJA - CAMPO YALET - 49 HAS</t>
  </si>
  <si>
    <t>SOJA - CAMPO SCURIATTI - 98 HAS</t>
  </si>
  <si>
    <t>SOJA - CAMPO SAN LUIS - 245 HAS</t>
  </si>
  <si>
    <t>SOJA - CAMPO YANNI - 46 HAS</t>
  </si>
  <si>
    <t>SOJA - CAMPO EL REFUGIO - 22 HAS</t>
  </si>
  <si>
    <t>SOJA II - CAMPO PAVIOLO -  19,5 HAS</t>
  </si>
  <si>
    <t>SOJA II - CAMPO EL REFUGIO - 23 HAS</t>
  </si>
  <si>
    <t>MAIZ - CAMPO YALET - 69 HAS</t>
  </si>
  <si>
    <t>MAIZ - CAMPO OVIEDO - 92 HAS</t>
  </si>
  <si>
    <t>MAIZ II - CAMPO SIMONDI -60 HAS</t>
  </si>
  <si>
    <t>MAIZ II - CAMPO RODRIGUEZ - 78 HAS</t>
  </si>
  <si>
    <t>MAIZ II- CAMPO ALBIERO -67 HAS</t>
  </si>
  <si>
    <t>GIRASOL - CAMPO YALET - 20 HAS</t>
  </si>
  <si>
    <t>MAIZ II - CAMPO LA ALICIA - 154 HAS</t>
  </si>
  <si>
    <t>GERMENA JOSE ROMANO</t>
  </si>
  <si>
    <t>MAIZ -  CAMPO LA MARIA - 126 HAS</t>
  </si>
  <si>
    <t>VISTAROP RAUL OSCAR</t>
  </si>
  <si>
    <t>SANTA ROSA</t>
  </si>
  <si>
    <t>TUFONI, HUGO DANIEL</t>
  </si>
  <si>
    <t>MAIZ - CAMPO EL MIRADOR - 35 HAS</t>
  </si>
  <si>
    <t xml:space="preserve"> DON JUAN S.A.</t>
  </si>
  <si>
    <t>SAMPACHO</t>
  </si>
  <si>
    <t>SOJA - CAMPO LA CHOZA - 121,96 HAS</t>
  </si>
  <si>
    <t>LOZADA</t>
  </si>
  <si>
    <t>SANTA MARIA</t>
  </si>
  <si>
    <t>SOJA - CAMPO QUI¥ONES - 50 HAS</t>
  </si>
  <si>
    <t>SOJA - CAMPO BOUWER CTRO Y OESTE - 215 HAS</t>
  </si>
  <si>
    <t>MORIENA ESTELA</t>
  </si>
  <si>
    <t>SOJA - CAMPO LOS 4 ANTONIOS - 40 HAS</t>
  </si>
  <si>
    <t xml:space="preserve"> SISTEMIA S.A.S</t>
  </si>
  <si>
    <t>SOJA - CAMPO QUI¥ONEZ - 50 HAS</t>
  </si>
  <si>
    <t>SOJA - CAMPO SANTA ANGELA SUR - 108 HAS</t>
  </si>
  <si>
    <t>SOJA - CAMPO ROSALES ESTE - 110 HAS</t>
  </si>
  <si>
    <t xml:space="preserve"> REINERI HUGO Y NELSON SH</t>
  </si>
  <si>
    <t>SOJA - CAMPO CASA LOTE 3  - 40 HAS</t>
  </si>
  <si>
    <t>MINCOF MIGUEL ANGEL</t>
  </si>
  <si>
    <t>SOJA - CAMPO MINCOF MIGUEL - 94 HAS</t>
  </si>
  <si>
    <t>SOJA - CAMPO MOINE - 57 HAS</t>
  </si>
  <si>
    <t>SOJA - CAMPO PALONI - 20 HAS</t>
  </si>
  <si>
    <t>SOJA - CAMPO PALONI L1 -28 HAS</t>
  </si>
  <si>
    <t>SOJA II - CAMPO MORRA -22 HAS</t>
  </si>
  <si>
    <t>MINCOF OSVALDO ANGEL</t>
  </si>
  <si>
    <t>SOJA - CAMPO PIOVANOTTO - 70 HAS</t>
  </si>
  <si>
    <t>SOJA - CAMPO PIOVANOTTO L1 - 12 HAS</t>
  </si>
  <si>
    <t>SOJA- CAMPO PICCO - 90 HAS</t>
  </si>
  <si>
    <t>SOJA - CAMPO RIBERTI SERGIO  - 26 HAS</t>
  </si>
  <si>
    <t>SOJA - CAMPO RIBERI ADRIAN - 54 HAS</t>
  </si>
  <si>
    <t>SOJA - CAMPO DAMIANI 20 - 20 HAS</t>
  </si>
  <si>
    <t>SOJA - CAMPO DAMIANI 14 - 14 HAS</t>
  </si>
  <si>
    <t>SOJA - CAMPO 1 Y 2 - 32 HAS</t>
  </si>
  <si>
    <t>GASTALDI JESUS LUIS</t>
  </si>
  <si>
    <t>SOJA- CAMPO PONTE- 60HAS</t>
  </si>
  <si>
    <t>PONTE CEFERINO OSCAR</t>
  </si>
  <si>
    <t>SOJA- CAMPO PONTE- 60 HAS</t>
  </si>
  <si>
    <t>MAIZ II - CAMPO DON FELIPE - 105 HAS</t>
  </si>
  <si>
    <t>SOJA - CAMPO SANTA LYDA - 150 HASQ</t>
  </si>
  <si>
    <t>MAIZ II - CAMPO EL PARQUE - 135 HAS</t>
  </si>
  <si>
    <t>MAIZ II - CAMPO LA DORITA - 206 HAS</t>
  </si>
  <si>
    <t>MAIZ - CAMPO PONTE -20 HAS</t>
  </si>
  <si>
    <t>SOJA - CAMPO BONET - 22 HAS</t>
  </si>
  <si>
    <t>SOJA - CAMPO FINOCCHIO - 50 HAS</t>
  </si>
  <si>
    <t>SOJA - CAMPO BORSARELLI - 33 HAS</t>
  </si>
  <si>
    <t>SOJA - CAMPO LA CORTADA - 50 HAS</t>
  </si>
  <si>
    <t>SOJA - CAMPO LA MARUJITA - 86 HAS</t>
  </si>
  <si>
    <t>SOJA - CAMPO LOS INDIOS - 22 HAS</t>
  </si>
  <si>
    <t>MAIZ - CAMPO PONTE - 20 HAS</t>
  </si>
  <si>
    <t>COLONIA LA PRIMAVERA</t>
  </si>
  <si>
    <t>MAIZ - CAMPO BONARDO - 62 HAS</t>
  </si>
  <si>
    <t>PECCOUD MIGUEL ANGEL JESUS</t>
  </si>
  <si>
    <t>SOJA - CAMPO PATERNO - 258 HAS</t>
  </si>
  <si>
    <t>SOJA - CAMPO  PUSSETTO  - 20 HAS</t>
  </si>
  <si>
    <t>PECCOUD ANDRES LEONARDO LORENZO</t>
  </si>
  <si>
    <t>SOJA - CAMPO PUSSETTO - 20 HAS</t>
  </si>
  <si>
    <t>LEDESMA AGOTE JAVIER CARLOS</t>
  </si>
  <si>
    <t>SOJA - CAMPO RANCHO CHICO - 56 HAS</t>
  </si>
  <si>
    <t>SOJA II - CAMPO RANCHO CHICO - 38 HAS</t>
  </si>
  <si>
    <t xml:space="preserve"> ARGITAL S.A</t>
  </si>
  <si>
    <t>GIRASOL - CAMPO LA BRIANZOLA -341,50 HAS</t>
  </si>
  <si>
    <t xml:space="preserve"> QUVAGRO SRL</t>
  </si>
  <si>
    <t>GIRASOL -CAMPO JULIARENA - 61 HAS</t>
  </si>
  <si>
    <t>GIRASOL - CAMPO SAN ROBERTO - 70 HAS</t>
  </si>
  <si>
    <t>GIRASOL - CAMPO LA BRIANZOLA - 341,50</t>
  </si>
  <si>
    <t>GIRASOL  - CAMPO DE SIMONE - 47 HAS</t>
  </si>
  <si>
    <t>CHASCOMUS</t>
  </si>
  <si>
    <t>GIRASOL - CAMPO ABARCA - 25,50 HAS</t>
  </si>
  <si>
    <t>BARKER</t>
  </si>
  <si>
    <t>GIRASOL - CAMPO LA SILERA - 90 HAS</t>
  </si>
  <si>
    <t>GIRASOL - CAMPO LA SUERTE - 74 HAS</t>
  </si>
  <si>
    <t>PILA</t>
  </si>
  <si>
    <t>GIRASOL - CAMPO SAN PEDRO - 91,50 HAS</t>
  </si>
  <si>
    <t>GIRASOL - CAMPO SALLENAVE - 16 HAS</t>
  </si>
  <si>
    <t>GIRASOL - CAMPO LA BEATRIZ - 34,50 HAS</t>
  </si>
  <si>
    <t>SOJA - CAMPO RODRIGUEZ SIRI L1,L2,L3 - 120 HAS</t>
  </si>
  <si>
    <t xml:space="preserve"> OMBU VIEJO S.A.</t>
  </si>
  <si>
    <t>SOJA II - CAMP¥O RASUAL - 100 HAS</t>
  </si>
  <si>
    <t>SOJA II - CAMPO RASUAL 2 - 13 HAS</t>
  </si>
  <si>
    <t>SOJA II - CAMPO ROSSO - 27 HAS</t>
  </si>
  <si>
    <t>SOJA II - CAMPO RUTA - 62 HAS</t>
  </si>
  <si>
    <t>SOJA II - CAMPO CUIA - 16 HAS</t>
  </si>
  <si>
    <t>SOJA II - CAMPO FLOCCO - 64 HAS</t>
  </si>
  <si>
    <t>SOJA II - CAMPO OLMOS - 13 HAS</t>
  </si>
  <si>
    <t>SOJA II - CAMPO TANO - 50 HAS</t>
  </si>
  <si>
    <t>SOJA II- CAMPO CHANCHERIA - 11 HAS</t>
  </si>
  <si>
    <t>RIORDA REINALDO GREGORIO</t>
  </si>
  <si>
    <t>SOJA - CAMPO LA PORTE¥A - 117 HAS</t>
  </si>
  <si>
    <t>CO</t>
  </si>
  <si>
    <t>GROSSI ELBA BEATRIZ</t>
  </si>
  <si>
    <t>SAEZ, BRIGIDA</t>
  </si>
  <si>
    <t>MAIZ - CAMPO EL EDEN - 70 HAS</t>
  </si>
  <si>
    <t>SOJA - CAMPO EL EDEN - 201 HAS</t>
  </si>
  <si>
    <t>SOJA - CAMPO TRILI - 147 HAS</t>
  </si>
  <si>
    <t>MAIZ II - CAMPO TRILI - 148 HAS</t>
  </si>
  <si>
    <t>SOJA - CAMPO SAN ALBERTO - 170 HAS</t>
  </si>
  <si>
    <t>SOJA - CAMPO LA CAUTIVA - 170 HAS</t>
  </si>
  <si>
    <t>FENOGLIO SERGIO</t>
  </si>
  <si>
    <t>SOJA - CAMPO FENOGLIO  - 33 HAS</t>
  </si>
  <si>
    <t>MAIZ II - CAMPO CHACRA NORTE - 76 HAS</t>
  </si>
  <si>
    <t>MAIZ II - CAMPO CHACRA SUR - 160 HAS</t>
  </si>
  <si>
    <t>SOJA -  CAMPO LA ESPERANZA - 91 HAS</t>
  </si>
  <si>
    <t>SOJA - CAMPO SAN MIGUEL - 73 HAS</t>
  </si>
  <si>
    <t>MAIZ II - CAMPO SAN MIGUEL - 155 HAS</t>
  </si>
  <si>
    <t xml:space="preserve"> JMA3 S.R.L.</t>
  </si>
  <si>
    <t>SOJA II - CAMPO LA CARLOTA (ALB)-88 HAS</t>
  </si>
  <si>
    <t>SOJA II - CAMPO LA MARUCA - 72 HAS</t>
  </si>
  <si>
    <t>SOJA II - CAMPO EL CHA¥AR - 126 HAS</t>
  </si>
  <si>
    <t>LA CHISPA</t>
  </si>
  <si>
    <t>SOJA II - CAMPO LA ¥ATA - 240 HAS</t>
  </si>
  <si>
    <t>MAIZ - CAMPO BAI - 35 HAS</t>
  </si>
  <si>
    <t>MAIZ - CAMPO CRESPO - 73 HAS</t>
  </si>
  <si>
    <t>MAIZ - CAMPO CALERI - 63 HAS</t>
  </si>
  <si>
    <t xml:space="preserve"> LUCIANO Y LUCAS HECKER S CAP.I SECC IV</t>
  </si>
  <si>
    <t>SOJA - CAMPO LA  PAULINA - 52 HAS</t>
  </si>
  <si>
    <t>SOJA - CAMPO BRUERA OESTE - 45 HAS</t>
  </si>
  <si>
    <t>SOJA II - CAMPO BRUERA ESTE - 45 HAS</t>
  </si>
  <si>
    <t>VILLA MAZA</t>
  </si>
  <si>
    <t>GIRASOL -CAMPO SANTA ANITA - 85 HAS</t>
  </si>
  <si>
    <t>CESCHAN EMANUEL</t>
  </si>
  <si>
    <t>GIRASOL - CAMPO DON SANTIAGO - 70 HAS</t>
  </si>
  <si>
    <t>SOJA II - CAMPO ORIHUELA - 80 HAS</t>
  </si>
  <si>
    <t>MAIZ II - CAMPO GONZALEZ  MORENO - 195 HAS</t>
  </si>
  <si>
    <t xml:space="preserve"> ESTABLECIMIENTO  LA CARMELITA S.A.</t>
  </si>
  <si>
    <t>MAIZ - CAMPO EX RAMUZZI SAEZ BRIGIDA - 35 HAS</t>
  </si>
  <si>
    <t>SOJA II - CAMPO SOL DE MAYO - 180 HAS</t>
  </si>
  <si>
    <t>SOJA II - CAMPO LA LAGUNA - 146 HAS</t>
  </si>
  <si>
    <t>SOJA II - CAMPO SAN EDUARDO - 200 HAS</t>
  </si>
  <si>
    <t>BANDERALO</t>
  </si>
  <si>
    <t>SOJA II - CAMPO DON LORENZO - 375 HAS</t>
  </si>
  <si>
    <t>SOJA II - CAMPO EPUMALAL - 707 HAS</t>
  </si>
  <si>
    <t>SOJA II - CAMPO EPUMALAL - 50 HAS</t>
  </si>
  <si>
    <t>TORRES ANGEL OSVALDO</t>
  </si>
  <si>
    <t>SOJA - CAMPO LA MARGARITA - 115 HAS</t>
  </si>
  <si>
    <t>GIRASOL - CAMPO LA MARGARITA - 125 HAS</t>
  </si>
  <si>
    <t>GIRASOL - CAMPO PAVIN - 14 HAS</t>
  </si>
  <si>
    <t>SOJA - CAMPO EL EDEN - 127 HAS</t>
  </si>
  <si>
    <t>SOJA II - CAMPO STAPINATTO - 64 HAS</t>
  </si>
  <si>
    <t>SOJA II - CAMPO STAPINATTO PERUANA - 40 HAS</t>
  </si>
  <si>
    <t>SOJA II - CAMPO OLIVOS OESTE-ESTE - 44 HAS</t>
  </si>
  <si>
    <t>SOJA II - CAMPO COGGIOLA GRANDE - 36 HAS</t>
  </si>
  <si>
    <t>SOJA II - CAMPO COGGIOLA CHICO - 20 HAS</t>
  </si>
  <si>
    <t>SOJA II - CAMPO RUTA 7 - 47 HAS</t>
  </si>
  <si>
    <t>SOJA II  - CAMPO DON JUAN - 150 HAS</t>
  </si>
  <si>
    <t>SOJA - CAMPO EL CHISPAZO - 322 HAS</t>
  </si>
  <si>
    <t>MACAGNO SERGIO OMAR</t>
  </si>
  <si>
    <t>GIRASOL - CAMPO JUGOVICH - 75 HAS</t>
  </si>
  <si>
    <t>SOJA - CAMPO SANTA CATALINA - 44 HAS</t>
  </si>
  <si>
    <t>SOJA - CAMPO EL MONTE - 64 HAS</t>
  </si>
  <si>
    <t>SOJA - CAMPO LA PAULINA - 52 HAS</t>
  </si>
  <si>
    <t>DI GULIO ELENA DEL CARMEN</t>
  </si>
  <si>
    <t>MAIZ II - CAMPO DI GULIO - 120 HAS</t>
  </si>
  <si>
    <t>GIRASOL - CAMPO LESCANO Y MUEBO - 330 HAS</t>
  </si>
  <si>
    <t>GIRASOL - CAMPO MAGARSO - 150 HAS</t>
  </si>
  <si>
    <t>GIRASOL - CAMPO LA PRIMERA - 195 HAS</t>
  </si>
  <si>
    <t>MAIZ II - CAMPO EL RETO¥O - 87 HAS</t>
  </si>
  <si>
    <t>MAIZ II - CAMPO DOLCE - 227 HAS</t>
  </si>
  <si>
    <t>MAIZ II - CAMPO MARTINEZ - 34 HAS</t>
  </si>
  <si>
    <t>MAIZ II - CAMPO SOMA - 100 HAS</t>
  </si>
  <si>
    <t>SOJA - CAMPO CAMANDONA -37 HAS</t>
  </si>
  <si>
    <t>SOJA -CAMPO CHIAVASSA - 107 HAS</t>
  </si>
  <si>
    <t>SOJA - CAMPO CAMANDONA - 37 HAS</t>
  </si>
  <si>
    <t>SOJA - CAMPO CHIAVASSA - 107 HAS</t>
  </si>
  <si>
    <t>SOJA - CAMPO MUTTIGLENGO - 31 HAS</t>
  </si>
  <si>
    <t>SOJA - CAMPO COMANDONA - 23 HAS</t>
  </si>
  <si>
    <t>SOJA - CAMPO CASA - 124 HAS</t>
  </si>
  <si>
    <t>SOJA - CAMPO MAGARIO - 30 HAS</t>
  </si>
  <si>
    <t>SOJA - CAMPO SAN MARTINO - 133 HAS</t>
  </si>
  <si>
    <t>MAIZ - CAMPO CASA - 28 HAS</t>
  </si>
  <si>
    <t>MAIZ - CAMPO CAGNOLO - 43 HAS</t>
  </si>
  <si>
    <t>MAIZ - CAMPO DEMARIA - 83 HAS</t>
  </si>
  <si>
    <t>GIRASOL - CAMPO EL COLMENAR - 50 HAS</t>
  </si>
  <si>
    <t>SOJA II - CAMPO LA CAUTIVA - 76 HAS</t>
  </si>
  <si>
    <t>MAIZ - CAMPO LOS EUCALIPTOS - 30 HAS</t>
  </si>
  <si>
    <t>SOJA II -CAMPO CU¥A VERTIZ - 10 HAS</t>
  </si>
  <si>
    <t>SOJA II - CAMPO MARQUETI VERTIZ - 50 HAS</t>
  </si>
  <si>
    <t>SOJA II - CAMPO LA BAGUALA - 140 HAS</t>
  </si>
  <si>
    <t>SOJA - CAMPO ALONGI HNAS - 150 HAS</t>
  </si>
  <si>
    <t>SOJA - CAMPO CEJO REAL - 60 HAS</t>
  </si>
  <si>
    <t>SOJA - CAMPO DELIA RODRIGUEZ - 19 HAS</t>
  </si>
  <si>
    <t>SOJA - CAMPO DON ORLANDO - 260 HAS</t>
  </si>
  <si>
    <t>SOJA - CAMPO EL TRIUNFO STELLA  - 70 HAS</t>
  </si>
  <si>
    <t>SOJA - CAMPO FORTALEZA - 207 HAS</t>
  </si>
  <si>
    <t>SOJA - CAMPO LA REVANCHA - 160 HAS</t>
  </si>
  <si>
    <t>SOJA - CAMPO RODRIGUEZ  - 140 HAS</t>
  </si>
  <si>
    <t>L.N.ALEM</t>
  </si>
  <si>
    <t>MAIZ - CAMPO LA HILARIA - 143 HAS</t>
  </si>
  <si>
    <t>MAIZ - CAMPO TAMBO VIEJO - 50 HAS</t>
  </si>
  <si>
    <t>MAIZ - CAMPO TAMBOR VIEJO - 50 HAS</t>
  </si>
  <si>
    <t>MAIZ II - CAMPO LA HILARIA - 15 HAS</t>
  </si>
  <si>
    <t>SOJA - CAMPO LA HILARIA - 130 HAS</t>
  </si>
  <si>
    <t>SOJA - CAMPO TAMBOR VIEJO - 108 HAS</t>
  </si>
  <si>
    <t>SOJA - CAMPO TAMBO VIEJO - 108 HAS</t>
  </si>
  <si>
    <t>SOJA II - CAMPO LA HILARIA - 88 HAS</t>
  </si>
  <si>
    <t>SOJA II - CAMPO TAMBO VIEJO - 53 HAS</t>
  </si>
  <si>
    <t>SOJA II-  CAMPO TAMBO VIEJO - 53 HAS</t>
  </si>
  <si>
    <t>MAIZ - CAMPO ARATTA - 262 HAS</t>
  </si>
  <si>
    <t>MAIZ- CAMPO DUTTO - 185 HAS</t>
  </si>
  <si>
    <t>SOJA - CAMPO ARATTA - 285 HAS</t>
  </si>
  <si>
    <t>SOJA - CAMPO COLONIA SAN LUCAS - 178HAS</t>
  </si>
  <si>
    <t>SOJA - CAMPO CRESPO - 148 HAS</t>
  </si>
  <si>
    <t>PEDRON MARCELO</t>
  </si>
  <si>
    <t>PRADO, LEANDRO MARTIN</t>
  </si>
  <si>
    <t>SOJA  - CAMPO PEDRON - 128 HAS</t>
  </si>
  <si>
    <t>SORGO - CAMPO PEDRON - 25 HAS</t>
  </si>
  <si>
    <t>ALVES ADALBERT JOSE</t>
  </si>
  <si>
    <t>SOJA - CAMPO ALVES - 25 HAS</t>
  </si>
  <si>
    <t>SOJA - CAMPO BOTTA - 120 HAS</t>
  </si>
  <si>
    <t>SOJA - CAMPO DAMIANI - 18 HAS</t>
  </si>
  <si>
    <t>MAIZ  II - CAMPO LAS 600 - 294 HAS</t>
  </si>
  <si>
    <t>MAIZ II - CAMPO LA CASUALIDAD - 115 HAS</t>
  </si>
  <si>
    <t>MACACHIN</t>
  </si>
  <si>
    <t>MAIZ II - CAMPO LA ARA¥A - 140 HAS</t>
  </si>
  <si>
    <t xml:space="preserve"> LAS 3 H S.A.</t>
  </si>
  <si>
    <t>SOJA II - CAMPO LA ELBA - 655 HAS</t>
  </si>
  <si>
    <t>SOJA II - CAMPO LOS ANGELES - 275 HAS</t>
  </si>
  <si>
    <t>SOJA II - CAMPO VASKO VIEJO - 74 HAS</t>
  </si>
  <si>
    <t>MAIZ II - CAMPO LA ELBA - 462 HAS</t>
  </si>
  <si>
    <t>MAIZ II - CAMPO LOS ANGELES - 150 HAS</t>
  </si>
  <si>
    <t>MAIZ II - CAMPO VASCO VIEJO - 110 HAS</t>
  </si>
  <si>
    <t>SOJA II - CAMPO SEGUN PLANO - 150 HAS</t>
  </si>
  <si>
    <t>MAIZ II - CAMPO LAS VARILLAS - 90 HAS</t>
  </si>
  <si>
    <t>MAIZ II - CAMPO SAN CRISTOBAL - 96 HAS</t>
  </si>
  <si>
    <t>MAIZ II - CAMPO DON JUAN - 83 HAS</t>
  </si>
  <si>
    <t>MAIZ II - CAMPO DON JUAN  - 157 HAS</t>
  </si>
  <si>
    <t>MANDRINI RICARDO</t>
  </si>
  <si>
    <t>GIRASOL - CAMPO MANDRINI -175 HAS</t>
  </si>
  <si>
    <t>SOJA - CAMPO MANDRINI - 80 HAS</t>
  </si>
  <si>
    <t>MAIZ II - CAMPO MANDRINI - 200 HAS</t>
  </si>
  <si>
    <t>SOJA II - CAMPO EL TREBOL SUR - 130 HAS</t>
  </si>
  <si>
    <t xml:space="preserve"> AGROVASCO IMEC S.A.S</t>
  </si>
  <si>
    <t>SOJA - CAMPO AGROVASCO - 88 HAS</t>
  </si>
  <si>
    <t>MAIZ II - CAMPO AGROVASCO - 80 HAS</t>
  </si>
  <si>
    <t>ROMAGNOLLI HECTOR HUGO</t>
  </si>
  <si>
    <t>SOJA - CAMPO ALAPA CORRAL - 66 HAS</t>
  </si>
  <si>
    <t>SOJA - CAMPO SEMINARIO - 394 HAS</t>
  </si>
  <si>
    <t>BARBICH OSCAR</t>
  </si>
  <si>
    <t>SOJA - CAMPO BARBICH - 24 HAS</t>
  </si>
  <si>
    <t>SOJA - CAMPO PELLEGRINO Y HERNANDEZ - 80 HAS</t>
  </si>
  <si>
    <t>SOJA - CAMPO LA BAGUALA - 270 HAS</t>
  </si>
  <si>
    <t>SOJA - CAMPO OLSINA - 65 HAS</t>
  </si>
  <si>
    <t>SOJA - CAMPO SAN CAYETANO - 150 HAS</t>
  </si>
  <si>
    <t>SOJA - CAMPO CANELAS - 191 HAS</t>
  </si>
  <si>
    <t>SOJA - CAMPO BANDONI - 55 HAS</t>
  </si>
  <si>
    <t>MAIZ II - CAMPO TRES COLONIAS NORTE - 49 HAS</t>
  </si>
  <si>
    <t>MAIZ II - CAMPO TOSELLO - 44 HAS</t>
  </si>
  <si>
    <t>SOJA II - CAMPO TRES COLONIAS SUR - 49 HAS</t>
  </si>
  <si>
    <t>SOJA II - CAMPO LA PRINCESITA - 80 HAS</t>
  </si>
  <si>
    <t>SOJA II - CAMPO RAGO - 60 HAS</t>
  </si>
  <si>
    <t>SOJA II - CAMPO SANTIAGO APOSTOL - 50 HAS</t>
  </si>
  <si>
    <t>CANADA SECA</t>
  </si>
  <si>
    <t>SOJA - CAMPO DON TIMOTEO - 120 HAS</t>
  </si>
  <si>
    <t>SOJA II - CAMPO DON TIMOTEO - 114 HAS</t>
  </si>
  <si>
    <t>MAIZ - CAMPO DON JUAN -  353 HAS</t>
  </si>
  <si>
    <t>SOJA - CAMPO DON JUAN - 344 HAS</t>
  </si>
  <si>
    <t>FONTANA MAURICIO HECTOR</t>
  </si>
  <si>
    <t>GIRASOL - CAMPO FONTANA - 165 HAS</t>
  </si>
  <si>
    <t>SOJA II - CAMPO LOTES 1-2-9-10  - 168 HAS</t>
  </si>
  <si>
    <t>SOJA - CAMPO LOTE 4-5-18  - 216 HAS</t>
  </si>
  <si>
    <t>SOJA - CAMPO REYNOSO - 150 HAS</t>
  </si>
  <si>
    <t>SOJA II - CAMPO REYNOSO - 150  HAS</t>
  </si>
  <si>
    <t>SOJA - CAMPO ELGUE - 150 HAS</t>
  </si>
  <si>
    <t>SOJA - CAMPO PI¥ERO CASA GALPON - 39 HAS</t>
  </si>
  <si>
    <t>SOJA - CAMPO LOTE TRIUNVIRATO - 50 HAS</t>
  </si>
  <si>
    <t>SOJA II - CAMPO LA CLARITA - 73 HAS</t>
  </si>
  <si>
    <t>MAIZ II - CAMPO SAN ALBERTO - 135 HAS</t>
  </si>
  <si>
    <t>SOJA II - CAMPO SAN ALBERTO - 75 HAS</t>
  </si>
  <si>
    <t>SOJA - CAMPO LOS AROMOS - 65 HAS</t>
  </si>
  <si>
    <t>MAIZ II - CAMPO EL 10 DE JULIO - 159 HAS</t>
  </si>
  <si>
    <t>MAIZ II - CAMPO LOS FRESNOS - 73 HAS</t>
  </si>
  <si>
    <t>MAIZ II - CAMPO EL REPECHO - 80 HAS</t>
  </si>
  <si>
    <t>SOJA II -  CAMPO LA ALICIA - 78 HAS</t>
  </si>
  <si>
    <t>SOJA II - CAMPO ANTUCA - 93 HAS</t>
  </si>
  <si>
    <t>MAIZ II - CAMPO ANTUCA - 116 HAS</t>
  </si>
  <si>
    <t xml:space="preserve"> PULVERIZACIONES FAR</t>
  </si>
  <si>
    <t>MAIZ II - CAMPO GUEYAGUEY - 144 HAS</t>
  </si>
  <si>
    <t>MAIZ II - CAMPO DON MIGUEL - 150 HAS</t>
  </si>
  <si>
    <t>MAIZ II - CAMPO LOS TOCO TOCO - 150 HAS</t>
  </si>
  <si>
    <t>MAIZ II - CAMPO LA QUERENCIA - 175 HAS</t>
  </si>
  <si>
    <t>MAIZ - CAMPO DON ALBERTO - 22 HAS</t>
  </si>
  <si>
    <t xml:space="preserve"> FIDEICOMISO GESTIONAR I</t>
  </si>
  <si>
    <t>MAIZ II - CAMPO VIRGINIA - 69 HAS</t>
  </si>
  <si>
    <t>MAIZ II - CAMPO LOS GALPONES - 143 HAS</t>
  </si>
  <si>
    <t>SOJA II - CAMPO SOLA - 28 HAS</t>
  </si>
  <si>
    <t>SOJA II - CAMPO BARRIO CABA¥A - 24 HAS</t>
  </si>
  <si>
    <t>SOJA II - CAMPO TRIUNVIRATO  - 58 HAS</t>
  </si>
  <si>
    <t>SOJA II - CAMPO LA MARGARITA - 80 HAS</t>
  </si>
  <si>
    <t>SOJA II - CAMPO TRIUNVIRATO -58 HAS</t>
  </si>
  <si>
    <t>SOJA II - CAMPO LA MARGARITA 381 - 80 HAS</t>
  </si>
  <si>
    <t>MIRANDA GUILLERMO SANTIAGO</t>
  </si>
  <si>
    <t>ANGUIL</t>
  </si>
  <si>
    <t>GIRASOL - CAMPO LA POCHOLA - 135 HAS</t>
  </si>
  <si>
    <t>GIRASOL - CAMPO EL REBUSQUE - 57 HAS</t>
  </si>
  <si>
    <t>GIRASOL - CAMPO LA TIA - 87 HAS</t>
  </si>
  <si>
    <t>SOJA - CAMPO OLGA - 240 HAS</t>
  </si>
  <si>
    <t>SOJA - CAMPO NORMA - 43 HAS</t>
  </si>
  <si>
    <t>SOJA - CAMPO SANTA ELISA - 92 HAS</t>
  </si>
  <si>
    <t>SOJA II - CAMPO BOTTA -88 HAS</t>
  </si>
  <si>
    <t>SOJA II - CAMPO BOTTA - 88 HAS</t>
  </si>
  <si>
    <t>SOJA II - CAMPO ALVES - 88 HAS</t>
  </si>
  <si>
    <t>GIRASOL - CAMPO S/N MAPIS - 200 HAS</t>
  </si>
  <si>
    <t>MASIA ESTEBAN</t>
  </si>
  <si>
    <t>SOJA - CAMPO MASIA - 35 HAS</t>
  </si>
  <si>
    <t>SOJA II - CAMPO TOLEDO - 19 HAS</t>
  </si>
  <si>
    <t xml:space="preserve"> LOS CALDENES S.R.L.</t>
  </si>
  <si>
    <t>LA MARUJA</t>
  </si>
  <si>
    <t>RANCUL</t>
  </si>
  <si>
    <t>MAIZ - CAMPO ESTANCIA LAS DUNAS - 150 HAS</t>
  </si>
  <si>
    <t>HECK GASTON ESTEBAN</t>
  </si>
  <si>
    <t>MAIZ - CAMPO HECK - 30 HAS</t>
  </si>
  <si>
    <t>IKES JUAN CARLOS</t>
  </si>
  <si>
    <t>COLONIA CASTEX</t>
  </si>
  <si>
    <t>GIRASOL - CAMPO DON SILVERIO - 85 HAS</t>
  </si>
  <si>
    <t>PAZZAGLIA ANTONIO JOSE</t>
  </si>
  <si>
    <t>LA CAUTIVA</t>
  </si>
  <si>
    <t>SOJA - CAMPO EL TIGRE - 82 HAS</t>
  </si>
  <si>
    <t>MAIZ - CAMPO EL TIGRE - 150 HAS</t>
  </si>
  <si>
    <t>HECKER RICARDO FABIAN</t>
  </si>
  <si>
    <t>GIRASOL - CAMPO HECKER - 30 HAS</t>
  </si>
  <si>
    <t>GIRASOL - CAMPO LA JULIA - 100 HAS</t>
  </si>
  <si>
    <t>MAIZ II - CAMPO COSTA - 48 HAS</t>
  </si>
  <si>
    <t>MAIZ II - CAMPO EL DURAZNO - 250 HAS</t>
  </si>
  <si>
    <t>MAIZ - CAMPO ARATA -262 HAS</t>
  </si>
  <si>
    <t>MAIZ - CAMPO DUTTO - 185 HAS</t>
  </si>
  <si>
    <t>CARRION NESTOR FABIAN</t>
  </si>
  <si>
    <t>MAIZ - CAMPO DON PABLO - 90 HAS</t>
  </si>
  <si>
    <t>SOJA - CAMPO ARATA - 285 HAS</t>
  </si>
  <si>
    <t>GONZALEZ OSCAR</t>
  </si>
  <si>
    <t>GIRASOL - CAMPO GONZALEZ - 100 HAS</t>
  </si>
  <si>
    <t>GIRASOL - CAMPO EL BAJO - 164 HAS</t>
  </si>
  <si>
    <t>MORETTI GASTON</t>
  </si>
  <si>
    <t>MERITANO, JUAN FERNANDO</t>
  </si>
  <si>
    <t>MAIZ - CAMPO PAGANO - 30 HAS</t>
  </si>
  <si>
    <t>SOJA - CAMPO PAGANO - 110 HAS</t>
  </si>
  <si>
    <t>SOJA - CAMPO LA ISABEL - 40 HAS</t>
  </si>
  <si>
    <t>GIRASOL - CAMPO POTRERO  - 296 HAS</t>
  </si>
  <si>
    <t>GIRASOL - CAMPO DANIEL - 134 HAS</t>
  </si>
  <si>
    <t>MAIZ - CAMPO POTRERO  - 419 HAS</t>
  </si>
  <si>
    <t>SOJA - CAMPO POTRERO - 321 HAS</t>
  </si>
  <si>
    <t>GIRASOL - CAMPO MIRIAM - 50 HAS</t>
  </si>
  <si>
    <t>SOJA II - CAMPO ZARATE - 30 HAS</t>
  </si>
  <si>
    <t>SOJA II - CAMPO GA¥A - 27 HAS</t>
  </si>
  <si>
    <t>GHIANO GERARDO MARCELO</t>
  </si>
  <si>
    <t>URQUIZU AROLDO DANIEL</t>
  </si>
  <si>
    <t>SOJA - CAMPO URQUIZU - 57 HAS</t>
  </si>
  <si>
    <t>MAIZ - CAMPO URQUIZU - 43 HAS</t>
  </si>
  <si>
    <t>GIRASOL - CAMPO URQUIZU - 47 HAS</t>
  </si>
  <si>
    <t>SOJA II - CAMPO DON AURELIO - 180 HAS</t>
  </si>
  <si>
    <t>MAIZ II  - CAMPO CAMANDONA - 24 HAS</t>
  </si>
  <si>
    <t>SOJA - CAMPO FONTANA - 172 HAS</t>
  </si>
  <si>
    <t>FIGUEROA ENRIQUE CAMILO EDUARDO</t>
  </si>
  <si>
    <t>CAPITAN SARMIENTO</t>
  </si>
  <si>
    <t>ANDRES, HERNAN JAVIER</t>
  </si>
  <si>
    <t>SOJA - CAMPO MARIA INES - 31 HAS</t>
  </si>
  <si>
    <t>SOJA II - CAMPO DON AURELIO - LOTE 10D  - 39 HAS</t>
  </si>
  <si>
    <t>MANERA ELOY</t>
  </si>
  <si>
    <t>GIRASOL -CAMPO LOS TIOS - 123 HAS</t>
  </si>
  <si>
    <t>ARATA</t>
  </si>
  <si>
    <t>GIRASOL - CAMPO SIMONDI NORTE - 63 HAS</t>
  </si>
  <si>
    <t>GIRASOL - CAMPO PORRAS - 243 HAS</t>
  </si>
  <si>
    <t>GIRASOL - CAMPO ARREGUY - 75 HAS</t>
  </si>
  <si>
    <t>GIRASOL - CAMPO EL INVIERNO - 604 HAS</t>
  </si>
  <si>
    <t>GIRASOL - CAMPO LOS TIOS - 123 HAS</t>
  </si>
  <si>
    <t>GIRASOL  - CAMPO PORRAS - 243 HAS</t>
  </si>
  <si>
    <t>GIRASOL  - CAMPO EL INVIERNO - 604 HAS</t>
  </si>
  <si>
    <t>GOMEZ ANA MARIA</t>
  </si>
  <si>
    <t>PIROVANO</t>
  </si>
  <si>
    <t>CASTROFINI, CLARISA CECILIA</t>
  </si>
  <si>
    <t>SOJA - CAMPO GOMEZ - 18 HAS</t>
  </si>
  <si>
    <t>MAIZ - CAMPO LOS TIOS - 234 HAS</t>
  </si>
  <si>
    <t>MAIZ - CAMPO SIMONDI SUR - 262 HAS</t>
  </si>
  <si>
    <t>MAIZ - CAMPO SISMONDI CASTEX - 85 HAS</t>
  </si>
  <si>
    <t>MAIZ - CAMPO LA RAQUEL - 95 HAS</t>
  </si>
  <si>
    <t>MAIZ - CAMPO LA GAUCHA - 68 HAS</t>
  </si>
  <si>
    <t>MAIZ - CAMPO LA ROSITA - 57 HAS</t>
  </si>
  <si>
    <t>MAIZ - CAMPO LA ARRUERA - 504 HAS</t>
  </si>
  <si>
    <t>MAIZ - CAMPO EL OSCAR - 142 HAS</t>
  </si>
  <si>
    <t>MAIZ - CAMPO EL PARQUE - 198 HAS</t>
  </si>
  <si>
    <t>MAIZ - CAMPO PORRAS - 216 HAS</t>
  </si>
  <si>
    <t>MAIZ - CAMPO LA JOSEFA - 150 HAS</t>
  </si>
  <si>
    <t>MAIZ - CAMPO LA SEGUNDA - 252 HAS</t>
  </si>
  <si>
    <t>CALEUFU</t>
  </si>
  <si>
    <t>MAIZ - CAMPO EL PEHUAL - 98 HAS</t>
  </si>
  <si>
    <t>MAIZ - CAMPO EL DESAFIO - 144 HAS</t>
  </si>
  <si>
    <t>MAIZ - CAMPO EL INVIERNO - 591 HAS</t>
  </si>
  <si>
    <t>MAIZ - CAMPO LA ESPERANZA - 565 HAS</t>
  </si>
  <si>
    <t>MAIZ   - CAMPO EL OSCAR - 142 HAS</t>
  </si>
  <si>
    <t>MAIZ - CAMPO EL PARQUE  - 198 HAS</t>
  </si>
  <si>
    <t>MAIZ - CAMPO  LA ESPERANZA - 565 HAS</t>
  </si>
  <si>
    <t>TARTARA ALBINA NATALIA</t>
  </si>
  <si>
    <t>SOJA - CAMPO TAMBORELLI - 50 HAS</t>
  </si>
  <si>
    <t>SOJA II - CAMPO TAMBORELLI - 60 HAS</t>
  </si>
  <si>
    <t>MAIZ II - CAMPO CALLETTI VILLA MIRASOL - 185 HAS</t>
  </si>
  <si>
    <t>MAIZ II - CAMPO CALLETTI METILEO - 70 HAS</t>
  </si>
  <si>
    <t>GIRASOL - CAMPO SAN NORBERTO 110 HAS</t>
  </si>
  <si>
    <t>GIRASOL - CAMPO VANCOR - 60,40 HAS</t>
  </si>
  <si>
    <t>SOJA - CAMPO SIETE LOMAS - 150 HAS</t>
  </si>
  <si>
    <t>SOJA - CAMPO MARI HUINCUL - 80 HAS</t>
  </si>
  <si>
    <t>SOJA - CAMPO  SAN NORBERTO  -177,71 HAS</t>
  </si>
  <si>
    <t>SOJA - CAMPO SAN JUAN BAUTISTA - 150 HAS</t>
  </si>
  <si>
    <t>SOJA II - CAMPO SAN MARCELO - 100 HAS</t>
  </si>
  <si>
    <t>SOJA II - CAMPO DUPRAT - 255 HAS</t>
  </si>
  <si>
    <t>SOJA II - CAMPO DON TOMAS - 115 HAS</t>
  </si>
  <si>
    <t>SOJA II - CAMPO LA GAUCHA - 193 HAS</t>
  </si>
  <si>
    <t>SOJA II - CAMPO TINAJERAS NORTE SUR - 234 HAS</t>
  </si>
  <si>
    <t>SOJA II - CAMPO LA ARRUERA - 30 HAS</t>
  </si>
  <si>
    <t>SOJA II - CAMPO MARCHESI - 50 HAS</t>
  </si>
  <si>
    <t>SOJA II - CAMPO EL PARQUE - 195 HAS</t>
  </si>
  <si>
    <t>SOJA II - CAMPO EL OSCAR - 88 HAS</t>
  </si>
  <si>
    <t>SOJA II - CAMPO LOS ABUELOS - 380 HAS</t>
  </si>
  <si>
    <t>SOJA II - CAMPO EL INVIERNO - 618 HAS</t>
  </si>
  <si>
    <t>SOJA II - CAMPO LA SEGUNDA - 127 HAS</t>
  </si>
  <si>
    <t>SOJA II - CAMPO TINAJERAS NORTE SUR -234 HAS</t>
  </si>
  <si>
    <t>SOJA - CAMPO SANTA BRIGIDA - 63 HAS</t>
  </si>
  <si>
    <t>SOJA II - CAMPO HECK - 20 HAS</t>
  </si>
  <si>
    <t>MAIZ II - CAMPO MACAGNO - 146 HAS</t>
  </si>
  <si>
    <t xml:space="preserve"> EL BADEN S.A.</t>
  </si>
  <si>
    <t>SOJA II - CAMPO EL BADEN - 142 HAS</t>
  </si>
  <si>
    <t xml:space="preserve"> FORCE AGRO S.A.S</t>
  </si>
  <si>
    <t>EL PORVENIR</t>
  </si>
  <si>
    <t>SOJA - CAMPO FORCE AGRO - 25 HAS</t>
  </si>
  <si>
    <t xml:space="preserve"> FORCE AGRO S.A.S.</t>
  </si>
  <si>
    <t>MAIZ - CAMPO FORCE AGRO - 23 HAS</t>
  </si>
  <si>
    <t>SOJA - CAMPO SANTA CANDELARIA - 136 HAS</t>
  </si>
  <si>
    <t>SOJA II - CAMPO SANTA CANDELARIA - 107 HAS</t>
  </si>
  <si>
    <t>SOJA II- CAMPO SANCHEZ - 40 HAS</t>
  </si>
  <si>
    <t>SOJA II- COLLADO - 60 HAS</t>
  </si>
  <si>
    <t>BROLLI MARIA TERES</t>
  </si>
  <si>
    <t>BRAVIN, EDUARDO IVAN</t>
  </si>
  <si>
    <t>MAIZ - CAMPO BROLLI - 33 HAS</t>
  </si>
  <si>
    <t>SOJA II - CAMPO MARIGRA - 96 HAS</t>
  </si>
  <si>
    <t>SOJA II - MARIGRA - 96 HAS</t>
  </si>
  <si>
    <t>BORRELLI JOSE</t>
  </si>
  <si>
    <t>MAIZ - CAMPO NUEVO - 192 HAS</t>
  </si>
  <si>
    <t>GIRASOL - CAMPO NUEVO - 163 HAS</t>
  </si>
  <si>
    <t xml:space="preserve"> WORLD SECURITY S.A.</t>
  </si>
  <si>
    <t>EL FORTIN</t>
  </si>
  <si>
    <t>GIRASOL - CAMPO ABRAHAM SAN ANTONIO - 197 HAS</t>
  </si>
  <si>
    <t>GIRASOL - CAMPO CASA LOS TRES TIGRES - 356 HAS</t>
  </si>
  <si>
    <t>GIRASOL - CAMPO ECHEVARRIA VAN PRAET- 199 HAS</t>
  </si>
  <si>
    <t>GIRASOL - CAMPO EL LIMITE- 470 HAS</t>
  </si>
  <si>
    <t>GIRASOL - CAMPO FORCHINO-MIELARES- 98 HAS</t>
  </si>
  <si>
    <t>GIRASOL - CAMPO GUDI¥O JORGE - ARA¥ADO- 28 HAS</t>
  </si>
  <si>
    <t>GIRASOL - CAMPO GUDI¥O JORGE - JUMIAL- 48 HAS</t>
  </si>
  <si>
    <t>GIRASOL - CAMPO MARJUATOR LOS CHA¥ARES- 120 HAS</t>
  </si>
  <si>
    <t>GIRASOL - CAMPO MARJUATOR SANTA ANGELA- 71 HAS</t>
  </si>
  <si>
    <t>MAIZ - CAMPO BONZO DE MEL GOWLAND- 59 HAS</t>
  </si>
  <si>
    <t>MAIZ II - CAMPO ABRAHAM SAN ANTONIO - 210 HAS</t>
  </si>
  <si>
    <t>MAIZ II - CAMPO BRARDA Y GHIZZONI - 130 HAS</t>
  </si>
  <si>
    <t>MAIZ II - CAMPO CASA LOS TRES TIGRES - 830 HAS</t>
  </si>
  <si>
    <t>MAIZ II - CAMPO EL 21 Y ANEXO-50 HAS</t>
  </si>
  <si>
    <t>MAIZ II - CAMPO EL LIMITE- 117 HAS</t>
  </si>
  <si>
    <t>MAIZ II - CAMPO LOS CHA¥ARES- 245 HAS</t>
  </si>
  <si>
    <t>MAIZ II - CAMPO MARJUATOR SANTA ANGELA-  81HAS</t>
  </si>
  <si>
    <t>MAIZ II - CAMPO NARDON ALTO GRANDE-190 HAS</t>
  </si>
  <si>
    <t>MAIZ II - CAMPO NARDON EL MARTINAZO-135 HAS</t>
  </si>
  <si>
    <t>MAIZ II - CAMPO PALMERO-229 HAS</t>
  </si>
  <si>
    <t>MAIZ II - CAMPO QUEVEDO NORTE-180 HAS</t>
  </si>
  <si>
    <t>SAN JOAQUIN</t>
  </si>
  <si>
    <t>MAIZ II - CAMPO SAN JOAQUIN-56 HAS</t>
  </si>
  <si>
    <t>MAIZ II - CAMPO SANTOS ARMANDO-106 HAS</t>
  </si>
  <si>
    <t>MAIZ II - CAMPO GAMBEALTE-21 HAS</t>
  </si>
  <si>
    <t>MAIZ II - CAMPO GOMEZ PABLO- 75,5 HAS</t>
  </si>
  <si>
    <t>MAIZ II - CAMPO NESSI- 25 HAS</t>
  </si>
  <si>
    <t>PELOSSO JUAN ATILIO</t>
  </si>
  <si>
    <t>FERNANDEZ, PATRICIA NOEMI</t>
  </si>
  <si>
    <t>GIRASOL - CAMPO LA LOMITA - 87 HAS</t>
  </si>
  <si>
    <t>GIRASOL - CAMPO FRANCO- 66 HAS</t>
  </si>
  <si>
    <t>SOJA  -CAMPO ABRAHAM SAN ANTONIO - 100 HAS</t>
  </si>
  <si>
    <t>SOJA - CAMPO EL CABALLITO - 159 HAS</t>
  </si>
  <si>
    <t>LA ROSARINA</t>
  </si>
  <si>
    <t>SOJA - CAMPO CASA LOS TRES TIGRES - 408 HAS</t>
  </si>
  <si>
    <t>SOJA - CAMPO DONALISIO SAN AMBROSIO - 159 HAS</t>
  </si>
  <si>
    <t>SOJA - CAMPO GUTIERREZ - 210 HAS</t>
  </si>
  <si>
    <t>SOJA - CAMPO MARJUATOR LOS CHA¥ARES - 203 HAS</t>
  </si>
  <si>
    <t>SOJA -  CAMPO MARJUATOR SANTA ANGELA - 70 HAS</t>
  </si>
  <si>
    <t>SOJA - CAMPO MEDINA FELIX - 114 HAS</t>
  </si>
  <si>
    <t>SOJA - CAMPO NARDON 1 - 74 HAS</t>
  </si>
  <si>
    <t>SOJA - CAMPO NARDON LAS 32 - 40 HAS</t>
  </si>
  <si>
    <t>SOJA - CAMPO NARDON LAS 58 - 55 HAS</t>
  </si>
  <si>
    <t>SOJA - CAMPO NARDON LOS CISNES - 68 HAS</t>
  </si>
  <si>
    <t>SOJA - CAMPO NARDON MARIN - 135 HAS</t>
  </si>
  <si>
    <t>SOJA - CAMPO NARDON RUTA I-17 - 17 HAS</t>
  </si>
  <si>
    <t>SOJA - CAMPO NARDON RUTA II - 23 HAS</t>
  </si>
  <si>
    <t>SOJA - CAMPO ORMAECHEA - 165 HAS</t>
  </si>
  <si>
    <t>SOJA - CAMPO PALMERO - 92 HAS</t>
  </si>
  <si>
    <t>VIVERO</t>
  </si>
  <si>
    <t>SOJA - CAMPO PAOLUCCI -185 HAS</t>
  </si>
  <si>
    <t>SOJA - CAMPO QUEVEDO SUR - 131 HAS</t>
  </si>
  <si>
    <t>HARAS EL PELADO</t>
  </si>
  <si>
    <t>SOJA - CAMPO ROSATTO - 20 HAS</t>
  </si>
  <si>
    <t>SOJA - CAMPO EL VERANO - 246 HAS</t>
  </si>
  <si>
    <t>SOJA - CAMPO GOMEZ PABLO - 56,5 HAS</t>
  </si>
  <si>
    <t>SOJA - CAMPO LABORET - 65 HAS</t>
  </si>
  <si>
    <t>SOJA - CAMPO MAGLIANO SANTA REGINA - 136 HAS</t>
  </si>
  <si>
    <t>SOJA - CAMPO GAMBEALTE - 39,5 HAS</t>
  </si>
  <si>
    <t>SOJA - CAMPO LA JULIANA - 48 HAS</t>
  </si>
  <si>
    <t>LA PAULINA</t>
  </si>
  <si>
    <t>MAIZ II - CAMPO PEPA EDUARDO - 185 HAS</t>
  </si>
  <si>
    <t>MAIZ II - CAMPO BELTRAN - 75 HAS</t>
  </si>
  <si>
    <t>GIRASOL - CAMPO BIDEGAIN - 200 HAS</t>
  </si>
  <si>
    <t>SOJA II - CAMPO CASTELAR - 100 HAS</t>
  </si>
  <si>
    <t>SOJA II - CAMPO BAIMA - 15 HAS</t>
  </si>
  <si>
    <t>SOJA II - CAMPO CRISPI - 20 HAS</t>
  </si>
  <si>
    <t>SOJA II -  CAMPO CANAL - 52 HAS</t>
  </si>
  <si>
    <t>SOJA - CAMPO SAN MARTIN - 32 HAS</t>
  </si>
  <si>
    <t>MAIZ - CAMPO DON OSCAR - 98 HAS</t>
  </si>
  <si>
    <t>VILLA GOBERNADOR GALVEZ</t>
  </si>
  <si>
    <t>ARVEJAS - CAMPO ALVES - 25 HAS</t>
  </si>
  <si>
    <t>MAIZ II - CAMPO DON AURELIO L11A - 9C - 45,5 HAS</t>
  </si>
  <si>
    <t>MAIZ II - CAMPO SCHIAVI - 11 HAS</t>
  </si>
  <si>
    <t>VINCIGUERRA JUAN PABLO</t>
  </si>
  <si>
    <t>TRIGO - CAMPO VINCIGUERRA - 107 HAS</t>
  </si>
  <si>
    <t>LENTEJA - CAMPO PAGANO - 63,5 HAS</t>
  </si>
  <si>
    <t>LENTEJA - CAMPO MADARIAGA - 25 HAS</t>
  </si>
  <si>
    <t>ARVEJA - CAMPO VILLA JUANITA - 30 HAS</t>
  </si>
  <si>
    <t>TRIGO - CAMPO PAGANO -70 HAS</t>
  </si>
  <si>
    <t>GIRASOL - CAMPO LA RANA - 30 HAS</t>
  </si>
  <si>
    <t>GIRASOL - CAMPO LOS TOCO - 131 HAS</t>
  </si>
  <si>
    <t>GIRASOL - CAMPO GUEYAGUEI - 60 HAS</t>
  </si>
  <si>
    <t>GIRASOL - CAMPO OMAR - 55 HAS</t>
  </si>
  <si>
    <t>GIRASOL - CAMPO PEPA EDUARDO - 30 HAS</t>
  </si>
  <si>
    <t>GIRASOL - CAMPO VERTIZ FAR - 70 HAS</t>
  </si>
  <si>
    <t>GIRASOL - CAMPO LARRAGUETA - 55 HAS</t>
  </si>
  <si>
    <t>GIRASOL - CAMPO LUIS PEPA - 50 HAS</t>
  </si>
  <si>
    <t>GIRASOL -CAMPO LA RANA - 30 HAS</t>
  </si>
  <si>
    <t>GIRASOL - CAMO GUEYAGUEI - 60 HAS</t>
  </si>
  <si>
    <t>GIRASOL - CAMPO LA TRADICION - 78 HAS</t>
  </si>
  <si>
    <t>GIRASOL - CAMPO VIRGINIA - 84 HAS</t>
  </si>
  <si>
    <t>GIRASOL - CAMPO LOS GALPONES - 277 HAS</t>
  </si>
  <si>
    <t>SOJA - CAMPO DON ALBERTO - 88 HAS</t>
  </si>
  <si>
    <t>SOJA II - CAMPO LA NONA - 42 HAS</t>
  </si>
  <si>
    <t>SOJA - CAMPO PASQUALI - 55 HAS</t>
  </si>
  <si>
    <t>SOJA - CAMPO LOS POTRERITOS - 60 HAS</t>
  </si>
  <si>
    <t>SOJA- CAMPO GUEYAGUEI - 132 HAS</t>
  </si>
  <si>
    <t>SOJA - CAMPO LA RANA - 63 HAS</t>
  </si>
  <si>
    <t>SOJA - CAMPO LOS TOCO TOCO - 50,50 HAS</t>
  </si>
  <si>
    <t>SOJA - CAMPO DON MIGUEL - 53,50 HAS</t>
  </si>
  <si>
    <t>SOJA - CAMPO LOS POTRERITOS -60 HAS</t>
  </si>
  <si>
    <t>SOJA - CAMPO GUEYAGUEI  -132 HAS</t>
  </si>
  <si>
    <t>SOJA - CAMPO LOS TOCO TOCO -50,50 HAS</t>
  </si>
  <si>
    <t>SOJA - CAMPO DON MIGUEL- 53,50 HAS</t>
  </si>
  <si>
    <t>SOJA - CAMPO ACHAVAL - 280 HAS</t>
  </si>
  <si>
    <t>SOJA - CAMPO BELTRAN - 106 HAS</t>
  </si>
  <si>
    <t>SOJA - CAMPO ACHAVAL HNOS - 80 HAS</t>
  </si>
  <si>
    <t>SOJA - CAMPO AGUIRRE - 20 HAS</t>
  </si>
  <si>
    <t>SOJA - CAMPO RODRIGUEZ - 60 HAS</t>
  </si>
  <si>
    <t>SOJA - CAMPO LARRAGUETA - 90 HAS</t>
  </si>
  <si>
    <t>SOJA - CAMPO COURREYES - 70 HAS</t>
  </si>
  <si>
    <t>SOJA - CAMPO PEREZ - 55 HAS</t>
  </si>
  <si>
    <t>SOJA - CAMPO PEPA EDUARDO - 39 HAS</t>
  </si>
  <si>
    <t>MAIZ II - MACAGNO - 146</t>
  </si>
  <si>
    <t>SOJA II -  BRUNO - 52 HAS</t>
  </si>
  <si>
    <t>SOJA II - BRUNO - 52</t>
  </si>
  <si>
    <t>VILLA MIRASOL</t>
  </si>
  <si>
    <t>SOJA II - DON JUAN - 145 HAS</t>
  </si>
  <si>
    <t>TRIGO - CAMPO SOMA - 100 HAS</t>
  </si>
  <si>
    <t>TRIGO - CAMPO REINHARDT - 48 HAS</t>
  </si>
  <si>
    <t>TRIGO - CAMPO LOS RETO¥OS - 22 HAS</t>
  </si>
  <si>
    <t>TRIGO - CAMPO MARQUETI Y CU¥A - 60 HAS</t>
  </si>
  <si>
    <t>TRIGO - CAMPO LA BAGUALA - 135 HAS</t>
  </si>
  <si>
    <t>TRIGO - CAMPO DON BERTO - 35 HAS</t>
  </si>
  <si>
    <t xml:space="preserve"> LAUCAR SEED S.A.</t>
  </si>
  <si>
    <t>PILAR</t>
  </si>
  <si>
    <t>RIO SEGUNDO</t>
  </si>
  <si>
    <t>MEDINA, MANUEL</t>
  </si>
  <si>
    <t>SOJA - CAMPO BOUWER - LOTE CENTRO/OESTE -214 HAS</t>
  </si>
  <si>
    <t>LAGUNA LARGA</t>
  </si>
  <si>
    <t>SOJA - CAMPO QUI¥ONE - 50 HAS</t>
  </si>
  <si>
    <t>MUGURUZA LAUREANO</t>
  </si>
  <si>
    <t>SOJA - CAMPO BOUWER - LOTE CENTRO/OESTE - 214 HAS</t>
  </si>
  <si>
    <t>REPORTE A CIERRE 3/26</t>
  </si>
  <si>
    <t>BASICA + HELADAS</t>
  </si>
  <si>
    <t>SORGO</t>
  </si>
  <si>
    <t>ST PAGADO 100%- USD</t>
  </si>
  <si>
    <t>EMITIDO JULIO 2024 - MARZO 2026</t>
  </si>
  <si>
    <t>Dolarizado</t>
  </si>
  <si>
    <t>Mes</t>
  </si>
  <si>
    <t>ARS</t>
  </si>
  <si>
    <t>USD</t>
  </si>
  <si>
    <t>Total USD</t>
  </si>
  <si>
    <t>Prima Cedida</t>
  </si>
  <si>
    <t>Comisión Reas</t>
  </si>
  <si>
    <t>Siniestro Cedido</t>
  </si>
  <si>
    <t>RSP</t>
  </si>
  <si>
    <t>RRC</t>
  </si>
  <si>
    <t>Total</t>
  </si>
  <si>
    <t xml:space="preserve">USD 100% </t>
  </si>
  <si>
    <t>Emision</t>
  </si>
  <si>
    <t>Stros</t>
  </si>
  <si>
    <t>ST PAGADO 100%- $AR</t>
  </si>
  <si>
    <t xml:space="preserve">Pagado + gastos </t>
  </si>
  <si>
    <t xml:space="preserve">RSP 100%- USD </t>
  </si>
  <si>
    <t xml:space="preserve">RSP 100%- $AR </t>
  </si>
  <si>
    <t xml:space="preserve">HYG 100%- $AR </t>
  </si>
  <si>
    <t xml:space="preserve"> HYG 100%- USD</t>
  </si>
  <si>
    <t xml:space="preserve">TANDIL </t>
  </si>
  <si>
    <t>Etiquetas de fila</t>
  </si>
  <si>
    <t>Total general</t>
  </si>
  <si>
    <t>Suma de HAS</t>
  </si>
  <si>
    <t xml:space="preserve">Suma de S. ASEG 100%- USD  </t>
  </si>
  <si>
    <t>(Todas)</t>
  </si>
  <si>
    <t>TASAS REA</t>
  </si>
  <si>
    <t>PRESIDENTE ROQUE SAENZ PEÑA</t>
  </si>
  <si>
    <t>x</t>
  </si>
  <si>
    <t>S. ASEG HELADA</t>
  </si>
  <si>
    <t>Suma de S. ASEG HELADA</t>
  </si>
  <si>
    <t xml:space="preserve">Suma de PRIMA 100%- USD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</si>
</sst>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,##0\ ;&quot; -&quot;#,##0\ ;&quot; -&quot;#\ ;@\ "/>
    <numFmt numFmtId="165" formatCode="_ * #,##0_ ;_ * \-#,##0_ ;_ * &quot;-&quot;??_ ;_ @_ "/>
    <numFmt numFmtId="166" formatCode="[$USD]\ #,##0.00;[Red]\-[$USD]\ #,##0.00"/>
    <numFmt numFmtId="167" formatCode="[$USD]\ #,##0.00"/>
    <numFmt numFmtId="168" formatCode="_-[$USD]\ * #,##0.00_-;\-[$USD]\ * #,##0.00_-;_-[$USD]\ * &quot;-&quot;??_-;_-@_-"/>
    <numFmt numFmtId="169" formatCode="_-* #,##0_-;\-* #,##0_-;_-* &quot;-&quot;??_-;_-@_-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FF0000"/>
      <name val="Calibri"/>
      <family val="2"/>
    </font>
    <font>
      <b/>
      <sz val="10"/>
      <color theme="1"/>
      <name val="Calibri"/>
      <family val="2"/>
    </font>
    <font>
      <sz val="10"/>
      <color rgb="FFFF0000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0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9" fillId="0" borderId="0"/>
    <xf numFmtId="164" fontId="9" fillId="0" borderId="0"/>
    <xf numFmtId="44" fontId="1" fillId="0" borderId="0" applyFont="0" applyFill="0" applyBorder="0" applyAlignment="0" applyProtection="0"/>
  </cellStyleXfs>
  <cellXfs count="106">
    <xf numFmtId="0" fontId="0" fillId="0" borderId="0" xfId="0"/>
    <xf numFmtId="0" fontId="3" fillId="0" borderId="0" xfId="0" applyFont="1"/>
    <xf numFmtId="0" fontId="4" fillId="0" borderId="0" xfId="0" applyFont="1"/>
    <xf numFmtId="43" fontId="5" fillId="0" borderId="1" xfId="1" applyFont="1" applyBorder="1"/>
    <xf numFmtId="43" fontId="5" fillId="0" borderId="0" xfId="1" applyFont="1" applyBorder="1"/>
    <xf numFmtId="43" fontId="6" fillId="2" borderId="2" xfId="0" applyNumberFormat="1" applyFont="1" applyFill="1" applyBorder="1"/>
    <xf numFmtId="43" fontId="7" fillId="0" borderId="3" xfId="1" applyFont="1" applyBorder="1"/>
    <xf numFmtId="2" fontId="7" fillId="0" borderId="3" xfId="1" applyNumberFormat="1" applyFont="1" applyBorder="1"/>
    <xf numFmtId="43" fontId="7" fillId="0" borderId="4" xfId="1" applyFont="1" applyBorder="1"/>
    <xf numFmtId="43" fontId="5" fillId="0" borderId="5" xfId="1" applyFont="1" applyBorder="1"/>
    <xf numFmtId="43" fontId="5" fillId="0" borderId="6" xfId="1" applyFont="1" applyBorder="1"/>
    <xf numFmtId="4" fontId="7" fillId="0" borderId="6" xfId="0" applyNumberFormat="1" applyFont="1" applyBorder="1"/>
    <xf numFmtId="4" fontId="7" fillId="0" borderId="7" xfId="0" applyNumberFormat="1" applyFont="1" applyBorder="1"/>
    <xf numFmtId="4" fontId="7" fillId="0" borderId="0" xfId="0" applyNumberFormat="1" applyFont="1"/>
    <xf numFmtId="9" fontId="4" fillId="0" borderId="0" xfId="0" applyNumberFormat="1" applyFont="1"/>
    <xf numFmtId="43" fontId="8" fillId="0" borderId="0" xfId="1" applyFont="1"/>
    <xf numFmtId="4" fontId="4" fillId="0" borderId="0" xfId="0" applyNumberFormat="1" applyFont="1"/>
    <xf numFmtId="0" fontId="10" fillId="3" borderId="8" xfId="2" applyFont="1" applyFill="1" applyBorder="1" applyAlignment="1">
      <alignment horizontal="center" vertical="center"/>
    </xf>
    <xf numFmtId="0" fontId="10" fillId="3" borderId="8" xfId="2" applyFont="1" applyFill="1" applyBorder="1" applyAlignment="1">
      <alignment vertical="center"/>
    </xf>
    <xf numFmtId="43" fontId="10" fillId="3" borderId="8" xfId="1" applyFont="1" applyFill="1" applyBorder="1" applyAlignment="1">
      <alignment horizontal="center" vertical="center"/>
    </xf>
    <xf numFmtId="43" fontId="11" fillId="4" borderId="8" xfId="1" applyFont="1" applyFill="1" applyBorder="1" applyAlignment="1">
      <alignment horizontal="center" vertical="center"/>
    </xf>
    <xf numFmtId="164" fontId="10" fillId="3" borderId="8" xfId="3" applyFont="1" applyFill="1" applyBorder="1" applyAlignment="1">
      <alignment horizontal="center" vertical="center" wrapText="1"/>
    </xf>
    <xf numFmtId="164" fontId="10" fillId="3" borderId="9" xfId="3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43" fontId="4" fillId="0" borderId="0" xfId="1" applyFont="1"/>
    <xf numFmtId="0" fontId="4" fillId="0" borderId="10" xfId="0" applyFont="1" applyBorder="1"/>
    <xf numFmtId="0" fontId="4" fillId="0" borderId="5" xfId="0" applyFont="1" applyBorder="1"/>
    <xf numFmtId="0" fontId="8" fillId="0" borderId="0" xfId="0" applyFont="1" applyAlignment="1">
      <alignment horizontal="left"/>
    </xf>
    <xf numFmtId="0" fontId="8" fillId="0" borderId="0" xfId="0" applyFont="1"/>
    <xf numFmtId="4" fontId="8" fillId="0" borderId="0" xfId="0" applyNumberFormat="1" applyFont="1"/>
    <xf numFmtId="43" fontId="8" fillId="0" borderId="0" xfId="0" applyNumberFormat="1" applyFont="1"/>
    <xf numFmtId="0" fontId="8" fillId="0" borderId="10" xfId="0" applyFont="1" applyBorder="1"/>
    <xf numFmtId="0" fontId="2" fillId="0" borderId="0" xfId="0" applyFont="1"/>
    <xf numFmtId="14" fontId="0" fillId="0" borderId="0" xfId="0" applyNumberFormat="1"/>
    <xf numFmtId="0" fontId="12" fillId="0" borderId="0" xfId="0" applyFont="1" applyAlignment="1">
      <alignment horizontal="left"/>
    </xf>
    <xf numFmtId="4" fontId="12" fillId="0" borderId="0" xfId="0" applyNumberFormat="1" applyFont="1"/>
    <xf numFmtId="4" fontId="8" fillId="0" borderId="0" xfId="1" applyNumberFormat="1" applyFont="1"/>
    <xf numFmtId="0" fontId="4" fillId="5" borderId="0" xfId="0" applyFont="1" applyFill="1"/>
    <xf numFmtId="0" fontId="13" fillId="0" borderId="0" xfId="0" applyFont="1"/>
    <xf numFmtId="0" fontId="14" fillId="0" borderId="0" xfId="0" applyFont="1"/>
    <xf numFmtId="165" fontId="14" fillId="0" borderId="0" xfId="1" applyNumberFormat="1" applyFont="1"/>
    <xf numFmtId="165" fontId="15" fillId="6" borderId="8" xfId="1" applyNumberFormat="1" applyFont="1" applyFill="1" applyBorder="1"/>
    <xf numFmtId="0" fontId="14" fillId="0" borderId="10" xfId="0" applyFont="1" applyBorder="1"/>
    <xf numFmtId="14" fontId="14" fillId="0" borderId="9" xfId="0" applyNumberFormat="1" applyFont="1" applyBorder="1"/>
    <xf numFmtId="166" fontId="14" fillId="0" borderId="4" xfId="4" applyNumberFormat="1" applyFont="1" applyBorder="1"/>
    <xf numFmtId="167" fontId="14" fillId="0" borderId="4" xfId="4" applyNumberFormat="1" applyFont="1" applyBorder="1"/>
    <xf numFmtId="0" fontId="14" fillId="0" borderId="11" xfId="0" applyFont="1" applyBorder="1"/>
    <xf numFmtId="167" fontId="14" fillId="0" borderId="15" xfId="4" applyNumberFormat="1" applyFont="1" applyBorder="1"/>
    <xf numFmtId="14" fontId="14" fillId="0" borderId="11" xfId="0" applyNumberFormat="1" applyFont="1" applyBorder="1"/>
    <xf numFmtId="167" fontId="14" fillId="0" borderId="11" xfId="4" applyNumberFormat="1" applyFont="1" applyBorder="1"/>
    <xf numFmtId="0" fontId="14" fillId="0" borderId="5" xfId="0" applyFont="1" applyBorder="1"/>
    <xf numFmtId="14" fontId="14" fillId="0" borderId="13" xfId="0" applyNumberFormat="1" applyFont="1" applyBorder="1"/>
    <xf numFmtId="167" fontId="14" fillId="0" borderId="7" xfId="4" applyNumberFormat="1" applyFont="1" applyBorder="1"/>
    <xf numFmtId="167" fontId="14" fillId="0" borderId="13" xfId="4" applyNumberFormat="1" applyFont="1" applyBorder="1"/>
    <xf numFmtId="0" fontId="14" fillId="0" borderId="9" xfId="0" applyFont="1" applyBorder="1"/>
    <xf numFmtId="0" fontId="15" fillId="6" borderId="12" xfId="0" applyFont="1" applyFill="1" applyBorder="1"/>
    <xf numFmtId="0" fontId="15" fillId="6" borderId="14" xfId="0" applyFont="1" applyFill="1" applyBorder="1"/>
    <xf numFmtId="168" fontId="15" fillId="6" borderId="5" xfId="4" applyNumberFormat="1" applyFont="1" applyFill="1" applyBorder="1"/>
    <xf numFmtId="165" fontId="15" fillId="6" borderId="11" xfId="1" applyNumberFormat="1" applyFont="1" applyFill="1" applyBorder="1"/>
    <xf numFmtId="4" fontId="0" fillId="0" borderId="0" xfId="0" applyNumberFormat="1"/>
    <xf numFmtId="43" fontId="0" fillId="0" borderId="0" xfId="0" applyNumberFormat="1"/>
    <xf numFmtId="4" fontId="16" fillId="0" borderId="0" xfId="0" applyNumberFormat="1" applyFont="1"/>
    <xf numFmtId="43" fontId="11" fillId="4" borderId="8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3" fontId="8" fillId="0" borderId="0" xfId="0" applyNumberFormat="1" applyFont="1"/>
    <xf numFmtId="3" fontId="4" fillId="0" borderId="0" xfId="0" applyNumberFormat="1" applyFont="1"/>
    <xf numFmtId="3" fontId="12" fillId="0" borderId="0" xfId="0" applyNumberFormat="1" applyFont="1"/>
    <xf numFmtId="10" fontId="4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0" fontId="5" fillId="0" borderId="0" xfId="1" applyNumberFormat="1" applyFont="1" applyBorder="1"/>
    <xf numFmtId="10" fontId="4" fillId="0" borderId="0" xfId="0" applyNumberFormat="1" applyFont="1" applyAlignment="1">
      <alignment vertical="center"/>
    </xf>
    <xf numFmtId="10" fontId="8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4" fontId="4" fillId="0" borderId="0" xfId="0" applyNumberFormat="1" applyFont="1" applyAlignment="1">
      <alignment vertical="center"/>
    </xf>
    <xf numFmtId="43" fontId="2" fillId="0" borderId="0" xfId="1" applyFont="1"/>
    <xf numFmtId="43" fontId="0" fillId="0" borderId="0" xfId="1" applyFont="1"/>
    <xf numFmtId="0" fontId="4" fillId="7" borderId="0" xfId="0" applyFont="1" applyFill="1" applyAlignment="1">
      <alignment vertical="center"/>
    </xf>
    <xf numFmtId="10" fontId="4" fillId="7" borderId="0" xfId="0" applyNumberFormat="1" applyFont="1" applyFill="1" applyAlignment="1">
      <alignment vertical="center"/>
    </xf>
    <xf numFmtId="0" fontId="4" fillId="7" borderId="0" xfId="0" applyFont="1" applyFill="1"/>
    <xf numFmtId="4" fontId="16" fillId="7" borderId="0" xfId="0" applyNumberFormat="1" applyFont="1" applyFill="1"/>
    <xf numFmtId="169" fontId="4" fillId="0" borderId="0" xfId="1" applyNumberFormat="1" applyFont="1" applyAlignment="1">
      <alignment vertical="center"/>
    </xf>
    <xf numFmtId="169" fontId="12" fillId="0" borderId="0" xfId="1" applyNumberFormat="1" applyFont="1"/>
    <xf numFmtId="169" fontId="4" fillId="0" borderId="0" xfId="1" applyNumberFormat="1" applyFont="1"/>
    <xf numFmtId="169" fontId="7" fillId="0" borderId="0" xfId="1" applyNumberFormat="1" applyFont="1"/>
    <xf numFmtId="169" fontId="4" fillId="0" borderId="0" xfId="1" applyNumberFormat="1" applyFont="1" applyFill="1" applyAlignment="1">
      <alignment vertical="center"/>
    </xf>
    <xf numFmtId="169" fontId="12" fillId="0" borderId="0" xfId="1" applyNumberFormat="1" applyFont="1" applyFill="1"/>
    <xf numFmtId="169" fontId="16" fillId="0" borderId="0" xfId="1" applyNumberFormat="1" applyFont="1"/>
    <xf numFmtId="169" fontId="7" fillId="0" borderId="0" xfId="1" applyNumberFormat="1" applyFont="1" applyFill="1"/>
    <xf numFmtId="169" fontId="4" fillId="0" borderId="0" xfId="1" applyNumberFormat="1" applyFont="1" applyFill="1"/>
    <xf numFmtId="169" fontId="8" fillId="0" borderId="0" xfId="1" applyNumberFormat="1" applyFont="1" applyFill="1"/>
    <xf numFmtId="169" fontId="8" fillId="0" borderId="0" xfId="1" applyNumberFormat="1" applyFont="1"/>
    <xf numFmtId="3" fontId="0" fillId="0" borderId="0" xfId="0" applyNumberFormat="1"/>
    <xf numFmtId="0" fontId="8" fillId="5" borderId="0" xfId="0" applyFont="1" applyFill="1" applyAlignment="1">
      <alignment horizontal="left"/>
    </xf>
    <xf numFmtId="0" fontId="12" fillId="5" borderId="0" xfId="0" applyFont="1" applyFill="1" applyAlignment="1">
      <alignment horizontal="left"/>
    </xf>
    <xf numFmtId="4" fontId="12" fillId="5" borderId="0" xfId="0" applyNumberFormat="1" applyFont="1" applyFill="1"/>
    <xf numFmtId="3" fontId="8" fillId="5" borderId="0" xfId="0" applyNumberFormat="1" applyFont="1" applyFill="1"/>
    <xf numFmtId="4" fontId="8" fillId="5" borderId="0" xfId="0" applyNumberFormat="1" applyFont="1" applyFill="1"/>
    <xf numFmtId="169" fontId="8" fillId="5" borderId="0" xfId="1" applyNumberFormat="1" applyFont="1" applyFill="1"/>
    <xf numFmtId="3" fontId="12" fillId="5" borderId="0" xfId="0" applyNumberFormat="1" applyFont="1" applyFill="1"/>
    <xf numFmtId="169" fontId="4" fillId="5" borderId="0" xfId="1" applyNumberFormat="1" applyFont="1" applyFill="1"/>
    <xf numFmtId="169" fontId="12" fillId="5" borderId="0" xfId="1" applyNumberFormat="1" applyFont="1" applyFill="1"/>
    <xf numFmtId="10" fontId="4" fillId="5" borderId="0" xfId="0" applyNumberFormat="1" applyFont="1" applyFill="1" applyAlignment="1">
      <alignment vertical="center"/>
    </xf>
    <xf numFmtId="169" fontId="4" fillId="5" borderId="0" xfId="1" applyNumberFormat="1" applyFont="1" applyFill="1" applyAlignment="1">
      <alignment vertical="center"/>
    </xf>
  </cellXfs>
  <cellStyles count="5">
    <cellStyle name="Millares" xfId="1" builtinId="3"/>
    <cellStyle name="Millares 2" xfId="3" xr:uid="{222BD88B-4DEE-4DD0-BC6F-342E122C3CFB}"/>
    <cellStyle name="Moneda" xfId="4" builtinId="4"/>
    <cellStyle name="Normal" xfId="0" builtinId="0"/>
    <cellStyle name="Normal 2" xfId="2" xr:uid="{E7F978EA-6D6B-4B28-89CB-20580B996362}"/>
  </cellStyles>
  <dxfs count="5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color rgb="FF9C0006"/>
      </font>
      <fill>
        <patternFill>
          <bgColor rgb="FFFFC7CE"/>
        </patternFill>
      </fill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driguez, Julian" id="{140E4FBA-03C9-4D29-8F64-ACC388B2CBD3}" userId="S::julianz@mapfre.com.ar::fadbc2a7-3638-4b8b-9eee-64d699903f33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uez, Julian" refreshedDate="46153.795785185182" createdVersion="8" refreshedVersion="8" minRefreshableVersion="3" recordCount="210" xr:uid="{6CBAEF9E-566E-442B-808D-E0EEDB1D783B}">
  <cacheSource type="worksheet">
    <worksheetSource ref="B5:M215" sheet="25-26"/>
  </cacheSource>
  <cacheFields count="12">
    <cacheField name="COSECHA" numFmtId="0">
      <sharedItems count="2">
        <s v="FINA"/>
        <s v="GRUESA"/>
      </sharedItems>
    </cacheField>
    <cacheField name="COBERTURA" numFmtId="0">
      <sharedItems count="3">
        <s v="BASICA"/>
        <s v="BASICA + HELADAS"/>
        <s v="BASICA + VIENTOS"/>
      </sharedItems>
    </cacheField>
    <cacheField name="CULTIVO" numFmtId="0">
      <sharedItems/>
    </cacheField>
    <cacheField name="PROVINCIA" numFmtId="0">
      <sharedItems count="5">
        <s v="BUENOS AIRES"/>
        <s v="CORDOBA"/>
        <s v="LA PAMPA"/>
        <s v="SANTA FE"/>
        <s v="SAN LUIS"/>
      </sharedItems>
    </cacheField>
    <cacheField name="DEPARTAMENTO" numFmtId="0">
      <sharedItems/>
    </cacheField>
    <cacheField name="HAS" numFmtId="4">
      <sharedItems containsSemiMixedTypes="0" containsString="0" containsNumber="1" minValue="14" maxValue="6168"/>
    </cacheField>
    <cacheField name="S. ASEG 100%- USD  " numFmtId="3">
      <sharedItems containsSemiMixedTypes="0" containsString="0" containsNumber="1" minValue="4231.3117066290552" maxValue="3095177.1579689705"/>
    </cacheField>
    <cacheField name="S. ASEG HELADA" numFmtId="4">
      <sharedItems containsSemiMixedTypes="0" containsString="0" containsNumber="1" minValue="0" maxValue="270432.60930888576"/>
    </cacheField>
    <cacheField name="PRIMA 100%- USD " numFmtId="3">
      <sharedItems containsSemiMixedTypes="0" containsString="0" containsNumber="1" minValue="153.29189189189191" maxValue="93804"/>
    </cacheField>
    <cacheField name="ST PAGADO 100%- USD" numFmtId="169">
      <sharedItems containsSemiMixedTypes="0" containsString="0" containsNumber="1" minValue="0" maxValue="125285.1234477721"/>
    </cacheField>
    <cacheField name="RSP 100%- USD " numFmtId="169">
      <sharedItems containsString="0" containsBlank="1" containsNumber="1" minValue="0" maxValue="5215.7321402483567"/>
    </cacheField>
    <cacheField name=" HYG 100%- USD" numFmtId="169">
      <sharedItems containsSemiMixedTypes="0" containsString="0" containsNumber="1" minValue="0" maxValue="5035.49880112835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x v="0"/>
    <x v="0"/>
    <s v="TRIGO"/>
    <x v="0"/>
    <s v="9 DE JULIO"/>
    <n v="213"/>
    <n v="120338.08180535966"/>
    <n v="0"/>
    <n v="3453.1456391526663"/>
    <n v="0"/>
    <m/>
    <n v="0"/>
  </r>
  <r>
    <x v="0"/>
    <x v="0"/>
    <s v="TRIGO"/>
    <x v="0"/>
    <s v="BALCARCE"/>
    <n v="474.8"/>
    <n v="335437.90197461215"/>
    <n v="0"/>
    <n v="7781"/>
    <n v="0"/>
    <m/>
    <n v="578.87644569816644"/>
  </r>
  <r>
    <x v="0"/>
    <x v="0"/>
    <s v="TRIGO"/>
    <x v="0"/>
    <s v="BENITO JUAREZ"/>
    <n v="256"/>
    <n v="143634.41466854725"/>
    <n v="0"/>
    <n v="4463.2636961285607"/>
    <n v="0"/>
    <m/>
    <n v="0"/>
  </r>
  <r>
    <x v="0"/>
    <x v="0"/>
    <s v="TRIGO"/>
    <x v="0"/>
    <s v="BOLIVAR"/>
    <n v="559"/>
    <n v="316359.30888575461"/>
    <n v="0"/>
    <n v="8912.9671292914536"/>
    <n v="1350.7669831994156"/>
    <n v="2033.5167713659605"/>
    <n v="1963.2471509167842"/>
  </r>
  <r>
    <x v="0"/>
    <x v="0"/>
    <s v="TRIGO"/>
    <x v="0"/>
    <s v="TANDIL "/>
    <n v="73"/>
    <n v="43645.557122708036"/>
    <n v="0"/>
    <n v="2056.9523009495983"/>
    <n v="0"/>
    <m/>
    <n v="0"/>
  </r>
  <r>
    <x v="0"/>
    <x v="0"/>
    <s v="TRIGO"/>
    <x v="0"/>
    <s v="CARLOS TEJEDOR"/>
    <n v="209"/>
    <n v="113387.30606488012"/>
    <n v="0"/>
    <n v="3019.1657706355004"/>
    <n v="0"/>
    <m/>
    <n v="0"/>
  </r>
  <r>
    <x v="0"/>
    <x v="0"/>
    <s v="TRIGO"/>
    <x v="0"/>
    <s v="CHIVILCOY"/>
    <n v="216.5"/>
    <n v="96301.276445698168"/>
    <n v="0"/>
    <n v="2743.0715266617967"/>
    <n v="0"/>
    <m/>
    <n v="0"/>
  </r>
  <r>
    <x v="0"/>
    <x v="0"/>
    <s v="TRIGO"/>
    <x v="0"/>
    <s v="COLON"/>
    <n v="142.80000000000001"/>
    <n v="8443.5283497884338"/>
    <n v="0"/>
    <n v="247.50455076698319"/>
    <n v="0"/>
    <m/>
    <n v="0"/>
  </r>
  <r>
    <x v="0"/>
    <x v="0"/>
    <s v="TRIGO"/>
    <x v="0"/>
    <s v="GENERAL PINTO"/>
    <n v="411"/>
    <n v="103378.96332863187"/>
    <n v="0"/>
    <n v="2569.8998392987583"/>
    <n v="0"/>
    <m/>
    <n v="0"/>
  </r>
  <r>
    <x v="0"/>
    <x v="0"/>
    <s v="TRIGO"/>
    <x v="0"/>
    <s v="GENERAL VILLEGAS"/>
    <n v="2018"/>
    <n v="881066.58843441471"/>
    <n v="0"/>
    <n v="24346"/>
    <n v="0"/>
    <m/>
    <n v="0"/>
  </r>
  <r>
    <x v="0"/>
    <x v="0"/>
    <s v="TRIGO"/>
    <x v="0"/>
    <s v="LEANDRO N. ALEM"/>
    <n v="233"/>
    <n v="92518.476727785615"/>
    <n v="0"/>
    <n v="2175.3398392987583"/>
    <n v="0"/>
    <m/>
    <n v="0"/>
  </r>
  <r>
    <x v="0"/>
    <x v="0"/>
    <s v="TRIGO"/>
    <x v="0"/>
    <s v="LINCOLN"/>
    <n v="3196"/>
    <n v="1343393.4978843441"/>
    <n v="0"/>
    <n v="33329.468677867051"/>
    <n v="50015.342775748715"/>
    <n v="1189.1959313367422"/>
    <n v="1148.102418899859"/>
  </r>
  <r>
    <x v="0"/>
    <x v="0"/>
    <s v="TRIGO"/>
    <x v="0"/>
    <s v="MAIPU"/>
    <n v="272"/>
    <n v="228725.52891396332"/>
    <n v="0"/>
    <n v="6325.5557048940827"/>
    <n v="0"/>
    <m/>
    <n v="0"/>
  </r>
  <r>
    <x v="0"/>
    <x v="0"/>
    <s v="TRIGO"/>
    <x v="0"/>
    <s v="OLAVARRIA"/>
    <n v="277"/>
    <n v="167606.48801128351"/>
    <n v="0"/>
    <n v="4635.268224981739"/>
    <n v="0"/>
    <m/>
    <n v="0"/>
  </r>
  <r>
    <x v="0"/>
    <x v="0"/>
    <s v="TRIGO"/>
    <x v="0"/>
    <s v="PEHUAJO"/>
    <n v="168"/>
    <n v="59297.602256699574"/>
    <n v="0"/>
    <n v="1999.618407596786"/>
    <n v="35328.974726077431"/>
    <n v="680.42856099342578"/>
    <n v="656.91586741889978"/>
  </r>
  <r>
    <x v="0"/>
    <x v="0"/>
    <s v="TRIGO"/>
    <x v="0"/>
    <s v="PERGAMINO"/>
    <n v="442"/>
    <n v="99990.253878702395"/>
    <n v="0"/>
    <n v="2505.7625127830538"/>
    <n v="0"/>
    <m/>
    <n v="0"/>
  </r>
  <r>
    <x v="0"/>
    <x v="0"/>
    <s v="TRIGO"/>
    <x v="0"/>
    <s v="PUAN"/>
    <n v="2836"/>
    <n v="835003.12059238367"/>
    <n v="0"/>
    <n v="24069.884572680785"/>
    <n v="77818.135295836371"/>
    <n v="3621.4858436815193"/>
    <n v="3496.3428208744713"/>
  </r>
  <r>
    <x v="0"/>
    <x v="0"/>
    <s v="TRIGO"/>
    <x v="0"/>
    <s v="RAMALLO"/>
    <n v="1138"/>
    <n v="159559.5909732017"/>
    <n v="0"/>
    <n v="4289.2908692476267"/>
    <n v="0"/>
    <m/>
    <n v="0"/>
  </r>
  <r>
    <x v="0"/>
    <x v="0"/>
    <s v="TRIGO"/>
    <x v="0"/>
    <s v="RIVADAVIA"/>
    <n v="1370"/>
    <n v="147277.41537376586"/>
    <n v="0"/>
    <n v="4530.7082542001463"/>
    <n v="0"/>
    <m/>
    <n v="0"/>
  </r>
  <r>
    <x v="0"/>
    <x v="0"/>
    <s v="TRIGO"/>
    <x v="0"/>
    <s v="ROJAS"/>
    <n v="55"/>
    <n v="33477.080394922428"/>
    <n v="0"/>
    <n v="925.83078889700516"/>
    <n v="0"/>
    <m/>
    <n v="0"/>
  </r>
  <r>
    <x v="0"/>
    <x v="0"/>
    <s v="TRIGO"/>
    <x v="0"/>
    <s v="SALLIQUELLO"/>
    <n v="173"/>
    <n v="52137.905500705216"/>
    <n v="0"/>
    <n v="1177.2883783783784"/>
    <n v="0"/>
    <m/>
    <n v="0"/>
  </r>
  <r>
    <x v="0"/>
    <x v="0"/>
    <s v="TRIGO"/>
    <x v="0"/>
    <s v="SAN NICOLAS"/>
    <n v="14"/>
    <n v="6086.7418899858958"/>
    <n v="0"/>
    <n v="153.29189189189191"/>
    <n v="0"/>
    <m/>
    <n v="0"/>
  </r>
  <r>
    <x v="0"/>
    <x v="0"/>
    <s v="TRIGO"/>
    <x v="0"/>
    <s v="TRES LOMAS"/>
    <n v="52"/>
    <n v="12261.988716502115"/>
    <n v="0"/>
    <n v="364.51515704894081"/>
    <n v="0"/>
    <m/>
    <n v="0"/>
  </r>
  <r>
    <x v="0"/>
    <x v="0"/>
    <s v="FINA OTROS"/>
    <x v="0"/>
    <s v="ADOLFO ALSINA"/>
    <n v="785"/>
    <n v="221098.90691114246"/>
    <n v="0"/>
    <n v="5908.9872753834916"/>
    <n v="0"/>
    <m/>
    <n v="0"/>
  </r>
  <r>
    <x v="0"/>
    <x v="0"/>
    <s v="FINA OTROS"/>
    <x v="0"/>
    <s v="BALCARCE"/>
    <n v="652.20000000000005"/>
    <n v="428974.33356840623"/>
    <n v="0"/>
    <n v="10169.674872169468"/>
    <n v="16969.725872899926"/>
    <n v="1798.7877282688096"/>
    <n v="1736.6293370944995"/>
  </r>
  <r>
    <x v="0"/>
    <x v="0"/>
    <s v="FINA OTROS"/>
    <x v="0"/>
    <s v="BENITO JUAREZ"/>
    <n v="246"/>
    <n v="138023.69534555712"/>
    <n v="0"/>
    <n v="4301.2088677867059"/>
    <n v="0"/>
    <m/>
    <n v="0"/>
  </r>
  <r>
    <x v="0"/>
    <x v="0"/>
    <s v="FINA OTROS"/>
    <x v="0"/>
    <s v="BOLIVAR"/>
    <n v="348"/>
    <n v="180534.20310296191"/>
    <n v="0"/>
    <n v="5460.282688093499"/>
    <n v="55874.924178232286"/>
    <n v="700.55872169466761"/>
    <n v="676.35041607898449"/>
  </r>
  <r>
    <x v="0"/>
    <x v="0"/>
    <s v="FINA OTROS"/>
    <x v="0"/>
    <s v="TANDIL "/>
    <n v="109"/>
    <n v="65169.393511988717"/>
    <n v="0"/>
    <n v="3071.3397370343314"/>
    <n v="0"/>
    <m/>
    <n v="0"/>
  </r>
  <r>
    <x v="0"/>
    <x v="0"/>
    <s v="FINA OTROS"/>
    <x v="0"/>
    <s v="CORONEL SUAREZ"/>
    <n v="82"/>
    <n v="34280.394922425949"/>
    <n v="0"/>
    <n v="1019.061738495252"/>
    <n v="9609.0565084002919"/>
    <n v="1527.4925200876551"/>
    <n v="1474.7089280677008"/>
  </r>
  <r>
    <x v="0"/>
    <x v="0"/>
    <s v="FINA OTROS"/>
    <x v="0"/>
    <s v="DAIREAUX"/>
    <n v="230.1"/>
    <n v="112859.34414668547"/>
    <n v="0"/>
    <n v="3413.4485025566105"/>
    <n v="97272.191380569755"/>
    <n v="668.86252739225711"/>
    <n v="645.74950634696756"/>
  </r>
  <r>
    <x v="0"/>
    <x v="0"/>
    <s v="FINA OTROS"/>
    <x v="0"/>
    <s v="GENERAL VILLEGAS"/>
    <n v="84"/>
    <n v="13227.926657263752"/>
    <n v="0"/>
    <n v="395.96968590211833"/>
    <n v="0"/>
    <m/>
    <n v="0"/>
  </r>
  <r>
    <x v="0"/>
    <x v="0"/>
    <s v="FINA OTROS"/>
    <x v="0"/>
    <s v="PUAN"/>
    <n v="4325"/>
    <n v="1212879.8483779973"/>
    <n v="0"/>
    <n v="31090"/>
    <n v="52460.850284879481"/>
    <n v="1307.8885390796202"/>
    <n v="1262.6935190409029"/>
  </r>
  <r>
    <x v="0"/>
    <x v="0"/>
    <s v="FINA OTROS"/>
    <x v="0"/>
    <s v="RAMALLO"/>
    <n v="858"/>
    <n v="308544.94005641749"/>
    <n v="0"/>
    <n v="9087.9131775018286"/>
    <n v="0"/>
    <m/>
    <n v="692.05193935119894"/>
  </r>
  <r>
    <x v="0"/>
    <x v="0"/>
    <s v="FINA OTROS"/>
    <x v="0"/>
    <s v="SAAVEDRA"/>
    <n v="68"/>
    <n v="16784.203102961917"/>
    <n v="0"/>
    <n v="496.59436815193567"/>
    <n v="0"/>
    <m/>
    <n v="389.44030324400563"/>
  </r>
  <r>
    <x v="0"/>
    <x v="1"/>
    <s v="TRIGO"/>
    <x v="0"/>
    <s v="ADOLFO ALSINA"/>
    <n v="1480"/>
    <n v="450721.01551480958"/>
    <n v="270432.60930888576"/>
    <n v="22201.229101533965"/>
    <n v="125285.1234477721"/>
    <n v="1366.4740759678598"/>
    <n v="1319.2545909732016"/>
  </r>
  <r>
    <x v="0"/>
    <x v="1"/>
    <s v="TRIGO"/>
    <x v="0"/>
    <s v="BOLIVAR"/>
    <n v="165"/>
    <n v="90812.834978843443"/>
    <n v="90812.834978843443"/>
    <n v="3489.7494813732651"/>
    <n v="0"/>
    <m/>
    <n v="0"/>
  </r>
  <r>
    <x v="0"/>
    <x v="1"/>
    <s v="TRIGO"/>
    <x v="0"/>
    <s v="TANDIL "/>
    <n v="60"/>
    <n v="36291.960507757402"/>
    <n v="36291.960507757402"/>
    <n v="1710.3878743608473"/>
    <n v="0"/>
    <m/>
    <n v="0"/>
  </r>
  <r>
    <x v="0"/>
    <x v="1"/>
    <s v="TRIGO"/>
    <x v="0"/>
    <s v="CORONEL SUAREZ"/>
    <n v="339"/>
    <n v="120396.05077574048"/>
    <n v="72237.630465444294"/>
    <n v="6399.6063403944481"/>
    <n v="0"/>
    <m/>
    <n v="1247.6902820874473"/>
  </r>
  <r>
    <x v="0"/>
    <x v="1"/>
    <s v="TRIGO"/>
    <x v="0"/>
    <s v="GENERAL ARENALES"/>
    <n v="73"/>
    <n v="44433.215796897035"/>
    <n v="26659.92947813822"/>
    <n v="2186.1207085463843"/>
    <n v="0"/>
    <m/>
    <n v="0"/>
  </r>
  <r>
    <x v="0"/>
    <x v="1"/>
    <s v="TRIGO"/>
    <x v="0"/>
    <s v="GENERAL VILLEGAS"/>
    <n v="853"/>
    <n v="322149.68265162199"/>
    <n v="193289.80959097319"/>
    <n v="19316.327684441199"/>
    <n v="950.95456537618702"/>
    <n v="0"/>
    <n v="0"/>
  </r>
  <r>
    <x v="0"/>
    <x v="1"/>
    <s v="TRIGO"/>
    <x v="0"/>
    <s v="JUNIN"/>
    <n v="50"/>
    <n v="31371.650211565586"/>
    <n v="18822.990126939352"/>
    <n v="1542.6675821767712"/>
    <n v="0"/>
    <m/>
    <n v="0"/>
  </r>
  <r>
    <x v="0"/>
    <x v="1"/>
    <s v="TRIGO"/>
    <x v="0"/>
    <s v="PEHUAJO"/>
    <n v="163"/>
    <n v="101696.82651622003"/>
    <n v="61018.095909732016"/>
    <n v="4476.8146457268076"/>
    <n v="0"/>
    <m/>
    <n v="0"/>
  </r>
  <r>
    <x v="0"/>
    <x v="1"/>
    <s v="TRIGO"/>
    <x v="0"/>
    <s v="PUAN"/>
    <n v="1184"/>
    <n v="382514.47461212974"/>
    <n v="229508.68476727782"/>
    <n v="18561.323031409785"/>
    <n v="35091.002907231559"/>
    <n v="3226.2754200146092"/>
    <n v="3114.789174894217"/>
  </r>
  <r>
    <x v="0"/>
    <x v="1"/>
    <s v="TRIGO"/>
    <x v="0"/>
    <s v="TORNQUIST"/>
    <n v="484"/>
    <n v="158735.89562764458"/>
    <n v="95241.537376586741"/>
    <n v="7863.1040467494522"/>
    <n v="32608.532943754566"/>
    <n v="1621.3850255661066"/>
    <n v="1565.3569111424542"/>
  </r>
  <r>
    <x v="0"/>
    <x v="1"/>
    <s v="FINA OTROS"/>
    <x v="0"/>
    <s v="ADOLFO ALSINA"/>
    <n v="55"/>
    <n v="22876.586741889987"/>
    <n v="13725.952045133992"/>
    <n v="1156.335427319211"/>
    <n v="0"/>
    <m/>
    <n v="0"/>
  </r>
  <r>
    <x v="0"/>
    <x v="1"/>
    <s v="FINA OTROS"/>
    <x v="0"/>
    <s v="CORONEL SUAREZ"/>
    <n v="70"/>
    <n v="20977.785613540196"/>
    <n v="12586.671368124118"/>
    <n v="1042.9744338933529"/>
    <n v="0"/>
    <m/>
    <n v="0"/>
  </r>
  <r>
    <x v="0"/>
    <x v="1"/>
    <s v="FINA OTROS"/>
    <x v="0"/>
    <s v="GENERAL VILLEGAS"/>
    <n v="20"/>
    <n v="6849.4358251057829"/>
    <n v="4109.6614950634694"/>
    <n v="420.70945945945948"/>
    <n v="0"/>
    <m/>
    <n v="499.34118476727787"/>
  </r>
  <r>
    <x v="0"/>
    <x v="1"/>
    <s v="FINA OTROS"/>
    <x v="0"/>
    <s v="PUAN"/>
    <n v="122"/>
    <n v="48946.96755994358"/>
    <n v="29368.180535966148"/>
    <n v="2379.9541344046747"/>
    <n v="0"/>
    <m/>
    <n v="0"/>
  </r>
  <r>
    <x v="0"/>
    <x v="1"/>
    <s v="FINA OTROS"/>
    <x v="0"/>
    <s v="SAAVEDRA"/>
    <n v="37"/>
    <n v="10469.851904090268"/>
    <n v="6281.9111424541607"/>
    <n v="520.54054054054052"/>
    <n v="0"/>
    <m/>
    <n v="389.44030324400563"/>
  </r>
  <r>
    <x v="0"/>
    <x v="1"/>
    <s v="FINA OTROS"/>
    <x v="0"/>
    <s v="TORNQUIST"/>
    <n v="198"/>
    <n v="56027.856135401977"/>
    <n v="33616.713681241185"/>
    <n v="2785.5953250547846"/>
    <n v="6710.4"/>
    <n v="654.16278305332355"/>
    <n v="631.55772214386457"/>
  </r>
  <r>
    <x v="0"/>
    <x v="2"/>
    <s v="FINA OTROS"/>
    <x v="0"/>
    <s v="ADOLFO ALSINA"/>
    <n v="132"/>
    <n v="60016.643159379404"/>
    <n v="0"/>
    <n v="2150.9017969320671"/>
    <n v="0"/>
    <m/>
    <n v="0"/>
  </r>
  <r>
    <x v="0"/>
    <x v="2"/>
    <s v="FINA OTROS"/>
    <x v="0"/>
    <s v="CORONEL SUAREZ"/>
    <n v="644"/>
    <n v="181664.31593794076"/>
    <n v="0"/>
    <n v="8488.7116581446317"/>
    <n v="0"/>
    <m/>
    <n v="0"/>
  </r>
  <r>
    <x v="0"/>
    <x v="2"/>
    <s v="FINA OTROS"/>
    <x v="0"/>
    <s v="PUAN"/>
    <n v="225"/>
    <n v="63288.081805359659"/>
    <n v="0"/>
    <n v="3113.7828707085464"/>
    <n v="0"/>
    <m/>
    <n v="0"/>
  </r>
  <r>
    <x v="0"/>
    <x v="0"/>
    <s v="TRIGO"/>
    <x v="1"/>
    <s v="GENERAL ROCA"/>
    <n v="1250"/>
    <n v="749742.73624823696"/>
    <n v="0"/>
    <n v="36969.337472607745"/>
    <n v="0"/>
    <m/>
    <n v="810.64372355430191"/>
  </r>
  <r>
    <x v="0"/>
    <x v="0"/>
    <s v="TRIGO"/>
    <x v="1"/>
    <s v="GENERAL SAN MARTIN"/>
    <n v="170"/>
    <n v="59128.349788434418"/>
    <n v="0"/>
    <n v="3331.7119065010952"/>
    <n v="0"/>
    <m/>
    <n v="0"/>
  </r>
  <r>
    <x v="0"/>
    <x v="0"/>
    <s v="TRIGO"/>
    <x v="1"/>
    <s v="PRESIDENTE ROQUE SAENZ PEÑA"/>
    <n v="2014.33"/>
    <n v="1129359.0176304653"/>
    <n v="0"/>
    <n v="42232"/>
    <n v="0"/>
    <m/>
    <n v="773.2517630465444"/>
  </r>
  <r>
    <x v="0"/>
    <x v="0"/>
    <s v="TRIGO"/>
    <x v="1"/>
    <s v="RIO CUARTO"/>
    <n v="1047"/>
    <n v="207036.17771509168"/>
    <n v="0"/>
    <n v="15219.462096420744"/>
    <n v="759.97472607742884"/>
    <n v="800.9284149013879"/>
    <n v="773.2517630465444"/>
  </r>
  <r>
    <x v="0"/>
    <x v="0"/>
    <s v="TRIGO"/>
    <x v="1"/>
    <s v="RIO PRIMERO"/>
    <n v="1023"/>
    <n v="381107.68688293372"/>
    <n v="0"/>
    <n v="16550.794747991236"/>
    <n v="0"/>
    <m/>
    <n v="0"/>
  </r>
  <r>
    <x v="0"/>
    <x v="0"/>
    <s v="TRIGO"/>
    <x v="1"/>
    <s v="RIO TERCERO"/>
    <n v="80"/>
    <n v="30284.908321579689"/>
    <n v="0"/>
    <n v="2233.4644265887509"/>
    <n v="744.56099342585833"/>
    <n v="675.53652300949602"/>
    <n v="652.19287729196049"/>
  </r>
  <r>
    <x v="0"/>
    <x v="0"/>
    <s v="TRIGO"/>
    <x v="1"/>
    <s v="SAN JUSTO"/>
    <n v="1573"/>
    <n v="283937.81382228492"/>
    <n v="0"/>
    <n v="8366.4126296566828"/>
    <n v="713.68093498904307"/>
    <n v="1871.8688093498904"/>
    <n v="1807.1850493653033"/>
  </r>
  <r>
    <x v="0"/>
    <x v="0"/>
    <s v="TRIGO"/>
    <x v="1"/>
    <s v="TERCERO ARRIBA"/>
    <n v="873"/>
    <n v="264090.21156558534"/>
    <n v="0"/>
    <n v="14142.196179693206"/>
    <n v="879.04163623082547"/>
    <n v="800.9284149013879"/>
    <n v="773.2517630465444"/>
  </r>
  <r>
    <x v="0"/>
    <x v="0"/>
    <s v="FINA OTROS"/>
    <x v="1"/>
    <s v="GENERAL ROCA"/>
    <n v="60"/>
    <n v="30740.479548660085"/>
    <n v="0"/>
    <n v="1528.3564645726808"/>
    <n v="0"/>
    <m/>
    <n v="0"/>
  </r>
  <r>
    <x v="0"/>
    <x v="0"/>
    <s v="FINA OTROS"/>
    <x v="1"/>
    <s v="PRESIDENTE ROQUE SAENZ PEÑA"/>
    <n v="793"/>
    <n v="91235.014104372356"/>
    <n v="0"/>
    <n v="4296.2627027027029"/>
    <n v="0"/>
    <m/>
    <n v="1037.1744922425951"/>
  </r>
  <r>
    <x v="0"/>
    <x v="0"/>
    <s v="FINA OTROS"/>
    <x v="1"/>
    <s v="RIO PRIMERO"/>
    <n v="162"/>
    <n v="62218.053596614947"/>
    <n v="0"/>
    <n v="2738.9123447772095"/>
    <n v="0"/>
    <m/>
    <n v="0"/>
  </r>
  <r>
    <x v="0"/>
    <x v="0"/>
    <s v="TRIGO"/>
    <x v="2"/>
    <s v="CHAPALEUFU"/>
    <n v="137"/>
    <n v="52018.617771509169"/>
    <n v="0"/>
    <n v="1549.9780861943025"/>
    <n v="0"/>
    <m/>
    <n v="0"/>
  </r>
  <r>
    <x v="0"/>
    <x v="0"/>
    <s v="TRIGO"/>
    <x v="2"/>
    <s v="CONHELLO"/>
    <n v="1026"/>
    <n v="257349.92947813822"/>
    <n v="0"/>
    <n v="12469.395091307522"/>
    <n v="821.76771365960553"/>
    <n v="647.58345507669833"/>
    <n v="625.2057475317348"/>
  </r>
  <r>
    <x v="0"/>
    <x v="0"/>
    <s v="TRIGO"/>
    <x v="2"/>
    <s v="MARACO"/>
    <n v="443"/>
    <n v="175977.71509167843"/>
    <n v="0"/>
    <n v="5920.9015924032146"/>
    <n v="0"/>
    <m/>
    <n v="0"/>
  </r>
  <r>
    <x v="0"/>
    <x v="0"/>
    <s v="TRIGO"/>
    <x v="2"/>
    <s v="QUEMU QUEMU"/>
    <n v="985"/>
    <n v="319551.26939351199"/>
    <n v="0"/>
    <n v="11014.728867786705"/>
    <n v="3496.1614317019721"/>
    <n v="1308.3255661066471"/>
    <n v="1263.1154442877291"/>
  </r>
  <r>
    <x v="0"/>
    <x v="0"/>
    <s v="TRIGO"/>
    <x v="2"/>
    <s v="TRENEL"/>
    <n v="295"/>
    <n v="65297.07334273625"/>
    <n v="0"/>
    <n v="2773.2359386413441"/>
    <n v="0"/>
    <m/>
    <n v="0"/>
  </r>
  <r>
    <x v="0"/>
    <x v="0"/>
    <s v="FINA OTROS"/>
    <x v="2"/>
    <s v="CONHELLO"/>
    <n v="320"/>
    <n v="115204.51339915374"/>
    <n v="0"/>
    <n v="5243.1214536157777"/>
    <n v="0"/>
    <m/>
    <n v="0"/>
  </r>
  <r>
    <x v="0"/>
    <x v="0"/>
    <s v="FINA OTROS"/>
    <x v="2"/>
    <s v="GUATRACHE"/>
    <n v="968"/>
    <n v="314473.13117066288"/>
    <n v="0"/>
    <n v="8151.5193279766263"/>
    <n v="9760.6829802775756"/>
    <n v="896.40010956902847"/>
    <n v="865.42436530324403"/>
  </r>
  <r>
    <x v="0"/>
    <x v="0"/>
    <s v="FINA OTROS"/>
    <x v="2"/>
    <s v="TRENEL"/>
    <n v="20"/>
    <n v="4231.3117066290552"/>
    <n v="0"/>
    <n v="189.59824689554418"/>
    <n v="0"/>
    <m/>
    <n v="625.2057475317348"/>
  </r>
  <r>
    <x v="0"/>
    <x v="1"/>
    <s v="TRIGO"/>
    <x v="2"/>
    <s v="GUATRACHE"/>
    <n v="620"/>
    <n v="185803.24400564175"/>
    <n v="111481.94640338505"/>
    <n v="9141.5467494521545"/>
    <n v="40001.688173849521"/>
    <n v="889.62874360847331"/>
    <n v="858.88698871650206"/>
  </r>
  <r>
    <x v="0"/>
    <x v="0"/>
    <s v="TRIGO"/>
    <x v="3"/>
    <s v="BELGRANO"/>
    <n v="270"/>
    <n v="62084.767277856132"/>
    <n v="0"/>
    <n v="1588.3814024835644"/>
    <n v="0"/>
    <m/>
    <n v="0"/>
  </r>
  <r>
    <x v="0"/>
    <x v="0"/>
    <s v="TRIGO"/>
    <x v="3"/>
    <s v="GENERAL LOPEZ"/>
    <n v="699"/>
    <n v="250839.95063469675"/>
    <n v="0"/>
    <n v="7654.2093498904305"/>
    <n v="0"/>
    <m/>
    <n v="996.9574047954867"/>
  </r>
  <r>
    <x v="0"/>
    <x v="0"/>
    <s v="TRIGO"/>
    <x v="3"/>
    <s v="IRIONDO"/>
    <n v="414"/>
    <n v="224948.58956276445"/>
    <n v="0"/>
    <n v="6021.4352081811548"/>
    <n v="0"/>
    <m/>
    <n v="0"/>
  </r>
  <r>
    <x v="0"/>
    <x v="0"/>
    <s v="TRIGO"/>
    <x v="3"/>
    <s v="ROSARIO"/>
    <n v="620"/>
    <n v="252391.25528913963"/>
    <n v="0"/>
    <n v="7853.0547260774301"/>
    <n v="0"/>
    <m/>
    <n v="0"/>
  </r>
  <r>
    <x v="0"/>
    <x v="0"/>
    <s v="TRIGO"/>
    <x v="3"/>
    <s v="SAN MARTIN"/>
    <n v="2015"/>
    <n v="612100.15514809592"/>
    <n v="0"/>
    <n v="15705.114872169464"/>
    <n v="0"/>
    <m/>
    <n v="0"/>
  </r>
  <r>
    <x v="0"/>
    <x v="0"/>
    <s v="FINA OTROS"/>
    <x v="3"/>
    <s v="ROSARIO"/>
    <n v="544.5"/>
    <n v="250752.76798307477"/>
    <n v="0"/>
    <n v="8246.3109349890437"/>
    <n v="605.28582907231555"/>
    <n v="1008.4222790357926"/>
    <n v="973.57552891396335"/>
  </r>
  <r>
    <x v="0"/>
    <x v="0"/>
    <s v="FINA OTROS"/>
    <x v="3"/>
    <s v="SAN LORENZO"/>
    <n v="46"/>
    <n v="17673.342736248236"/>
    <n v="0"/>
    <n v="512.5656683710738"/>
    <n v="0"/>
    <m/>
    <n v="0"/>
  </r>
  <r>
    <x v="0"/>
    <x v="1"/>
    <s v="TRIGO"/>
    <x v="3"/>
    <s v="CASEROS"/>
    <n v="236"/>
    <n v="130777.99717912552"/>
    <n v="78466.798307475314"/>
    <n v="6111.395544192841"/>
    <n v="0"/>
    <m/>
    <n v="0"/>
  </r>
  <r>
    <x v="0"/>
    <x v="1"/>
    <s v="TRIGO"/>
    <x v="3"/>
    <s v="IRIONDO"/>
    <n v="36"/>
    <n v="12521.2976022567"/>
    <n v="7512.77856135402"/>
    <n v="552.94214024835651"/>
    <n v="0"/>
    <m/>
    <n v="0"/>
  </r>
  <r>
    <x v="1"/>
    <x v="0"/>
    <s v="GIRASOL"/>
    <x v="0"/>
    <s v="25 DE MAYO"/>
    <n v="87"/>
    <n v="82970.574753173481"/>
    <n v="0"/>
    <n v="3652.4628853177505"/>
    <n v="0"/>
    <m/>
    <n v="0"/>
  </r>
  <r>
    <x v="1"/>
    <x v="0"/>
    <s v="GIRASOL"/>
    <x v="0"/>
    <s v="ADOLFO ALSINA"/>
    <n v="823"/>
    <n v="266376.58674189"/>
    <n v="0"/>
    <n v="9039.6192184075971"/>
    <n v="0"/>
    <m/>
    <n v="0"/>
  </r>
  <r>
    <x v="1"/>
    <x v="0"/>
    <s v="GIRASOL"/>
    <x v="0"/>
    <s v="BALCARCE"/>
    <n v="102.7"/>
    <n v="82449.703808180537"/>
    <n v="0"/>
    <n v="1858.1531921110302"/>
    <n v="0"/>
    <m/>
    <n v="0"/>
  </r>
  <r>
    <x v="1"/>
    <x v="0"/>
    <s v="GIRASOL"/>
    <x v="0"/>
    <s v="CORONEL SUAREZ"/>
    <n v="430"/>
    <n v="121297.60225669958"/>
    <n v="0"/>
    <n v="3986.0378086194301"/>
    <n v="0"/>
    <m/>
    <n v="0"/>
  </r>
  <r>
    <x v="1"/>
    <x v="0"/>
    <s v="GIRASOL"/>
    <x v="0"/>
    <s v="GENERAL VILLEGAS"/>
    <n v="832.75"/>
    <n v="319423.12288434413"/>
    <n v="0"/>
    <n v="10237.799999999999"/>
    <n v="0"/>
    <m/>
    <n v="0"/>
  </r>
  <r>
    <x v="1"/>
    <x v="0"/>
    <s v="GIRASOL"/>
    <x v="0"/>
    <s v="OLAVARRIA"/>
    <n v="400"/>
    <n v="279456.98166431591"/>
    <n v="0"/>
    <n v="7757.5135135135133"/>
    <n v="0"/>
    <m/>
    <n v="0"/>
  </r>
  <r>
    <x v="1"/>
    <x v="0"/>
    <s v="GIRASOL"/>
    <x v="0"/>
    <s v="TRES LOMAS"/>
    <n v="839.75"/>
    <n v="327802.12288434413"/>
    <n v="0"/>
    <n v="10199.799999999999"/>
    <n v="0"/>
    <m/>
    <n v="0"/>
  </r>
  <r>
    <x v="1"/>
    <x v="2"/>
    <s v="GIRASOL"/>
    <x v="0"/>
    <s v="25 DE MAYO"/>
    <n v="66"/>
    <n v="62943.194640338508"/>
    <n v="0"/>
    <n v="2770.8339152666181"/>
    <n v="0"/>
    <m/>
    <n v="0"/>
  </r>
  <r>
    <x v="1"/>
    <x v="2"/>
    <s v="GIRASOL"/>
    <x v="0"/>
    <s v="BALCARCE"/>
    <n v="757"/>
    <n v="290046.50916784204"/>
    <n v="0"/>
    <n v="11896.949320672024"/>
    <n v="0"/>
    <m/>
    <n v="0"/>
  </r>
  <r>
    <x v="1"/>
    <x v="2"/>
    <s v="GIRASOL"/>
    <x v="0"/>
    <s v="BENITO JUAREZ"/>
    <n v="90"/>
    <n v="55256.699576868828"/>
    <n v="0"/>
    <n v="2266.4853177501827"/>
    <n v="0"/>
    <m/>
    <n v="0"/>
  </r>
  <r>
    <x v="1"/>
    <x v="2"/>
    <s v="GIRASOL"/>
    <x v="0"/>
    <s v="BOLIVAR"/>
    <n v="210"/>
    <n v="92603.18758815233"/>
    <n v="0"/>
    <n v="4172.4195909422933"/>
    <n v="0"/>
    <m/>
    <n v="576.19028913963325"/>
  </r>
  <r>
    <x v="1"/>
    <x v="2"/>
    <s v="GIRASOL"/>
    <x v="0"/>
    <s v="TANDIL "/>
    <n v="212.5"/>
    <n v="130467.20733427363"/>
    <n v="0"/>
    <n v="5351.4236669101538"/>
    <n v="0"/>
    <m/>
    <n v="0"/>
  </r>
  <r>
    <x v="1"/>
    <x v="2"/>
    <s v="GIRASOL"/>
    <x v="0"/>
    <s v="CHASCOMUS"/>
    <n v="41.5"/>
    <n v="25479.47813822285"/>
    <n v="0"/>
    <n v="1045.1015631848065"/>
    <n v="0"/>
    <m/>
    <n v="0"/>
  </r>
  <r>
    <x v="1"/>
    <x v="2"/>
    <s v="GIRASOL"/>
    <x v="0"/>
    <s v="GENERAL PINTO"/>
    <n v="28"/>
    <n v="21362.538787023979"/>
    <n v="0"/>
    <n v="876.23547845142446"/>
    <n v="0"/>
    <m/>
    <n v="0"/>
  </r>
  <r>
    <x v="1"/>
    <x v="2"/>
    <s v="GIRASOL"/>
    <x v="0"/>
    <s v="GENERAL VILLEGAS"/>
    <n v="132"/>
    <n v="28071.791255289139"/>
    <n v="0"/>
    <n v="1143.0496712929146"/>
    <n v="0"/>
    <m/>
    <n v="0"/>
  </r>
  <r>
    <x v="1"/>
    <x v="2"/>
    <s v="GIRASOL"/>
    <x v="0"/>
    <s v="GUAMINI"/>
    <n v="70"/>
    <n v="43007.052186177716"/>
    <n v="0"/>
    <n v="2093.6800584368152"/>
    <n v="0"/>
    <m/>
    <n v="0"/>
  </r>
  <r>
    <x v="1"/>
    <x v="2"/>
    <s v="GIRASOL"/>
    <x v="0"/>
    <s v="LINCOLN"/>
    <n v="30"/>
    <n v="22888.434414668547"/>
    <n v="0"/>
    <n v="938.82372534696867"/>
    <n v="0"/>
    <m/>
    <n v="0"/>
  </r>
  <r>
    <x v="1"/>
    <x v="2"/>
    <s v="GIRASOL"/>
    <x v="0"/>
    <s v="MAIPU"/>
    <n v="170.4"/>
    <n v="139107.92665726374"/>
    <n v="0"/>
    <n v="5705.8412636961284"/>
    <n v="0"/>
    <m/>
    <n v="0"/>
  </r>
  <r>
    <x v="1"/>
    <x v="2"/>
    <s v="GIRASOL"/>
    <x v="0"/>
    <s v="PILA"/>
    <n v="91.5"/>
    <n v="56177.644569816643"/>
    <n v="0"/>
    <n v="2304.260073046019"/>
    <n v="0"/>
    <m/>
    <n v="0"/>
  </r>
  <r>
    <x v="1"/>
    <x v="0"/>
    <s v="GIRASOL"/>
    <x v="1"/>
    <s v="GENERAL ROCA"/>
    <n v="1030"/>
    <n v="446447.10860366712"/>
    <n v="0"/>
    <n v="16562.851621621623"/>
    <n v="0"/>
    <m/>
    <n v="0"/>
  </r>
  <r>
    <x v="1"/>
    <x v="0"/>
    <s v="GIRASOL"/>
    <x v="1"/>
    <s v="JUAREZ CELMAN"/>
    <n v="175"/>
    <n v="91717.009873060655"/>
    <n v="0"/>
    <n v="3884.3231628926219"/>
    <n v="0"/>
    <m/>
    <n v="0"/>
  </r>
  <r>
    <x v="1"/>
    <x v="0"/>
    <s v="GIRASOL"/>
    <x v="1"/>
    <s v="PRESIDENTE ROQUE SAENZ PEÑA"/>
    <n v="539"/>
    <n v="193519.18194640338"/>
    <n v="0"/>
    <n v="9648.7891891891886"/>
    <n v="0"/>
    <m/>
    <n v="0"/>
  </r>
  <r>
    <x v="1"/>
    <x v="0"/>
    <s v="GIRASOL"/>
    <x v="1"/>
    <s v="RIO CUARTO"/>
    <n v="50"/>
    <n v="28610.543018335684"/>
    <n v="0"/>
    <n v="1861.052081811541"/>
    <n v="0"/>
    <m/>
    <n v="0"/>
  </r>
  <r>
    <x v="1"/>
    <x v="0"/>
    <s v="GIRASOL"/>
    <x v="1"/>
    <s v="SAN JUSTO"/>
    <n v="2366"/>
    <n v="1323256.6882933709"/>
    <n v="0"/>
    <n v="31131"/>
    <n v="0"/>
    <m/>
    <n v="952.19513399153732"/>
  </r>
  <r>
    <x v="1"/>
    <x v="2"/>
    <s v="GIRASOL"/>
    <x v="1"/>
    <s v="PRESIDENTE ROQUE SAENZ PEÑA"/>
    <n v="290"/>
    <n v="121808.18053596615"/>
    <n v="0"/>
    <n v="7254.6603360116869"/>
    <n v="0"/>
    <m/>
    <n v="0"/>
  </r>
  <r>
    <x v="1"/>
    <x v="0"/>
    <s v="GIRASOL"/>
    <x v="2"/>
    <s v="CAPITAL"/>
    <n v="520"/>
    <n v="181323.69534555712"/>
    <n v="0"/>
    <n v="6154.8915266617969"/>
    <n v="0"/>
    <m/>
    <n v="0"/>
  </r>
  <r>
    <x v="1"/>
    <x v="0"/>
    <s v="GIRASOL"/>
    <x v="2"/>
    <s v="CATRILO"/>
    <n v="649"/>
    <n v="180568.79407616361"/>
    <n v="0"/>
    <n v="5639.268349159971"/>
    <n v="0"/>
    <m/>
    <n v="0"/>
  </r>
  <r>
    <x v="1"/>
    <x v="0"/>
    <s v="GIRASOL"/>
    <x v="2"/>
    <s v="CHAPALEUFU"/>
    <n v="471"/>
    <n v="260536.67136812411"/>
    <n v="0"/>
    <n v="8382.9142439737043"/>
    <n v="0"/>
    <m/>
    <n v="477.88389280677006"/>
  </r>
  <r>
    <x v="1"/>
    <x v="0"/>
    <s v="GIRASOL"/>
    <x v="2"/>
    <s v="CONHELLO"/>
    <n v="3699"/>
    <n v="1352419"/>
    <n v="0"/>
    <n v="42050"/>
    <n v="3106.1311176040904"/>
    <n v="368.81983929875821"/>
    <n v="356.07500705218615"/>
  </r>
  <r>
    <x v="1"/>
    <x v="0"/>
    <s v="GIRASOL"/>
    <x v="2"/>
    <s v="MARACO"/>
    <n v="1019"/>
    <n v="474510.01410437236"/>
    <n v="0"/>
    <n v="14927.948400292184"/>
    <n v="0"/>
    <m/>
    <n v="0"/>
  </r>
  <r>
    <x v="1"/>
    <x v="0"/>
    <s v="GIRASOL"/>
    <x v="2"/>
    <s v="QUEMU QUEMU"/>
    <n v="1993"/>
    <n v="840480.87165021151"/>
    <n v="0"/>
    <n v="27094.505303140977"/>
    <n v="2764.8794740686631"/>
    <n v="3091.100737764792"/>
    <n v="2984.2855500705218"/>
  </r>
  <r>
    <x v="1"/>
    <x v="0"/>
    <s v="GIRASOL"/>
    <x v="2"/>
    <s v="RANCUL"/>
    <n v="1334"/>
    <n v="169631.08251057827"/>
    <n v="0"/>
    <n v="5042.6702264426585"/>
    <n v="0"/>
    <m/>
    <n v="0"/>
  </r>
  <r>
    <x v="1"/>
    <x v="0"/>
    <s v="GIRASOL"/>
    <x v="2"/>
    <s v="TRENEL"/>
    <n v="884"/>
    <n v="229167.84203102961"/>
    <n v="0"/>
    <n v="8397.8862016070125"/>
    <n v="0"/>
    <m/>
    <n v="776.10595909732012"/>
  </r>
  <r>
    <x v="1"/>
    <x v="2"/>
    <s v="GIRASOL"/>
    <x v="2"/>
    <s v="CATRILO"/>
    <n v="3560"/>
    <n v="569994.66290550074"/>
    <n v="0"/>
    <n v="29755.960299488677"/>
    <n v="0"/>
    <m/>
    <n v="0"/>
  </r>
  <r>
    <x v="1"/>
    <x v="2"/>
    <s v="GIRASOL"/>
    <x v="2"/>
    <s v="CHAPALEUFU"/>
    <n v="1455"/>
    <n v="589186.44922425947"/>
    <n v="0"/>
    <n v="31988.781241782319"/>
    <n v="0"/>
    <m/>
    <n v="0"/>
  </r>
  <r>
    <x v="1"/>
    <x v="2"/>
    <s v="GIRASOL"/>
    <x v="2"/>
    <s v="MARACO"/>
    <n v="220"/>
    <n v="88434.414668547251"/>
    <n v="0"/>
    <n v="4616.6252739225711"/>
    <n v="0"/>
    <m/>
    <n v="0"/>
  </r>
  <r>
    <x v="1"/>
    <x v="2"/>
    <s v="GIRASOL"/>
    <x v="2"/>
    <s v="QUEMU QUEMU"/>
    <n v="592"/>
    <n v="303741.18476727785"/>
    <n v="0"/>
    <n v="17278.451059167277"/>
    <n v="0"/>
    <m/>
    <n v="0"/>
  </r>
  <r>
    <x v="1"/>
    <x v="0"/>
    <s v="GIRASOL"/>
    <x v="3"/>
    <s v="SAN MARTIN"/>
    <n v="777"/>
    <n v="637214.01410437236"/>
    <n v="0"/>
    <n v="18019.102111029948"/>
    <n v="0"/>
    <m/>
    <n v="0"/>
  </r>
  <r>
    <x v="1"/>
    <x v="2"/>
    <s v="GIRASOL"/>
    <x v="3"/>
    <s v="9 DE JULIO"/>
    <n v="1407.7"/>
    <n v="304326.51622002822"/>
    <n v="0"/>
    <n v="14090.295471146823"/>
    <n v="0"/>
    <m/>
    <n v="0"/>
  </r>
  <r>
    <x v="1"/>
    <x v="2"/>
    <s v="GIRASOL"/>
    <x v="3"/>
    <s v="SAN JUSTO"/>
    <n v="74"/>
    <n v="47874.975317348377"/>
    <n v="0"/>
    <n v="2435.9630752373996"/>
    <n v="0"/>
    <m/>
    <n v="0"/>
  </r>
  <r>
    <x v="1"/>
    <x v="0"/>
    <s v="MAIZ"/>
    <x v="0"/>
    <s v="ADOLFO ALSINA"/>
    <n v="409"/>
    <n v="211638.75176304654"/>
    <n v="0"/>
    <n v="6554.4938860482098"/>
    <n v="0"/>
    <m/>
    <n v="0"/>
  </r>
  <r>
    <x v="1"/>
    <x v="0"/>
    <s v="MAIZ"/>
    <x v="0"/>
    <s v="BOLIVAR"/>
    <n v="243"/>
    <n v="146933.15937940762"/>
    <n v="0"/>
    <n v="2937.3180131482836"/>
    <n v="0"/>
    <m/>
    <n v="576.19028913963325"/>
  </r>
  <r>
    <x v="1"/>
    <x v="0"/>
    <s v="MAIZ"/>
    <x v="0"/>
    <s v="BRAGADO"/>
    <n v="164"/>
    <n v="148678.42031029621"/>
    <n v="0"/>
    <n v="3670.672023374726"/>
    <n v="0"/>
    <m/>
    <n v="0"/>
  </r>
  <r>
    <x v="1"/>
    <x v="0"/>
    <s v="MAIZ"/>
    <x v="0"/>
    <s v="TANDIL "/>
    <n v="117"/>
    <n v="69952.468265162199"/>
    <n v="0"/>
    <n v="1738.9498904309714"/>
    <n v="0"/>
    <m/>
    <n v="0"/>
  </r>
  <r>
    <x v="1"/>
    <x v="0"/>
    <s v="MAIZ"/>
    <x v="0"/>
    <s v="COLON"/>
    <n v="100.5"/>
    <n v="111698.1664315938"/>
    <n v="0"/>
    <n v="1874.2772826880935"/>
    <n v="0"/>
    <m/>
    <n v="0"/>
  </r>
  <r>
    <x v="1"/>
    <x v="0"/>
    <s v="MAIZ"/>
    <x v="0"/>
    <s v="CORONEL SUAREZ"/>
    <n v="419"/>
    <n v="118194.64033850493"/>
    <n v="0"/>
    <n v="2697.2704163623084"/>
    <n v="0"/>
    <m/>
    <n v="0"/>
  </r>
  <r>
    <x v="1"/>
    <x v="0"/>
    <s v="MAIZ"/>
    <x v="0"/>
    <s v="GENERAL VILLEGAS"/>
    <n v="1921"/>
    <n v="672580.46544428775"/>
    <n v="0"/>
    <n v="15035.989006574142"/>
    <n v="0"/>
    <m/>
    <n v="0"/>
  </r>
  <r>
    <x v="1"/>
    <x v="0"/>
    <s v="MAIZ"/>
    <x v="0"/>
    <s v="LEANDRO N. ALEM"/>
    <n v="308"/>
    <n v="192348.66008462623"/>
    <n v="0"/>
    <n v="3183.8163915266623"/>
    <n v="0"/>
    <m/>
    <n v="1574.6681523272214"/>
  </r>
  <r>
    <x v="1"/>
    <x v="0"/>
    <s v="MAIZ"/>
    <x v="0"/>
    <s v="LINCOLN"/>
    <n v="447"/>
    <n v="302410.66290550068"/>
    <n v="0"/>
    <n v="5283.2963623082551"/>
    <n v="0"/>
    <m/>
    <n v="0"/>
  </r>
  <r>
    <x v="1"/>
    <x v="0"/>
    <s v="MAIZ"/>
    <x v="0"/>
    <s v="RIVADAVIA"/>
    <n v="195"/>
    <n v="139772.91960507756"/>
    <n v="0"/>
    <n v="5096.1063550036524"/>
    <n v="0"/>
    <m/>
    <n v="0"/>
  </r>
  <r>
    <x v="1"/>
    <x v="0"/>
    <s v="MAIZ"/>
    <x v="0"/>
    <s v="ROJAS"/>
    <n v="124"/>
    <n v="103362.48236953455"/>
    <n v="0"/>
    <n v="2697.9934258582907"/>
    <n v="0"/>
    <m/>
    <n v="0"/>
  </r>
  <r>
    <x v="1"/>
    <x v="0"/>
    <s v="MAIZ"/>
    <x v="0"/>
    <s v="SALLIQUELLO"/>
    <n v="25"/>
    <n v="26128.349788434414"/>
    <n v="0"/>
    <n v="690.12052593133672"/>
    <n v="0"/>
    <m/>
    <n v="0"/>
  </r>
  <r>
    <x v="1"/>
    <x v="0"/>
    <s v="MAIZ"/>
    <x v="0"/>
    <s v="TORNQUIST"/>
    <n v="98"/>
    <n v="57597.461212976021"/>
    <n v="0"/>
    <n v="1783.8047333820307"/>
    <n v="0"/>
    <m/>
    <n v="0"/>
  </r>
  <r>
    <x v="1"/>
    <x v="0"/>
    <s v="MAIZ"/>
    <x v="0"/>
    <s v="TRES LOMAS"/>
    <n v="43"/>
    <n v="34763.892806770098"/>
    <n v="0"/>
    <n v="918.20861943024113"/>
    <n v="0"/>
    <m/>
    <n v="0"/>
  </r>
  <r>
    <x v="1"/>
    <x v="2"/>
    <s v="MAIZ"/>
    <x v="0"/>
    <s v="GENERAL PINTO"/>
    <n v="42"/>
    <n v="42799.717912552893"/>
    <n v="0"/>
    <n v="1183.6544923301681"/>
    <n v="0"/>
    <m/>
    <n v="0"/>
  </r>
  <r>
    <x v="1"/>
    <x v="2"/>
    <s v="MAIZ"/>
    <x v="0"/>
    <s v="JUNIN"/>
    <n v="60"/>
    <n v="42000"/>
    <n v="0"/>
    <n v="1120"/>
    <n v="0"/>
    <m/>
    <n v="0"/>
  </r>
  <r>
    <x v="1"/>
    <x v="2"/>
    <s v="MAIZ"/>
    <x v="0"/>
    <s v="LOBERIA"/>
    <n v="143"/>
    <n v="79466.854724964738"/>
    <n v="0"/>
    <n v="2683.344338933528"/>
    <n v="0"/>
    <m/>
    <n v="0"/>
  </r>
  <r>
    <x v="1"/>
    <x v="0"/>
    <s v="MAIZ"/>
    <x v="1"/>
    <s v="GENERAL ROCA"/>
    <n v="450"/>
    <n v="149264.15726375175"/>
    <n v="0"/>
    <n v="6122"/>
    <n v="0"/>
    <m/>
    <n v="0"/>
  </r>
  <r>
    <x v="1"/>
    <x v="0"/>
    <s v="MAIZ"/>
    <x v="1"/>
    <s v="GENERAL SAN MARTIN"/>
    <n v="191"/>
    <n v="107930.18335684061"/>
    <n v="0"/>
    <n v="4158.7100073046022"/>
    <n v="0"/>
    <m/>
    <n v="0"/>
  </r>
  <r>
    <x v="1"/>
    <x v="0"/>
    <s v="MAIZ"/>
    <x v="1"/>
    <s v="JUAREZ CELMAN"/>
    <n v="1400"/>
    <n v="836801.83356840617"/>
    <n v="0"/>
    <n v="29836.863403944484"/>
    <n v="18632.169466764062"/>
    <n v="602.62038714390064"/>
    <n v="581.79641043723564"/>
  </r>
  <r>
    <x v="1"/>
    <x v="0"/>
    <s v="MAIZ"/>
    <x v="1"/>
    <s v="PRESIDENTE ROQUE SAENZ PEÑA"/>
    <n v="1386"/>
    <n v="955152.39774330042"/>
    <n v="0"/>
    <n v="30240"/>
    <n v="0"/>
    <m/>
    <n v="0"/>
  </r>
  <r>
    <x v="1"/>
    <x v="0"/>
    <s v="MAIZ"/>
    <x v="1"/>
    <s v="RIO CUARTO"/>
    <n v="585"/>
    <n v="292575.81100141042"/>
    <n v="0"/>
    <n v="15552.510226442659"/>
    <n v="0"/>
    <m/>
    <n v="0"/>
  </r>
  <r>
    <x v="1"/>
    <x v="0"/>
    <s v="MAIZ"/>
    <x v="1"/>
    <s v="SAN JUSTO"/>
    <n v="2350"/>
    <n v="1328430.1833568406"/>
    <n v="0"/>
    <n v="27627.561183345508"/>
    <n v="0"/>
    <m/>
    <n v="0"/>
  </r>
  <r>
    <x v="1"/>
    <x v="0"/>
    <s v="MAIZ"/>
    <x v="1"/>
    <s v="TERCERO ARRIBA"/>
    <n v="272"/>
    <n v="160291.96050775741"/>
    <n v="0"/>
    <n v="5857.5375456537622"/>
    <n v="0"/>
    <m/>
    <n v="891.33723554301832"/>
  </r>
  <r>
    <x v="1"/>
    <x v="0"/>
    <s v="MAIZ"/>
    <x v="1"/>
    <s v="UNION"/>
    <n v="100"/>
    <n v="58210.860366713678"/>
    <n v="0"/>
    <n v="1618.2348429510591"/>
    <n v="0"/>
    <m/>
    <n v="0"/>
  </r>
  <r>
    <x v="1"/>
    <x v="0"/>
    <s v="MAIZ"/>
    <x v="2"/>
    <s v="ATREUCO"/>
    <n v="140"/>
    <n v="72443.582510578286"/>
    <n v="0"/>
    <n v="1995.9715120525932"/>
    <n v="0"/>
    <m/>
    <n v="0"/>
  </r>
  <r>
    <x v="1"/>
    <x v="0"/>
    <s v="MAIZ"/>
    <x v="2"/>
    <s v="CAPITAL"/>
    <n v="35"/>
    <n v="12418.459097320168"/>
    <n v="0"/>
    <n v="410.32277574872171"/>
    <n v="3540.1873630387145"/>
    <n v="631.47652300949596"/>
    <n v="609.65540197461212"/>
  </r>
  <r>
    <x v="1"/>
    <x v="0"/>
    <s v="MAIZ"/>
    <x v="2"/>
    <s v="CATRILO"/>
    <n v="4173"/>
    <n v="829998.88857545843"/>
    <n v="0"/>
    <n v="22340.781176040909"/>
    <n v="0"/>
    <m/>
    <n v="0"/>
  </r>
  <r>
    <x v="1"/>
    <x v="0"/>
    <s v="MAIZ"/>
    <x v="2"/>
    <s v="CHAPALEUFU"/>
    <n v="2519"/>
    <n v="585361.81241184764"/>
    <n v="0"/>
    <n v="20041.101358655953"/>
    <n v="0"/>
    <m/>
    <n v="1565.4231875881524"/>
  </r>
  <r>
    <x v="1"/>
    <x v="0"/>
    <s v="MAIZ"/>
    <x v="2"/>
    <s v="CONHELLO"/>
    <n v="2546"/>
    <n v="842315.26798307477"/>
    <n v="0"/>
    <n v="28528.029094229369"/>
    <n v="3996.3187143900659"/>
    <n v="989.97715120525925"/>
    <n v="955.76778561354013"/>
  </r>
  <r>
    <x v="1"/>
    <x v="0"/>
    <s v="MAIZ"/>
    <x v="2"/>
    <s v="MARACO"/>
    <n v="3700"/>
    <n v="1572907.0662905502"/>
    <n v="0"/>
    <n v="48747.371804236667"/>
    <n v="0"/>
    <m/>
    <n v="0"/>
  </r>
  <r>
    <x v="1"/>
    <x v="0"/>
    <s v="MAIZ"/>
    <x v="2"/>
    <s v="QUEMU QUEMU"/>
    <n v="3714"/>
    <n v="1278913.3286318758"/>
    <n v="0"/>
    <n v="32645"/>
    <n v="0"/>
    <m/>
    <n v="580.12602256699574"/>
  </r>
  <r>
    <x v="1"/>
    <x v="0"/>
    <s v="MAIZ"/>
    <x v="2"/>
    <s v="RANCUL"/>
    <n v="2946"/>
    <n v="463501.41043723555"/>
    <n v="0"/>
    <n v="14040.403272461652"/>
    <n v="0"/>
    <m/>
    <n v="0"/>
  </r>
  <r>
    <x v="1"/>
    <x v="0"/>
    <s v="MAIZ"/>
    <x v="2"/>
    <s v="TRENEL"/>
    <n v="992"/>
    <n v="252634.69675599434"/>
    <n v="0"/>
    <n v="6725.1446165084008"/>
    <n v="0"/>
    <m/>
    <n v="0"/>
  </r>
  <r>
    <x v="1"/>
    <x v="0"/>
    <s v="MAIZ"/>
    <x v="3"/>
    <s v="BELGRANO"/>
    <n v="100"/>
    <n v="79744.710860366715"/>
    <n v="0"/>
    <n v="1978.0584368151935"/>
    <n v="0"/>
    <m/>
    <n v="0"/>
  </r>
  <r>
    <x v="1"/>
    <x v="0"/>
    <s v="MAIZ"/>
    <x v="3"/>
    <s v="CASEROS"/>
    <n v="33"/>
    <n v="32092.383638928066"/>
    <n v="0"/>
    <n v="1003.6138349159971"/>
    <n v="0"/>
    <m/>
    <n v="0"/>
  </r>
  <r>
    <x v="1"/>
    <x v="0"/>
    <s v="MAIZ"/>
    <x v="3"/>
    <s v="CONSTITUCION"/>
    <n v="20"/>
    <n v="7052.1861777150916"/>
    <n v="0"/>
    <n v="204.01753104455807"/>
    <n v="0"/>
    <m/>
    <n v="0"/>
  </r>
  <r>
    <x v="1"/>
    <x v="0"/>
    <s v="MAIZ"/>
    <x v="3"/>
    <s v="GENERAL LOPEZ"/>
    <n v="152"/>
    <n v="136509.16784203102"/>
    <n v="0"/>
    <n v="3181.9683710737768"/>
    <n v="0"/>
    <m/>
    <n v="0"/>
  </r>
  <r>
    <x v="1"/>
    <x v="0"/>
    <s v="MAIZ"/>
    <x v="3"/>
    <s v="ROSARIO"/>
    <n v="55"/>
    <n v="53487.306064880111"/>
    <n v="0"/>
    <n v="1659.2825054784514"/>
    <n v="0"/>
    <m/>
    <n v="0"/>
  </r>
  <r>
    <x v="1"/>
    <x v="0"/>
    <s v="MAIZ"/>
    <x v="3"/>
    <s v="SAN MARTIN"/>
    <n v="1128"/>
    <n v="957909.02679830743"/>
    <n v="0"/>
    <n v="17919.229364499635"/>
    <n v="0"/>
    <m/>
    <n v="0"/>
  </r>
  <r>
    <x v="1"/>
    <x v="0"/>
    <s v="SOJA"/>
    <x v="0"/>
    <s v="9 DE JULIO"/>
    <n v="565"/>
    <n v="343078.98448519042"/>
    <n v="0"/>
    <n v="6460.173046018992"/>
    <n v="0"/>
    <m/>
    <n v="0"/>
  </r>
  <r>
    <x v="1"/>
    <x v="0"/>
    <s v="SOJA"/>
    <x v="0"/>
    <s v="ADOLFO ALSINA"/>
    <n v="192"/>
    <n v="47932.299012693933"/>
    <n v="0"/>
    <n v="1176.655661066472"/>
    <n v="0"/>
    <m/>
    <n v="0"/>
  </r>
  <r>
    <x v="1"/>
    <x v="0"/>
    <s v="SOJA"/>
    <x v="0"/>
    <s v="BOLIVAR"/>
    <n v="355"/>
    <n v="128194.11565585331"/>
    <n v="0"/>
    <n v="2688.2564645726807"/>
    <n v="0"/>
    <m/>
    <n v="576.19028913963325"/>
  </r>
  <r>
    <x v="1"/>
    <x v="0"/>
    <s v="SOJA"/>
    <x v="0"/>
    <s v="BRAGADO"/>
    <n v="391"/>
    <n v="230405.2891396333"/>
    <n v="0"/>
    <n v="6098.1850328707087"/>
    <n v="0"/>
    <m/>
    <n v="0"/>
  </r>
  <r>
    <x v="1"/>
    <x v="0"/>
    <s v="SOJA"/>
    <x v="0"/>
    <s v="TANDIL "/>
    <n v="178"/>
    <n v="106423.41325811001"/>
    <n v="0"/>
    <n v="2755.8144631117602"/>
    <n v="0"/>
    <m/>
    <n v="0"/>
  </r>
  <r>
    <x v="1"/>
    <x v="0"/>
    <s v="SOJA"/>
    <x v="0"/>
    <s v="CAPITAN SARMIENTO"/>
    <n v="31"/>
    <n v="12985.89562764457"/>
    <n v="0"/>
    <n v="279.77443389335281"/>
    <n v="0"/>
    <m/>
    <n v="0"/>
  </r>
  <r>
    <x v="1"/>
    <x v="0"/>
    <s v="SOJA"/>
    <x v="0"/>
    <s v="CARLOS TEJEDOR"/>
    <n v="500"/>
    <n v="287993.65303244005"/>
    <n v="0"/>
    <n v="6024.6092037983926"/>
    <n v="0"/>
    <m/>
    <n v="0"/>
  </r>
  <r>
    <x v="1"/>
    <x v="0"/>
    <s v="SOJA"/>
    <x v="0"/>
    <s v="COLON"/>
    <n v="195.5"/>
    <n v="128497.5317348378"/>
    <n v="0"/>
    <n v="2469.5474068663257"/>
    <n v="0"/>
    <m/>
    <n v="0"/>
  </r>
  <r>
    <x v="1"/>
    <x v="0"/>
    <s v="SOJA"/>
    <x v="0"/>
    <s v="CORONEL SUAREZ"/>
    <n v="321"/>
    <n v="90550.07052186178"/>
    <n v="0"/>
    <n v="2171.6388604821036"/>
    <n v="0"/>
    <m/>
    <n v="0"/>
  </r>
  <r>
    <x v="1"/>
    <x v="0"/>
    <s v="SOJA"/>
    <x v="0"/>
    <s v="EXALTACION DE LA CRUZ"/>
    <n v="246"/>
    <n v="128811.70662905501"/>
    <n v="0"/>
    <n v="2401.5997078159239"/>
    <n v="0"/>
    <m/>
    <n v="0"/>
  </r>
  <r>
    <x v="1"/>
    <x v="0"/>
    <s v="SOJA"/>
    <x v="0"/>
    <s v="GENERAL ARENALES"/>
    <n v="46"/>
    <n v="33721.438645980255"/>
    <n v="0"/>
    <n v="688.08911614317014"/>
    <n v="0"/>
    <m/>
    <n v="0"/>
  </r>
  <r>
    <x v="1"/>
    <x v="0"/>
    <s v="SOJA"/>
    <x v="0"/>
    <s v="GENERAL VILLEGAS"/>
    <n v="6168"/>
    <n v="2830409"/>
    <n v="0"/>
    <n v="88192"/>
    <n v="0"/>
    <m/>
    <n v="0"/>
  </r>
  <r>
    <x v="1"/>
    <x v="0"/>
    <s v="SOJA"/>
    <x v="0"/>
    <s v="LEANDRO N. ALEM"/>
    <n v="701"/>
    <n v="249734.73201692523"/>
    <n v="0"/>
    <n v="4475.0653469685894"/>
    <n v="0"/>
    <m/>
    <n v="2600.1089703808179"/>
  </r>
  <r>
    <x v="1"/>
    <x v="0"/>
    <s v="SOJA"/>
    <x v="0"/>
    <s v="LINCOLN"/>
    <n v="4779"/>
    <n v="1889452"/>
    <n v="0"/>
    <n v="41990"/>
    <n v="0"/>
    <m/>
    <n v="0"/>
  </r>
  <r>
    <x v="1"/>
    <x v="0"/>
    <s v="SOJA"/>
    <x v="0"/>
    <s v="MAIPU"/>
    <n v="557.71"/>
    <n v="398381.14174894214"/>
    <n v="0"/>
    <n v="8170.2756902848796"/>
    <n v="0"/>
    <m/>
    <n v="0"/>
  </r>
  <r>
    <x v="1"/>
    <x v="0"/>
    <s v="SOJA"/>
    <x v="0"/>
    <s v="PEHUAJO"/>
    <n v="160"/>
    <n v="60944.992947813822"/>
    <n v="0"/>
    <n v="1199.4010226442658"/>
    <n v="0"/>
    <m/>
    <n v="0"/>
  </r>
  <r>
    <x v="1"/>
    <x v="0"/>
    <s v="SOJA"/>
    <x v="0"/>
    <s v="ROJAS"/>
    <n v="263"/>
    <n v="165255.99435825105"/>
    <n v="0"/>
    <n v="4313.5507669831995"/>
    <n v="0"/>
    <m/>
    <n v="0"/>
  </r>
  <r>
    <x v="1"/>
    <x v="0"/>
    <s v="SOJA"/>
    <x v="0"/>
    <s v="TRES LOMAS"/>
    <n v="57"/>
    <n v="34561.777150916787"/>
    <n v="0"/>
    <n v="930.76961285609946"/>
    <n v="0"/>
    <m/>
    <n v="0"/>
  </r>
  <r>
    <x v="1"/>
    <x v="1"/>
    <s v="SOJA"/>
    <x v="0"/>
    <s v="GENERAL VILLEGAS"/>
    <n v="983"/>
    <n v="118611.63610719323"/>
    <n v="71166.981664315943"/>
    <n v="4521.1402483564643"/>
    <n v="0"/>
    <m/>
    <n v="0"/>
  </r>
  <r>
    <x v="1"/>
    <x v="0"/>
    <s v="SOJA"/>
    <x v="1"/>
    <s v="GENERAL ROCA"/>
    <n v="1464"/>
    <n v="353615.30324400566"/>
    <n v="0"/>
    <n v="12271.14150474799"/>
    <n v="0"/>
    <m/>
    <n v="0"/>
  </r>
  <r>
    <x v="1"/>
    <x v="0"/>
    <s v="SOJA"/>
    <x v="1"/>
    <s v="GENERAL SAN MARTIN"/>
    <n v="326"/>
    <n v="136561.35401974613"/>
    <n v="0"/>
    <n v="7638.2585829072314"/>
    <n v="0"/>
    <m/>
    <n v="0"/>
  </r>
  <r>
    <x v="1"/>
    <x v="0"/>
    <s v="SOJA"/>
    <x v="1"/>
    <s v="JUAREZ CELMAN"/>
    <n v="2669"/>
    <n v="1121616.2905500706"/>
    <n v="0"/>
    <n v="44185.676785975164"/>
    <n v="0"/>
    <m/>
    <n v="0"/>
  </r>
  <r>
    <x v="1"/>
    <x v="0"/>
    <s v="SOJA"/>
    <x v="1"/>
    <s v="PRESIDENTE ROQUE SAENZ PEÑA"/>
    <n v="5400.5"/>
    <n v="3095177.1579689705"/>
    <n v="0"/>
    <n v="93804"/>
    <n v="0"/>
    <m/>
    <n v="0"/>
  </r>
  <r>
    <x v="1"/>
    <x v="0"/>
    <s v="SOJA"/>
    <x v="1"/>
    <s v="RIO CUARTO"/>
    <n v="3648.92"/>
    <n v="1310362.1121297602"/>
    <n v="0"/>
    <n v="86293.66891891892"/>
    <n v="0"/>
    <m/>
    <n v="4101.0509732016917"/>
  </r>
  <r>
    <x v="1"/>
    <x v="0"/>
    <s v="SOJA"/>
    <x v="1"/>
    <s v="RIO PRIMERO"/>
    <n v="150"/>
    <n v="62834.978843441466"/>
    <n v="0"/>
    <n v="2414.6165084002923"/>
    <n v="0"/>
    <m/>
    <n v="799.03635401974611"/>
  </r>
  <r>
    <x v="1"/>
    <x v="0"/>
    <s v="SOJA"/>
    <x v="1"/>
    <s v="RIO SEGUNDO"/>
    <n v="528"/>
    <n v="38673.728631875885"/>
    <n v="0"/>
    <n v="1862.6963623082545"/>
    <n v="0"/>
    <m/>
    <n v="0"/>
  </r>
  <r>
    <x v="1"/>
    <x v="0"/>
    <s v="SOJA"/>
    <x v="1"/>
    <s v="RIO TERCERO"/>
    <n v="128"/>
    <n v="40214.386459802539"/>
    <n v="0"/>
    <n v="1728.6311176040906"/>
    <n v="0"/>
    <m/>
    <n v="755.97019746121293"/>
  </r>
  <r>
    <x v="1"/>
    <x v="0"/>
    <s v="SOJA"/>
    <x v="1"/>
    <s v="SAN JUSTO"/>
    <n v="1525"/>
    <n v="571756.41748942167"/>
    <n v="0"/>
    <n v="13096.349883126368"/>
    <n v="0"/>
    <m/>
    <n v="0"/>
  </r>
  <r>
    <x v="1"/>
    <x v="0"/>
    <s v="SOJA"/>
    <x v="1"/>
    <s v="SANTA MARIA"/>
    <n v="530"/>
    <n v="77906.822990126937"/>
    <n v="0"/>
    <n v="3752.3370270270266"/>
    <n v="0"/>
    <m/>
    <n v="0"/>
  </r>
  <r>
    <x v="1"/>
    <x v="0"/>
    <s v="SOJA"/>
    <x v="1"/>
    <s v="TERCERO ARRIBA"/>
    <n v="3801"/>
    <n v="1405092.1368124119"/>
    <n v="0"/>
    <n v="78156.539517896264"/>
    <n v="3095.7487216946674"/>
    <n v="5215.7321402483567"/>
    <n v="5035.4988011283504"/>
  </r>
  <r>
    <x v="1"/>
    <x v="0"/>
    <s v="SOJA"/>
    <x v="1"/>
    <s v="UNION"/>
    <n v="195"/>
    <n v="79067.348377997172"/>
    <n v="0"/>
    <n v="2107.2030679327977"/>
    <n v="0"/>
    <m/>
    <n v="0"/>
  </r>
  <r>
    <x v="1"/>
    <x v="0"/>
    <s v="SOJA"/>
    <x v="2"/>
    <s v="CATRILO"/>
    <n v="254"/>
    <n v="64798.660084626237"/>
    <n v="0"/>
    <n v="1724.9423813002193"/>
    <n v="0"/>
    <m/>
    <n v="0"/>
  </r>
  <r>
    <x v="1"/>
    <x v="0"/>
    <s v="SOJA"/>
    <x v="2"/>
    <s v="CHAPALEUFU"/>
    <n v="3520"/>
    <n v="1730892"/>
    <n v="0"/>
    <n v="58940"/>
    <n v="0"/>
    <m/>
    <n v="477.88389280677006"/>
  </r>
  <r>
    <x v="1"/>
    <x v="0"/>
    <s v="SOJA"/>
    <x v="2"/>
    <s v="CONHELLO"/>
    <n v="3715"/>
    <n v="1235797.9019746121"/>
    <n v="0"/>
    <n v="41111.032856099344"/>
    <n v="0"/>
    <m/>
    <n v="955.76778561354013"/>
  </r>
  <r>
    <x v="1"/>
    <x v="0"/>
    <s v="SOJA"/>
    <x v="2"/>
    <s v="MARACO"/>
    <n v="3592"/>
    <n v="1485907"/>
    <n v="0"/>
    <n v="41025"/>
    <n v="0"/>
    <m/>
    <n v="0"/>
  </r>
  <r>
    <x v="1"/>
    <x v="0"/>
    <s v="SOJA"/>
    <x v="2"/>
    <s v="QUEMU QUEMU"/>
    <n v="2578"/>
    <n v="940095.92383638932"/>
    <n v="0"/>
    <n v="27539.626932067204"/>
    <n v="3536.1911541271002"/>
    <n v="1339.1431701972242"/>
    <n v="1292.8681241184768"/>
  </r>
  <r>
    <x v="1"/>
    <x v="0"/>
    <s v="SOJA"/>
    <x v="2"/>
    <s v="RANCUL"/>
    <n v="1236"/>
    <n v="157659.73201692523"/>
    <n v="0"/>
    <n v="4196.891906501095"/>
    <n v="0"/>
    <m/>
    <n v="0"/>
  </r>
  <r>
    <x v="1"/>
    <x v="0"/>
    <s v="SOJA"/>
    <x v="2"/>
    <s v="TRENEL"/>
    <n v="100"/>
    <n v="49365.303244005641"/>
    <n v="0"/>
    <n v="2019.7224251278305"/>
    <n v="0"/>
    <m/>
    <n v="0"/>
  </r>
  <r>
    <x v="1"/>
    <x v="2"/>
    <s v="SOJA"/>
    <x v="2"/>
    <s v="QUEMU QUEMU"/>
    <n v="73"/>
    <n v="44788.434414668547"/>
    <n v="0"/>
    <n v="1489.1680058436816"/>
    <n v="0"/>
    <m/>
    <n v="0"/>
  </r>
  <r>
    <x v="1"/>
    <x v="0"/>
    <s v="SOJA"/>
    <x v="4"/>
    <s v="SAN LUIS"/>
    <n v="440"/>
    <n v="64510.57827926657"/>
    <n v="0"/>
    <n v="5512.6150474799124"/>
    <n v="0"/>
    <m/>
    <n v="0"/>
  </r>
  <r>
    <x v="1"/>
    <x v="0"/>
    <s v="SOJA"/>
    <x v="3"/>
    <s v="BELGRANO"/>
    <n v="44"/>
    <n v="25343.441466854725"/>
    <n v="0"/>
    <n v="648.45361577794006"/>
    <n v="0"/>
    <m/>
    <n v="0"/>
  </r>
  <r>
    <x v="1"/>
    <x v="0"/>
    <s v="SOJA"/>
    <x v="3"/>
    <s v="CONSTITUCION"/>
    <n v="20"/>
    <n v="7052.1861777150916"/>
    <n v="0"/>
    <n v="198.64864864864865"/>
    <n v="0"/>
    <m/>
    <n v="0"/>
  </r>
  <r>
    <x v="1"/>
    <x v="0"/>
    <s v="SOJA"/>
    <x v="3"/>
    <s v="GENERAL LOPEZ"/>
    <n v="505.5"/>
    <n v="216393.86459802539"/>
    <n v="0"/>
    <n v="5114.4959824689558"/>
    <n v="0"/>
    <m/>
    <n v="0"/>
  </r>
  <r>
    <x v="1"/>
    <x v="0"/>
    <s v="SOJA"/>
    <x v="3"/>
    <s v="ROSARIO"/>
    <n v="1170"/>
    <n v="462360.7193229901"/>
    <n v="0"/>
    <n v="12501.834258582909"/>
    <n v="538.83396639883119"/>
    <n v="538.83396639883119"/>
    <n v="520.21417489421719"/>
  </r>
  <r>
    <x v="1"/>
    <x v="0"/>
    <s v="SOJA"/>
    <x v="3"/>
    <s v="SAN MARTIN"/>
    <n v="2427"/>
    <n v="1286252.9619181945"/>
    <n v="0"/>
    <n v="27525.02366691015"/>
    <n v="0"/>
    <m/>
    <n v="0"/>
  </r>
  <r>
    <x v="1"/>
    <x v="0"/>
    <s v="SORGO"/>
    <x v="0"/>
    <s v="GENERAL VILLEGAS"/>
    <n v="147"/>
    <n v="112958.95627644569"/>
    <n v="0"/>
    <n v="2685.1337910883858"/>
    <n v="0"/>
    <m/>
    <n v="0"/>
  </r>
  <r>
    <x v="1"/>
    <x v="0"/>
    <s v="SORGO"/>
    <x v="1"/>
    <s v="RIO TERCERO"/>
    <n v="50"/>
    <n v="18203.455571227081"/>
    <n v="0"/>
    <n v="782.48265157048945"/>
    <n v="0"/>
    <m/>
    <n v="0"/>
  </r>
  <r>
    <x v="1"/>
    <x v="0"/>
    <s v="SORGO"/>
    <x v="1"/>
    <s v="TERCERO ARRIBA"/>
    <n v="80"/>
    <n v="42318.406205923835"/>
    <n v="0"/>
    <n v="1648.1241782322863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298138-95AE-482A-AFE0-08DB40020E0A}" name="TablaDinámica1" cacheId="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E10" firstHeaderRow="0" firstDataRow="1" firstDataCol="1" rowPageCount="2" colPageCount="1"/>
  <pivotFields count="12">
    <pivotField axis="axisPage" showAll="0">
      <items count="3">
        <item sd="0" x="0"/>
        <item x="1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dataField="1" numFmtId="4" showAll="0"/>
    <pivotField dataField="1" numFmtId="4" showAll="0"/>
    <pivotField dataField="1" showAll="0"/>
    <pivotField dataField="1" numFmtId="3" showAll="0"/>
    <pivotField numFmtId="43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" hier="-1"/>
    <pageField fld="0" item="1" hier="-1"/>
  </pageFields>
  <dataFields count="4">
    <dataField name="Suma de HAS" fld="5" showDataAs="percentOfCol" baseField="3" baseItem="0" numFmtId="10"/>
    <dataField name="Suma de S. ASEG 100%- USD  " fld="6" baseField="0" baseItem="0" numFmtId="43"/>
    <dataField name="Suma de S. ASEG HELADA" fld="7" baseField="0" baseItem="0" numFmtId="43"/>
    <dataField name="Suma de PRIMA 100%- USD " fld="8" baseField="0" baseItem="0" numFmtId="3"/>
  </dataFields>
  <formats count="1">
    <format dxfId="4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5-05T12:55:24.80" personId="{140E4FBA-03C9-4D29-8F64-ACC388B2CBD3}" id="{05737E36-0E55-48A6-9D54-54586673DA06}">
    <text xml:space="preserve">Insertar TC que sale del total en $AR de nuestro archivo dividiendolo por el 100% en USD del archivo de Suyai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83C29-A80A-45CC-9A39-5788CDB1B5E9}">
  <dimension ref="A1:E10"/>
  <sheetViews>
    <sheetView workbookViewId="0">
      <selection activeCell="C20" sqref="C20"/>
    </sheetView>
  </sheetViews>
  <sheetFormatPr baseColWidth="10" defaultRowHeight="14.5" x14ac:dyDescent="0.35"/>
  <cols>
    <col min="1" max="1" width="16.54296875" bestFit="1" customWidth="1"/>
    <col min="2" max="2" width="11.90625" bestFit="1" customWidth="1"/>
    <col min="3" max="3" width="25.36328125" bestFit="1" customWidth="1"/>
    <col min="4" max="4" width="22.08984375" bestFit="1" customWidth="1"/>
    <col min="5" max="5" width="23.90625" bestFit="1" customWidth="1"/>
  </cols>
  <sheetData>
    <row r="1" spans="1:5" x14ac:dyDescent="0.35">
      <c r="A1" s="69" t="s">
        <v>4</v>
      </c>
      <c r="B1" t="s">
        <v>1932</v>
      </c>
    </row>
    <row r="2" spans="1:5" x14ac:dyDescent="0.35">
      <c r="A2" s="69" t="s">
        <v>3</v>
      </c>
      <c r="B2" t="s">
        <v>35</v>
      </c>
    </row>
    <row r="4" spans="1:5" x14ac:dyDescent="0.35">
      <c r="A4" s="69" t="s">
        <v>1928</v>
      </c>
      <c r="B4" t="s">
        <v>1930</v>
      </c>
      <c r="C4" t="s">
        <v>1931</v>
      </c>
      <c r="D4" t="s">
        <v>1937</v>
      </c>
      <c r="E4" t="s">
        <v>1938</v>
      </c>
    </row>
    <row r="5" spans="1:5" x14ac:dyDescent="0.35">
      <c r="A5" s="70" t="s">
        <v>16</v>
      </c>
      <c r="B5" s="71">
        <v>0.22709820179084556</v>
      </c>
      <c r="C5" s="61">
        <v>12346420.061001413</v>
      </c>
      <c r="D5" s="61">
        <v>71166.981664315943</v>
      </c>
      <c r="E5" s="94">
        <v>336137.48590211826</v>
      </c>
    </row>
    <row r="6" spans="1:5" x14ac:dyDescent="0.35">
      <c r="A6" s="70" t="s">
        <v>32</v>
      </c>
      <c r="B6" s="71">
        <v>0.26538750007015977</v>
      </c>
      <c r="C6" s="61">
        <v>14447415.998730607</v>
      </c>
      <c r="D6" s="61">
        <v>0</v>
      </c>
      <c r="E6" s="94">
        <v>541097.81970781588</v>
      </c>
    </row>
    <row r="7" spans="1:5" x14ac:dyDescent="0.35">
      <c r="A7" s="70" t="s">
        <v>33</v>
      </c>
      <c r="B7" s="71">
        <v>0.43753716896219613</v>
      </c>
      <c r="C7" s="61">
        <v>16859794.150916785</v>
      </c>
      <c r="D7" s="61">
        <v>0</v>
      </c>
      <c r="E7" s="94">
        <v>554850.4122425128</v>
      </c>
    </row>
    <row r="8" spans="1:5" x14ac:dyDescent="0.35">
      <c r="A8" s="70" t="s">
        <v>37</v>
      </c>
      <c r="B8" s="71">
        <v>3.6860049846515592E-3</v>
      </c>
      <c r="C8" s="61">
        <v>64510.57827926657</v>
      </c>
      <c r="D8" s="61">
        <v>0</v>
      </c>
      <c r="E8" s="94">
        <v>5512.6150474799124</v>
      </c>
    </row>
    <row r="9" spans="1:5" x14ac:dyDescent="0.35">
      <c r="A9" s="70" t="s">
        <v>34</v>
      </c>
      <c r="B9" s="71">
        <v>6.6291124192147083E-2</v>
      </c>
      <c r="C9" s="61">
        <v>4253613.460507758</v>
      </c>
      <c r="D9" s="61">
        <v>0</v>
      </c>
      <c r="E9" s="94">
        <v>106479.98687363038</v>
      </c>
    </row>
    <row r="10" spans="1:5" x14ac:dyDescent="0.35">
      <c r="A10" s="70" t="s">
        <v>1929</v>
      </c>
      <c r="B10" s="71">
        <v>1</v>
      </c>
      <c r="C10" s="61">
        <v>47971754.249435827</v>
      </c>
      <c r="D10" s="61">
        <v>71166.981664315943</v>
      </c>
      <c r="E10" s="94">
        <v>1544078.3197735574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D0242-990C-4C5C-A85B-E454057398F2}">
  <sheetPr filterMode="1"/>
  <dimension ref="A1:X362"/>
  <sheetViews>
    <sheetView tabSelected="1" zoomScale="55" zoomScaleNormal="55" workbookViewId="0">
      <selection activeCell="K110" sqref="K110"/>
    </sheetView>
  </sheetViews>
  <sheetFormatPr baseColWidth="10" defaultColWidth="11.453125" defaultRowHeight="13" x14ac:dyDescent="0.3"/>
  <cols>
    <col min="1" max="1" width="13.81640625" style="2" bestFit="1" customWidth="1"/>
    <col min="2" max="2" width="11.453125" style="2"/>
    <col min="3" max="3" width="19.26953125" style="2" bestFit="1" customWidth="1"/>
    <col min="4" max="4" width="13.453125" style="2" customWidth="1"/>
    <col min="5" max="5" width="15.453125" style="2" customWidth="1"/>
    <col min="6" max="6" width="27.26953125" style="2" customWidth="1"/>
    <col min="7" max="7" width="12.453125" style="25" customWidth="1"/>
    <col min="8" max="9" width="16.453125" style="2" customWidth="1"/>
    <col min="10" max="10" width="12" style="2" customWidth="1"/>
    <col min="11" max="11" width="14.81640625" style="2" customWidth="1"/>
    <col min="12" max="12" width="10.54296875" style="2" customWidth="1"/>
    <col min="13" max="13" width="13.453125" style="2" customWidth="1"/>
    <col min="14" max="14" width="16.1796875" style="25" customWidth="1"/>
    <col min="15" max="15" width="16.81640625" style="25" customWidth="1"/>
    <col min="16" max="16" width="14.81640625" style="2" customWidth="1"/>
    <col min="17" max="17" width="16" style="2" customWidth="1"/>
    <col min="18" max="18" width="14.1796875" style="2" customWidth="1"/>
    <col min="19" max="19" width="17.453125" style="2" hidden="1" customWidth="1"/>
    <col min="20" max="20" width="11.453125" style="2" hidden="1" customWidth="1"/>
    <col min="21" max="16384" width="11.453125" style="2"/>
  </cols>
  <sheetData>
    <row r="1" spans="1:24" x14ac:dyDescent="0.3">
      <c r="A1" s="1" t="s">
        <v>0</v>
      </c>
      <c r="D1" s="2" t="s">
        <v>1919</v>
      </c>
      <c r="E1" s="2">
        <v>1418.89</v>
      </c>
      <c r="G1" s="3"/>
      <c r="H1" s="5"/>
      <c r="I1" s="5"/>
      <c r="J1" s="5"/>
      <c r="K1" s="7"/>
      <c r="L1" s="6"/>
      <c r="M1" s="8"/>
      <c r="N1" s="4"/>
      <c r="O1" s="4"/>
    </row>
    <row r="2" spans="1:24" x14ac:dyDescent="0.3">
      <c r="A2" s="1" t="s">
        <v>1902</v>
      </c>
      <c r="D2" s="2" t="s">
        <v>1920</v>
      </c>
      <c r="F2" s="2" t="s">
        <v>1</v>
      </c>
      <c r="G2" s="9"/>
      <c r="H2" s="11"/>
      <c r="I2" s="11"/>
      <c r="J2" s="11"/>
      <c r="K2" s="11"/>
      <c r="L2" s="11"/>
      <c r="M2" s="12"/>
      <c r="N2" s="10"/>
      <c r="O2" s="10"/>
      <c r="P2" s="64" t="s">
        <v>1922</v>
      </c>
      <c r="Q2" s="16"/>
    </row>
    <row r="3" spans="1:24" x14ac:dyDescent="0.3">
      <c r="A3" s="1"/>
      <c r="C3" s="16"/>
      <c r="G3" s="4"/>
      <c r="H3" s="13"/>
      <c r="I3" s="13"/>
      <c r="J3" s="13"/>
      <c r="K3" s="13"/>
      <c r="L3" s="13"/>
      <c r="M3" s="13"/>
      <c r="N3" s="4"/>
      <c r="O3" s="72"/>
      <c r="P3" s="38">
        <v>1418</v>
      </c>
      <c r="R3" s="14"/>
      <c r="S3" s="68" t="e">
        <f>S4/N4</f>
        <v>#VALUE!</v>
      </c>
    </row>
    <row r="4" spans="1:24" x14ac:dyDescent="0.3">
      <c r="G4" s="37"/>
      <c r="H4" s="37"/>
      <c r="I4" s="37"/>
      <c r="J4" s="37" t="s">
        <v>1</v>
      </c>
      <c r="K4" s="37">
        <f>SUBTOTAL(9,K6:K215)</f>
        <v>39210.45997808619</v>
      </c>
      <c r="L4" s="37">
        <f t="shared" ref="L4:M4" si="0">SUBTOTAL(9,L6:L215)</f>
        <v>12777.70391526662</v>
      </c>
      <c r="M4" s="37">
        <f t="shared" si="0"/>
        <v>30572.289880112832</v>
      </c>
      <c r="N4" s="37" t="s">
        <v>1</v>
      </c>
      <c r="O4" s="37"/>
      <c r="P4" s="37"/>
      <c r="Q4" s="37"/>
      <c r="R4" s="37"/>
      <c r="S4" s="16">
        <f>P4+Q4+R4</f>
        <v>0</v>
      </c>
      <c r="T4" s="14" t="e">
        <f>S4/O4</f>
        <v>#DIV/0!</v>
      </c>
    </row>
    <row r="5" spans="1:24" s="23" customFormat="1" ht="32.25" customHeight="1" x14ac:dyDescent="0.35">
      <c r="A5" s="17" t="s">
        <v>2</v>
      </c>
      <c r="B5" s="17" t="s">
        <v>3</v>
      </c>
      <c r="C5" s="17" t="s">
        <v>4</v>
      </c>
      <c r="D5" s="17" t="s">
        <v>5</v>
      </c>
      <c r="E5" s="17" t="s">
        <v>6</v>
      </c>
      <c r="F5" s="18" t="s">
        <v>7</v>
      </c>
      <c r="G5" s="19" t="s">
        <v>8</v>
      </c>
      <c r="H5" s="21" t="s">
        <v>11</v>
      </c>
      <c r="I5" s="21" t="s">
        <v>1936</v>
      </c>
      <c r="J5" s="21" t="s">
        <v>12</v>
      </c>
      <c r="K5" s="22" t="s">
        <v>1905</v>
      </c>
      <c r="L5" s="22" t="s">
        <v>1923</v>
      </c>
      <c r="M5" s="22" t="s">
        <v>1926</v>
      </c>
      <c r="N5" s="20" t="s">
        <v>10</v>
      </c>
      <c r="O5" s="20" t="s">
        <v>9</v>
      </c>
      <c r="P5" s="63" t="s">
        <v>1921</v>
      </c>
      <c r="Q5" s="63" t="s">
        <v>1924</v>
      </c>
      <c r="R5" s="63" t="s">
        <v>1925</v>
      </c>
      <c r="U5" s="63" t="s">
        <v>1933</v>
      </c>
      <c r="V5" s="75"/>
      <c r="W5" s="76"/>
    </row>
    <row r="6" spans="1:24" s="23" customFormat="1" ht="12.75" hidden="1" customHeight="1" x14ac:dyDescent="0.3">
      <c r="A6" s="28">
        <v>2025</v>
      </c>
      <c r="B6" s="28" t="s">
        <v>13</v>
      </c>
      <c r="C6" s="28" t="s">
        <v>14</v>
      </c>
      <c r="D6" s="28" t="s">
        <v>15</v>
      </c>
      <c r="E6" s="28" t="s">
        <v>16</v>
      </c>
      <c r="F6" s="24" t="s">
        <v>17</v>
      </c>
      <c r="G6" s="16">
        <v>213</v>
      </c>
      <c r="H6" s="65">
        <v>120338.08180535966</v>
      </c>
      <c r="I6" s="30">
        <v>0</v>
      </c>
      <c r="J6" s="65">
        <v>3453.1456391526663</v>
      </c>
      <c r="K6" s="92">
        <v>0</v>
      </c>
      <c r="L6" s="93"/>
      <c r="M6" s="93">
        <f>R6/$P$3</f>
        <v>0</v>
      </c>
      <c r="N6" s="66">
        <v>170639400</v>
      </c>
      <c r="O6" s="66">
        <v>4727356.38</v>
      </c>
      <c r="P6" s="83"/>
      <c r="Q6" s="83"/>
      <c r="R6" s="83"/>
      <c r="U6" s="73">
        <v>2.7E-2</v>
      </c>
      <c r="V6" s="73"/>
      <c r="W6" s="76"/>
    </row>
    <row r="7" spans="1:24" s="23" customFormat="1" ht="12.75" hidden="1" customHeight="1" x14ac:dyDescent="0.3">
      <c r="A7" s="28">
        <v>2025</v>
      </c>
      <c r="B7" s="28" t="s">
        <v>13</v>
      </c>
      <c r="C7" s="28" t="s">
        <v>14</v>
      </c>
      <c r="D7" s="28" t="s">
        <v>15</v>
      </c>
      <c r="E7" s="28" t="s">
        <v>16</v>
      </c>
      <c r="F7" s="24" t="s">
        <v>623</v>
      </c>
      <c r="G7" s="16">
        <v>474.8</v>
      </c>
      <c r="H7" s="65">
        <v>335437.90197461215</v>
      </c>
      <c r="I7" s="30">
        <v>0</v>
      </c>
      <c r="J7" s="65">
        <v>7781</v>
      </c>
      <c r="K7" s="92">
        <v>0</v>
      </c>
      <c r="L7" s="93"/>
      <c r="M7" s="93">
        <f t="shared" ref="M7:M70" si="1">R7/$P$3</f>
        <v>578.87644569816644</v>
      </c>
      <c r="N7" s="66">
        <v>475650945</v>
      </c>
      <c r="O7" s="66">
        <v>10516086.779999999</v>
      </c>
      <c r="P7" s="83"/>
      <c r="Q7" s="83"/>
      <c r="R7" s="84">
        <v>820846.8</v>
      </c>
      <c r="U7" s="73">
        <v>2.9000000000000001E-2</v>
      </c>
      <c r="V7" s="73"/>
      <c r="W7" s="76"/>
      <c r="X7" s="23" t="s">
        <v>1</v>
      </c>
    </row>
    <row r="8" spans="1:24" s="23" customFormat="1" ht="12.75" hidden="1" customHeight="1" x14ac:dyDescent="0.3">
      <c r="A8" s="28">
        <v>2025</v>
      </c>
      <c r="B8" s="28" t="s">
        <v>13</v>
      </c>
      <c r="C8" s="28" t="s">
        <v>14</v>
      </c>
      <c r="D8" s="28" t="s">
        <v>15</v>
      </c>
      <c r="E8" s="28" t="s">
        <v>16</v>
      </c>
      <c r="F8" s="24" t="s">
        <v>600</v>
      </c>
      <c r="G8" s="16">
        <v>256</v>
      </c>
      <c r="H8" s="65">
        <v>143634.41466854725</v>
      </c>
      <c r="I8" s="30">
        <v>0</v>
      </c>
      <c r="J8" s="65">
        <v>4463.2636961285607</v>
      </c>
      <c r="K8" s="92">
        <v>0</v>
      </c>
      <c r="L8" s="93"/>
      <c r="M8" s="93">
        <f t="shared" si="1"/>
        <v>0</v>
      </c>
      <c r="N8" s="66">
        <v>203673600</v>
      </c>
      <c r="O8" s="66">
        <v>6110208</v>
      </c>
      <c r="P8" s="83"/>
      <c r="Q8" s="83"/>
      <c r="R8" s="83"/>
      <c r="U8" s="73">
        <v>2.9000000000000001E-2</v>
      </c>
      <c r="V8" s="73"/>
      <c r="W8" s="76"/>
    </row>
    <row r="9" spans="1:24" s="23" customFormat="1" ht="12.75" hidden="1" customHeight="1" x14ac:dyDescent="0.3">
      <c r="A9" s="28">
        <v>2025</v>
      </c>
      <c r="B9" s="28" t="s">
        <v>13</v>
      </c>
      <c r="C9" s="28" t="s">
        <v>14</v>
      </c>
      <c r="D9" s="28" t="s">
        <v>15</v>
      </c>
      <c r="E9" s="28" t="s">
        <v>16</v>
      </c>
      <c r="F9" s="24" t="s">
        <v>422</v>
      </c>
      <c r="G9" s="16">
        <v>559</v>
      </c>
      <c r="H9" s="65">
        <v>316359.30888575461</v>
      </c>
      <c r="I9" s="30">
        <v>0</v>
      </c>
      <c r="J9" s="65">
        <v>8912.9671292914536</v>
      </c>
      <c r="K9" s="92">
        <v>1350.7669831994156</v>
      </c>
      <c r="L9" s="93">
        <v>2033.5167713659605</v>
      </c>
      <c r="M9" s="93">
        <f t="shared" si="1"/>
        <v>1963.2471509167842</v>
      </c>
      <c r="N9" s="66">
        <v>448597500</v>
      </c>
      <c r="O9" s="66">
        <v>12201852</v>
      </c>
      <c r="P9" s="85">
        <v>1849200</v>
      </c>
      <c r="Q9" s="83"/>
      <c r="R9" s="84">
        <v>2783884.46</v>
      </c>
      <c r="U9" s="73">
        <v>2.9000000000000001E-2</v>
      </c>
      <c r="V9" s="73"/>
      <c r="W9" s="76"/>
    </row>
    <row r="10" spans="1:24" s="23" customFormat="1" ht="12.75" hidden="1" customHeight="1" x14ac:dyDescent="0.3">
      <c r="A10" s="28">
        <v>2025</v>
      </c>
      <c r="B10" s="28" t="s">
        <v>13</v>
      </c>
      <c r="C10" s="28" t="s">
        <v>14</v>
      </c>
      <c r="D10" s="28" t="s">
        <v>15</v>
      </c>
      <c r="E10" s="28" t="s">
        <v>16</v>
      </c>
      <c r="F10" s="24" t="s">
        <v>1927</v>
      </c>
      <c r="G10" s="16">
        <v>73</v>
      </c>
      <c r="H10" s="65">
        <v>43645.557122708036</v>
      </c>
      <c r="I10" s="30">
        <v>0</v>
      </c>
      <c r="J10" s="65">
        <v>2056.9523009495983</v>
      </c>
      <c r="K10" s="92">
        <v>0</v>
      </c>
      <c r="L10" s="93"/>
      <c r="M10" s="93">
        <f t="shared" si="1"/>
        <v>0</v>
      </c>
      <c r="N10" s="66">
        <v>61889400</v>
      </c>
      <c r="O10" s="66">
        <v>2815967.7</v>
      </c>
      <c r="P10" s="83"/>
      <c r="Q10" s="83"/>
      <c r="R10" s="83"/>
      <c r="U10" s="73">
        <v>2.9000000000000001E-2</v>
      </c>
      <c r="V10" s="73"/>
      <c r="W10" s="76"/>
    </row>
    <row r="11" spans="1:24" s="23" customFormat="1" ht="12.75" hidden="1" customHeight="1" x14ac:dyDescent="0.3">
      <c r="A11" s="28">
        <v>2025</v>
      </c>
      <c r="B11" s="28" t="s">
        <v>13</v>
      </c>
      <c r="C11" s="28" t="s">
        <v>14</v>
      </c>
      <c r="D11" s="28" t="s">
        <v>15</v>
      </c>
      <c r="E11" s="28" t="s">
        <v>16</v>
      </c>
      <c r="F11" s="24" t="s">
        <v>65</v>
      </c>
      <c r="G11" s="16">
        <v>209</v>
      </c>
      <c r="H11" s="65">
        <v>113387.30606488012</v>
      </c>
      <c r="I11" s="30">
        <v>0</v>
      </c>
      <c r="J11" s="65">
        <v>3019.1657706355004</v>
      </c>
      <c r="K11" s="92">
        <v>0</v>
      </c>
      <c r="L11" s="93"/>
      <c r="M11" s="93">
        <f t="shared" si="1"/>
        <v>0</v>
      </c>
      <c r="N11" s="66">
        <v>160783200</v>
      </c>
      <c r="O11" s="66">
        <v>4133237.94</v>
      </c>
      <c r="P11" s="83"/>
      <c r="Q11" s="83"/>
      <c r="R11" s="83"/>
      <c r="U11" s="73">
        <v>2.5000000000000001E-2</v>
      </c>
      <c r="V11" s="73"/>
      <c r="W11" s="76"/>
    </row>
    <row r="12" spans="1:24" s="23" customFormat="1" ht="12.75" hidden="1" customHeight="1" x14ac:dyDescent="0.3">
      <c r="A12" s="28">
        <v>2025</v>
      </c>
      <c r="B12" s="28" t="s">
        <v>13</v>
      </c>
      <c r="C12" s="28" t="s">
        <v>14</v>
      </c>
      <c r="D12" s="28" t="s">
        <v>15</v>
      </c>
      <c r="E12" s="28" t="s">
        <v>16</v>
      </c>
      <c r="F12" s="24" t="s">
        <v>20</v>
      </c>
      <c r="G12" s="16">
        <v>216.5</v>
      </c>
      <c r="H12" s="65">
        <v>96301.276445698168</v>
      </c>
      <c r="I12" s="30">
        <v>0</v>
      </c>
      <c r="J12" s="65">
        <v>2743.0715266617967</v>
      </c>
      <c r="K12" s="92">
        <v>0</v>
      </c>
      <c r="L12" s="93"/>
      <c r="M12" s="93">
        <f t="shared" si="1"/>
        <v>0</v>
      </c>
      <c r="N12" s="66">
        <v>136555210</v>
      </c>
      <c r="O12" s="66">
        <v>3755264.92</v>
      </c>
      <c r="P12" s="83"/>
      <c r="Q12" s="83"/>
      <c r="R12" s="83"/>
      <c r="U12" s="73">
        <v>2.7E-2</v>
      </c>
      <c r="V12" s="73"/>
      <c r="W12" s="76"/>
    </row>
    <row r="13" spans="1:24" s="23" customFormat="1" ht="12.75" hidden="1" customHeight="1" x14ac:dyDescent="0.3">
      <c r="A13" s="28">
        <v>2025</v>
      </c>
      <c r="B13" s="28" t="s">
        <v>13</v>
      </c>
      <c r="C13" s="28" t="s">
        <v>14</v>
      </c>
      <c r="D13" s="28" t="s">
        <v>15</v>
      </c>
      <c r="E13" s="28" t="s">
        <v>16</v>
      </c>
      <c r="F13" s="24" t="s">
        <v>21</v>
      </c>
      <c r="G13" s="16">
        <v>142.80000000000001</v>
      </c>
      <c r="H13" s="65">
        <v>8443.5283497884338</v>
      </c>
      <c r="I13" s="30">
        <v>0</v>
      </c>
      <c r="J13" s="65">
        <v>247.50455076698319</v>
      </c>
      <c r="K13" s="92">
        <v>0</v>
      </c>
      <c r="L13" s="93"/>
      <c r="M13" s="93">
        <f t="shared" si="1"/>
        <v>0</v>
      </c>
      <c r="N13" s="66">
        <v>11972923.199999999</v>
      </c>
      <c r="O13" s="66">
        <v>338833.73</v>
      </c>
      <c r="P13" s="83"/>
      <c r="Q13" s="83"/>
      <c r="R13" s="83"/>
      <c r="U13" s="73">
        <v>2.7E-2</v>
      </c>
      <c r="V13" s="73"/>
      <c r="W13" s="76"/>
    </row>
    <row r="14" spans="1:24" s="23" customFormat="1" ht="12.75" hidden="1" customHeight="1" x14ac:dyDescent="0.3">
      <c r="A14" s="28">
        <v>2025</v>
      </c>
      <c r="B14" s="28" t="s">
        <v>13</v>
      </c>
      <c r="C14" s="28" t="s">
        <v>14</v>
      </c>
      <c r="D14" s="28" t="s">
        <v>15</v>
      </c>
      <c r="E14" s="28" t="s">
        <v>16</v>
      </c>
      <c r="F14" s="24" t="s">
        <v>67</v>
      </c>
      <c r="G14" s="16">
        <v>411</v>
      </c>
      <c r="H14" s="65">
        <v>103378.96332863187</v>
      </c>
      <c r="I14" s="30">
        <v>0</v>
      </c>
      <c r="J14" s="65">
        <v>2569.8998392987583</v>
      </c>
      <c r="K14" s="92">
        <v>0</v>
      </c>
      <c r="L14" s="93"/>
      <c r="M14" s="93">
        <f t="shared" si="1"/>
        <v>0</v>
      </c>
      <c r="N14" s="66">
        <v>146591370</v>
      </c>
      <c r="O14" s="66">
        <v>3518192.88</v>
      </c>
      <c r="P14" s="83"/>
      <c r="Q14" s="83"/>
      <c r="R14" s="83"/>
      <c r="U14" s="73">
        <v>3.2000000000000001E-2</v>
      </c>
      <c r="V14" s="73"/>
      <c r="W14" s="76"/>
    </row>
    <row r="15" spans="1:24" s="23" customFormat="1" ht="12.75" hidden="1" customHeight="1" x14ac:dyDescent="0.3">
      <c r="A15" s="28">
        <v>2025</v>
      </c>
      <c r="B15" s="28" t="s">
        <v>13</v>
      </c>
      <c r="C15" s="28" t="s">
        <v>14</v>
      </c>
      <c r="D15" s="28" t="s">
        <v>15</v>
      </c>
      <c r="E15" s="28" t="s">
        <v>16</v>
      </c>
      <c r="F15" s="24" t="s">
        <v>23</v>
      </c>
      <c r="G15" s="16">
        <v>2018</v>
      </c>
      <c r="H15" s="65">
        <v>881066.58843441471</v>
      </c>
      <c r="I15" s="30">
        <v>0</v>
      </c>
      <c r="J15" s="65">
        <v>24346</v>
      </c>
      <c r="K15" s="92">
        <v>0</v>
      </c>
      <c r="L15" s="93"/>
      <c r="M15" s="93">
        <f t="shared" si="1"/>
        <v>0</v>
      </c>
      <c r="N15" s="66">
        <v>1249352422.4000001</v>
      </c>
      <c r="O15" s="66">
        <v>40120271.739999995</v>
      </c>
      <c r="P15" s="83"/>
      <c r="Q15" s="83"/>
      <c r="R15" s="83"/>
      <c r="U15" s="73">
        <v>3.2000000000000001E-2</v>
      </c>
      <c r="V15" s="73"/>
      <c r="W15" s="76"/>
    </row>
    <row r="16" spans="1:24" s="23" customFormat="1" ht="12.75" hidden="1" customHeight="1" x14ac:dyDescent="0.3">
      <c r="A16" s="28">
        <v>2025</v>
      </c>
      <c r="B16" s="28" t="s">
        <v>13</v>
      </c>
      <c r="C16" s="28" t="s">
        <v>14</v>
      </c>
      <c r="D16" s="28" t="s">
        <v>15</v>
      </c>
      <c r="E16" s="28" t="s">
        <v>16</v>
      </c>
      <c r="F16" s="24" t="s">
        <v>539</v>
      </c>
      <c r="G16" s="16">
        <v>233</v>
      </c>
      <c r="H16" s="65">
        <v>92518.476727785615</v>
      </c>
      <c r="I16" s="30">
        <v>0</v>
      </c>
      <c r="J16" s="65">
        <v>2175.3398392987583</v>
      </c>
      <c r="K16" s="92">
        <v>0</v>
      </c>
      <c r="L16" s="93"/>
      <c r="M16" s="93">
        <f t="shared" si="1"/>
        <v>0</v>
      </c>
      <c r="N16" s="66">
        <v>131191200</v>
      </c>
      <c r="O16" s="66">
        <v>2978040.24</v>
      </c>
      <c r="P16" s="83"/>
      <c r="Q16" s="83"/>
      <c r="R16" s="83"/>
      <c r="U16" s="73">
        <v>2.7E-2</v>
      </c>
      <c r="V16" s="73"/>
      <c r="W16" s="76"/>
    </row>
    <row r="17" spans="1:23" s="23" customFormat="1" ht="12.75" hidden="1" customHeight="1" x14ac:dyDescent="0.3">
      <c r="A17" s="28">
        <v>2025</v>
      </c>
      <c r="B17" s="28" t="s">
        <v>13</v>
      </c>
      <c r="C17" s="28" t="s">
        <v>14</v>
      </c>
      <c r="D17" s="28" t="s">
        <v>15</v>
      </c>
      <c r="E17" s="28" t="s">
        <v>16</v>
      </c>
      <c r="F17" s="24" t="s">
        <v>24</v>
      </c>
      <c r="G17" s="16">
        <v>3196</v>
      </c>
      <c r="H17" s="65">
        <v>1343393.4978843441</v>
      </c>
      <c r="I17" s="30">
        <v>0</v>
      </c>
      <c r="J17" s="65">
        <v>33329.468677867051</v>
      </c>
      <c r="K17" s="92">
        <v>50015.342775748715</v>
      </c>
      <c r="L17" s="93">
        <v>1189.1959313367422</v>
      </c>
      <c r="M17" s="93">
        <f t="shared" si="1"/>
        <v>1148.102418899859</v>
      </c>
      <c r="N17" s="66">
        <v>1904931980</v>
      </c>
      <c r="O17" s="66">
        <v>45628042.61999999</v>
      </c>
      <c r="P17" s="85">
        <v>68471004.25999999</v>
      </c>
      <c r="Q17" s="83"/>
      <c r="R17" s="84">
        <v>1628009.23</v>
      </c>
      <c r="U17" s="73">
        <v>2.7E-2</v>
      </c>
      <c r="V17" s="73"/>
      <c r="W17" s="76"/>
    </row>
    <row r="18" spans="1:23" s="23" customFormat="1" ht="12.75" hidden="1" customHeight="1" x14ac:dyDescent="0.3">
      <c r="A18" s="28">
        <v>2025</v>
      </c>
      <c r="B18" s="28" t="s">
        <v>13</v>
      </c>
      <c r="C18" s="28" t="s">
        <v>14</v>
      </c>
      <c r="D18" s="28" t="s">
        <v>15</v>
      </c>
      <c r="E18" s="28" t="s">
        <v>16</v>
      </c>
      <c r="F18" s="24" t="s">
        <v>25</v>
      </c>
      <c r="G18" s="16">
        <v>272</v>
      </c>
      <c r="H18" s="65">
        <v>228725.52891396332</v>
      </c>
      <c r="I18" s="30">
        <v>0</v>
      </c>
      <c r="J18" s="65">
        <v>6325.5557048940827</v>
      </c>
      <c r="K18" s="92">
        <v>0</v>
      </c>
      <c r="L18" s="93"/>
      <c r="M18" s="93">
        <f t="shared" si="1"/>
        <v>0</v>
      </c>
      <c r="N18" s="66">
        <v>324332800</v>
      </c>
      <c r="O18" s="66">
        <v>8659685.7599999998</v>
      </c>
      <c r="P18" s="83"/>
      <c r="Q18" s="83"/>
      <c r="R18" s="83"/>
      <c r="U18" s="73">
        <v>2.9000000000000001E-2</v>
      </c>
      <c r="V18" s="73"/>
      <c r="W18" s="76"/>
    </row>
    <row r="19" spans="1:23" s="23" customFormat="1" ht="12.75" hidden="1" customHeight="1" x14ac:dyDescent="0.3">
      <c r="A19" s="28">
        <v>2025</v>
      </c>
      <c r="B19" s="28" t="s">
        <v>13</v>
      </c>
      <c r="C19" s="28" t="s">
        <v>14</v>
      </c>
      <c r="D19" s="28" t="s">
        <v>15</v>
      </c>
      <c r="E19" s="28" t="s">
        <v>16</v>
      </c>
      <c r="F19" s="24" t="s">
        <v>72</v>
      </c>
      <c r="G19" s="16">
        <v>277</v>
      </c>
      <c r="H19" s="65">
        <v>167606.48801128351</v>
      </c>
      <c r="I19" s="30">
        <v>0</v>
      </c>
      <c r="J19" s="65">
        <v>4635.268224981739</v>
      </c>
      <c r="K19" s="92">
        <v>0</v>
      </c>
      <c r="L19" s="93"/>
      <c r="M19" s="93">
        <f t="shared" si="1"/>
        <v>0</v>
      </c>
      <c r="N19" s="66">
        <v>237666000</v>
      </c>
      <c r="O19" s="66">
        <v>6345682.2000000002</v>
      </c>
      <c r="P19" s="83"/>
      <c r="Q19" s="83"/>
      <c r="R19" s="83"/>
      <c r="U19" s="73">
        <v>2.9000000000000001E-2</v>
      </c>
      <c r="V19" s="73"/>
      <c r="W19" s="76"/>
    </row>
    <row r="20" spans="1:23" s="23" customFormat="1" ht="12.75" hidden="1" customHeight="1" x14ac:dyDescent="0.3">
      <c r="A20" s="28">
        <v>2025</v>
      </c>
      <c r="B20" s="28" t="s">
        <v>13</v>
      </c>
      <c r="C20" s="28" t="s">
        <v>14</v>
      </c>
      <c r="D20" s="28" t="s">
        <v>15</v>
      </c>
      <c r="E20" s="28" t="s">
        <v>16</v>
      </c>
      <c r="F20" s="24" t="s">
        <v>42</v>
      </c>
      <c r="G20" s="16">
        <v>168</v>
      </c>
      <c r="H20" s="65">
        <v>59297.602256699574</v>
      </c>
      <c r="I20" s="30">
        <v>0</v>
      </c>
      <c r="J20" s="65">
        <v>1999.618407596786</v>
      </c>
      <c r="K20" s="92">
        <v>35328.974726077431</v>
      </c>
      <c r="L20" s="93">
        <v>680.42856099342578</v>
      </c>
      <c r="M20" s="93">
        <f t="shared" si="1"/>
        <v>656.91586741889978</v>
      </c>
      <c r="N20" s="66">
        <v>84084000</v>
      </c>
      <c r="O20" s="66">
        <v>2737477.6</v>
      </c>
      <c r="P20" s="85">
        <v>48365366.399999999</v>
      </c>
      <c r="Q20" s="83"/>
      <c r="R20" s="84">
        <v>931506.7</v>
      </c>
      <c r="U20" s="73">
        <v>2.5000000000000001E-2</v>
      </c>
      <c r="V20" s="73"/>
      <c r="W20" s="76"/>
    </row>
    <row r="21" spans="1:23" s="23" customFormat="1" ht="12.75" hidden="1" customHeight="1" x14ac:dyDescent="0.3">
      <c r="A21" s="28">
        <v>2025</v>
      </c>
      <c r="B21" s="28" t="s">
        <v>13</v>
      </c>
      <c r="C21" s="28" t="s">
        <v>14</v>
      </c>
      <c r="D21" s="28" t="s">
        <v>15</v>
      </c>
      <c r="E21" s="28" t="s">
        <v>16</v>
      </c>
      <c r="F21" s="24" t="s">
        <v>26</v>
      </c>
      <c r="G21" s="16">
        <v>442</v>
      </c>
      <c r="H21" s="65">
        <v>99990.253878702395</v>
      </c>
      <c r="I21" s="30">
        <v>0</v>
      </c>
      <c r="J21" s="65">
        <v>2505.7625127830538</v>
      </c>
      <c r="K21" s="92">
        <v>0</v>
      </c>
      <c r="L21" s="93"/>
      <c r="M21" s="93">
        <f t="shared" si="1"/>
        <v>0</v>
      </c>
      <c r="N21" s="66">
        <v>141786180</v>
      </c>
      <c r="O21" s="66">
        <v>3430388.8800000004</v>
      </c>
      <c r="P21" s="83"/>
      <c r="Q21" s="83"/>
      <c r="R21" s="83"/>
      <c r="U21" s="73">
        <v>2.7E-2</v>
      </c>
      <c r="V21" s="73"/>
      <c r="W21" s="76"/>
    </row>
    <row r="22" spans="1:23" s="23" customFormat="1" ht="12.75" hidden="1" customHeight="1" x14ac:dyDescent="0.3">
      <c r="A22" s="28">
        <v>2025</v>
      </c>
      <c r="B22" s="28" t="s">
        <v>13</v>
      </c>
      <c r="C22" s="28" t="s">
        <v>14</v>
      </c>
      <c r="D22" s="28" t="s">
        <v>15</v>
      </c>
      <c r="E22" s="28" t="s">
        <v>16</v>
      </c>
      <c r="F22" s="24" t="s">
        <v>27</v>
      </c>
      <c r="G22" s="16">
        <v>2836</v>
      </c>
      <c r="H22" s="65">
        <v>835003.12059238367</v>
      </c>
      <c r="I22" s="30">
        <v>0</v>
      </c>
      <c r="J22" s="65">
        <v>24069.884572680785</v>
      </c>
      <c r="K22" s="92">
        <v>77818.135295836371</v>
      </c>
      <c r="L22" s="93">
        <v>3621.4858436815193</v>
      </c>
      <c r="M22" s="93">
        <f t="shared" si="1"/>
        <v>3496.3428208744713</v>
      </c>
      <c r="N22" s="66">
        <v>1184034425</v>
      </c>
      <c r="O22" s="66">
        <v>32951671.979999997</v>
      </c>
      <c r="P22" s="85">
        <v>106533027.22</v>
      </c>
      <c r="Q22" s="83"/>
      <c r="R22" s="84">
        <v>4957814.12</v>
      </c>
      <c r="U22" s="73">
        <v>2.9000000000000001E-2</v>
      </c>
      <c r="V22" s="73"/>
      <c r="W22" s="76"/>
    </row>
    <row r="23" spans="1:23" s="23" customFormat="1" ht="12.75" hidden="1" customHeight="1" x14ac:dyDescent="0.3">
      <c r="A23" s="28">
        <v>2025</v>
      </c>
      <c r="B23" s="28" t="s">
        <v>13</v>
      </c>
      <c r="C23" s="28" t="s">
        <v>14</v>
      </c>
      <c r="D23" s="28" t="s">
        <v>15</v>
      </c>
      <c r="E23" s="28" t="s">
        <v>16</v>
      </c>
      <c r="F23" s="24" t="s">
        <v>28</v>
      </c>
      <c r="G23" s="16">
        <v>1138</v>
      </c>
      <c r="H23" s="65">
        <v>159559.5909732017</v>
      </c>
      <c r="I23" s="30">
        <v>0</v>
      </c>
      <c r="J23" s="65">
        <v>4289.2908692476267</v>
      </c>
      <c r="K23" s="92">
        <v>0</v>
      </c>
      <c r="L23" s="93"/>
      <c r="M23" s="93">
        <f t="shared" si="1"/>
        <v>0</v>
      </c>
      <c r="N23" s="66">
        <v>226255500</v>
      </c>
      <c r="O23" s="66">
        <v>5872039.2000000011</v>
      </c>
      <c r="P23" s="83"/>
      <c r="Q23" s="83"/>
      <c r="R23" s="83"/>
      <c r="U23" s="73">
        <v>2.7E-2</v>
      </c>
      <c r="V23" s="73"/>
      <c r="W23" s="76"/>
    </row>
    <row r="24" spans="1:23" s="23" customFormat="1" ht="12.75" hidden="1" customHeight="1" x14ac:dyDescent="0.3">
      <c r="A24" s="28">
        <v>2025</v>
      </c>
      <c r="B24" s="28" t="s">
        <v>13</v>
      </c>
      <c r="C24" s="28" t="s">
        <v>14</v>
      </c>
      <c r="D24" s="28" t="s">
        <v>15</v>
      </c>
      <c r="E24" s="28" t="s">
        <v>16</v>
      </c>
      <c r="F24" s="24" t="s">
        <v>29</v>
      </c>
      <c r="G24" s="16">
        <v>1370</v>
      </c>
      <c r="H24" s="65">
        <v>147277.41537376586</v>
      </c>
      <c r="I24" s="30">
        <v>0</v>
      </c>
      <c r="J24" s="65">
        <v>4530.7082542001463</v>
      </c>
      <c r="K24" s="92">
        <v>0</v>
      </c>
      <c r="L24" s="93"/>
      <c r="M24" s="93">
        <f t="shared" si="1"/>
        <v>0</v>
      </c>
      <c r="N24" s="66">
        <v>208839375</v>
      </c>
      <c r="O24" s="66">
        <v>6202539.5999999996</v>
      </c>
      <c r="P24" s="83"/>
      <c r="Q24" s="83"/>
      <c r="R24" s="83"/>
      <c r="U24" s="73">
        <v>2.5000000000000001E-2</v>
      </c>
      <c r="V24" s="73"/>
      <c r="W24" s="76"/>
    </row>
    <row r="25" spans="1:23" s="23" customFormat="1" ht="12.75" hidden="1" customHeight="1" x14ac:dyDescent="0.3">
      <c r="A25" s="28">
        <v>2025</v>
      </c>
      <c r="B25" s="28" t="s">
        <v>13</v>
      </c>
      <c r="C25" s="28" t="s">
        <v>14</v>
      </c>
      <c r="D25" s="28" t="s">
        <v>15</v>
      </c>
      <c r="E25" s="28" t="s">
        <v>16</v>
      </c>
      <c r="F25" s="24" t="s">
        <v>43</v>
      </c>
      <c r="G25" s="16">
        <v>55</v>
      </c>
      <c r="H25" s="65">
        <v>33477.080394922428</v>
      </c>
      <c r="I25" s="30">
        <v>0</v>
      </c>
      <c r="J25" s="65">
        <v>925.83078889700516</v>
      </c>
      <c r="K25" s="92">
        <v>0</v>
      </c>
      <c r="L25" s="93"/>
      <c r="M25" s="93">
        <f t="shared" si="1"/>
        <v>0</v>
      </c>
      <c r="N25" s="66">
        <v>47470500</v>
      </c>
      <c r="O25" s="66">
        <v>1267462.3500000001</v>
      </c>
      <c r="P25" s="83"/>
      <c r="Q25" s="83"/>
      <c r="R25" s="83"/>
      <c r="U25" s="73">
        <v>2.7E-2</v>
      </c>
      <c r="V25" s="73"/>
      <c r="W25" s="76"/>
    </row>
    <row r="26" spans="1:23" s="23" customFormat="1" ht="12.75" hidden="1" customHeight="1" x14ac:dyDescent="0.3">
      <c r="A26" s="28">
        <v>2025</v>
      </c>
      <c r="B26" s="28" t="s">
        <v>13</v>
      </c>
      <c r="C26" s="28" t="s">
        <v>14</v>
      </c>
      <c r="D26" s="28" t="s">
        <v>15</v>
      </c>
      <c r="E26" s="28" t="s">
        <v>16</v>
      </c>
      <c r="F26" s="24" t="s">
        <v>44</v>
      </c>
      <c r="G26" s="16">
        <v>173</v>
      </c>
      <c r="H26" s="65">
        <v>52137.905500705216</v>
      </c>
      <c r="I26" s="30">
        <v>0</v>
      </c>
      <c r="J26" s="65">
        <v>1177.2883783783784</v>
      </c>
      <c r="K26" s="92">
        <v>0</v>
      </c>
      <c r="L26" s="93"/>
      <c r="M26" s="93">
        <f t="shared" si="1"/>
        <v>0</v>
      </c>
      <c r="N26" s="66">
        <v>73931550</v>
      </c>
      <c r="O26" s="66">
        <v>1611707.79</v>
      </c>
      <c r="P26" s="83"/>
      <c r="Q26" s="83"/>
      <c r="R26" s="83"/>
      <c r="U26" s="73">
        <v>2.5000000000000001E-2</v>
      </c>
      <c r="V26" s="73"/>
      <c r="W26" s="76"/>
    </row>
    <row r="27" spans="1:23" s="23" customFormat="1" ht="12.75" hidden="1" customHeight="1" x14ac:dyDescent="0.3">
      <c r="A27" s="28">
        <v>2025</v>
      </c>
      <c r="B27" s="28" t="s">
        <v>13</v>
      </c>
      <c r="C27" s="28" t="s">
        <v>14</v>
      </c>
      <c r="D27" s="28" t="s">
        <v>15</v>
      </c>
      <c r="E27" s="28" t="s">
        <v>16</v>
      </c>
      <c r="F27" s="24" t="s">
        <v>760</v>
      </c>
      <c r="G27" s="16">
        <v>14</v>
      </c>
      <c r="H27" s="65">
        <v>6086.7418899858958</v>
      </c>
      <c r="I27" s="30">
        <v>0</v>
      </c>
      <c r="J27" s="65">
        <v>153.29189189189191</v>
      </c>
      <c r="K27" s="92">
        <v>0</v>
      </c>
      <c r="L27" s="93"/>
      <c r="M27" s="93">
        <f t="shared" si="1"/>
        <v>0</v>
      </c>
      <c r="N27" s="66">
        <v>8631000</v>
      </c>
      <c r="O27" s="66">
        <v>209856.6</v>
      </c>
      <c r="P27" s="83"/>
      <c r="Q27" s="83"/>
      <c r="R27" s="83"/>
      <c r="U27" s="73">
        <v>2.7E-2</v>
      </c>
      <c r="V27" s="73"/>
      <c r="W27" s="76"/>
    </row>
    <row r="28" spans="1:23" s="23" customFormat="1" ht="12.75" hidden="1" customHeight="1" x14ac:dyDescent="0.3">
      <c r="A28" s="28">
        <v>2025</v>
      </c>
      <c r="B28" s="28" t="s">
        <v>13</v>
      </c>
      <c r="C28" s="28" t="s">
        <v>14</v>
      </c>
      <c r="D28" s="28" t="s">
        <v>15</v>
      </c>
      <c r="E28" s="28" t="s">
        <v>16</v>
      </c>
      <c r="F28" s="24" t="s">
        <v>45</v>
      </c>
      <c r="G28" s="16">
        <v>52</v>
      </c>
      <c r="H28" s="65">
        <v>12261.988716502115</v>
      </c>
      <c r="I28" s="30">
        <v>0</v>
      </c>
      <c r="J28" s="65">
        <v>364.51515704894081</v>
      </c>
      <c r="K28" s="92">
        <v>0</v>
      </c>
      <c r="L28" s="93"/>
      <c r="M28" s="93">
        <f t="shared" si="1"/>
        <v>0</v>
      </c>
      <c r="N28" s="66">
        <v>17387500</v>
      </c>
      <c r="O28" s="66">
        <v>499021.25</v>
      </c>
      <c r="P28" s="83"/>
      <c r="Q28" s="83"/>
      <c r="R28" s="83"/>
      <c r="U28" s="73">
        <v>2.5000000000000001E-2</v>
      </c>
      <c r="V28" s="73"/>
      <c r="W28" s="76"/>
    </row>
    <row r="29" spans="1:23" s="23" customFormat="1" ht="12.75" hidden="1" customHeight="1" x14ac:dyDescent="0.3">
      <c r="A29" s="28">
        <v>2025</v>
      </c>
      <c r="B29" s="28" t="s">
        <v>13</v>
      </c>
      <c r="C29" s="28" t="s">
        <v>14</v>
      </c>
      <c r="D29" s="28" t="s">
        <v>30</v>
      </c>
      <c r="E29" s="28" t="s">
        <v>16</v>
      </c>
      <c r="F29" s="24" t="s">
        <v>19</v>
      </c>
      <c r="G29" s="16">
        <v>785</v>
      </c>
      <c r="H29" s="65">
        <v>221098.90691114246</v>
      </c>
      <c r="I29" s="30">
        <v>0</v>
      </c>
      <c r="J29" s="65">
        <v>5908.9872753834916</v>
      </c>
      <c r="K29" s="92">
        <v>0</v>
      </c>
      <c r="L29" s="93"/>
      <c r="M29" s="93">
        <f t="shared" si="1"/>
        <v>0</v>
      </c>
      <c r="N29" s="66">
        <v>313518250</v>
      </c>
      <c r="O29" s="66">
        <v>8089403.5800000001</v>
      </c>
      <c r="P29" s="83"/>
      <c r="Q29" s="83"/>
      <c r="R29" s="83"/>
      <c r="U29" s="73">
        <v>2.9000000000000001E-2</v>
      </c>
      <c r="V29" s="73"/>
      <c r="W29" s="76"/>
    </row>
    <row r="30" spans="1:23" s="23" customFormat="1" ht="12.75" hidden="1" customHeight="1" x14ac:dyDescent="0.3">
      <c r="A30" s="28">
        <v>2025</v>
      </c>
      <c r="B30" s="28" t="s">
        <v>13</v>
      </c>
      <c r="C30" s="28" t="s">
        <v>14</v>
      </c>
      <c r="D30" s="28" t="s">
        <v>30</v>
      </c>
      <c r="E30" s="28" t="s">
        <v>16</v>
      </c>
      <c r="F30" s="24" t="s">
        <v>623</v>
      </c>
      <c r="G30" s="16">
        <v>652.20000000000005</v>
      </c>
      <c r="H30" s="65">
        <v>428974.33356840623</v>
      </c>
      <c r="I30" s="30">
        <v>0</v>
      </c>
      <c r="J30" s="65">
        <v>10169.674872169468</v>
      </c>
      <c r="K30" s="92">
        <v>16969.725872899926</v>
      </c>
      <c r="L30" s="93">
        <v>1798.7877282688096</v>
      </c>
      <c r="M30" s="93">
        <f t="shared" si="1"/>
        <v>1736.6293370944995</v>
      </c>
      <c r="N30" s="66">
        <v>608285605</v>
      </c>
      <c r="O30" s="66">
        <v>13922284.9</v>
      </c>
      <c r="P30" s="85">
        <v>23231554.719999999</v>
      </c>
      <c r="Q30" s="83"/>
      <c r="R30" s="84">
        <v>2462540.4000000004</v>
      </c>
      <c r="U30" s="73">
        <v>2.9000000000000001E-2</v>
      </c>
      <c r="V30" s="73"/>
      <c r="W30" s="76"/>
    </row>
    <row r="31" spans="1:23" s="23" customFormat="1" ht="12.75" hidden="1" customHeight="1" x14ac:dyDescent="0.3">
      <c r="A31" s="28">
        <v>2025</v>
      </c>
      <c r="B31" s="28" t="s">
        <v>13</v>
      </c>
      <c r="C31" s="28" t="s">
        <v>14</v>
      </c>
      <c r="D31" s="28" t="s">
        <v>30</v>
      </c>
      <c r="E31" s="28" t="s">
        <v>16</v>
      </c>
      <c r="F31" s="24" t="s">
        <v>600</v>
      </c>
      <c r="G31" s="16">
        <v>246</v>
      </c>
      <c r="H31" s="65">
        <v>138023.69534555712</v>
      </c>
      <c r="I31" s="30">
        <v>0</v>
      </c>
      <c r="J31" s="65">
        <v>4301.2088677867059</v>
      </c>
      <c r="K31" s="92">
        <v>0</v>
      </c>
      <c r="L31" s="93"/>
      <c r="M31" s="93">
        <f t="shared" si="1"/>
        <v>0</v>
      </c>
      <c r="N31" s="66">
        <v>195717600</v>
      </c>
      <c r="O31" s="66">
        <v>5888354.9400000004</v>
      </c>
      <c r="P31" s="83"/>
      <c r="Q31" s="83"/>
      <c r="R31" s="83"/>
      <c r="U31" s="73">
        <v>2.75E-2</v>
      </c>
      <c r="V31" s="73"/>
      <c r="W31" s="76"/>
    </row>
    <row r="32" spans="1:23" s="23" customFormat="1" ht="12.75" hidden="1" customHeight="1" x14ac:dyDescent="0.3">
      <c r="A32" s="28">
        <v>2025</v>
      </c>
      <c r="B32" s="28" t="s">
        <v>13</v>
      </c>
      <c r="C32" s="28" t="s">
        <v>14</v>
      </c>
      <c r="D32" s="28" t="s">
        <v>30</v>
      </c>
      <c r="E32" s="28" t="s">
        <v>16</v>
      </c>
      <c r="F32" s="24" t="s">
        <v>422</v>
      </c>
      <c r="G32" s="16">
        <v>348</v>
      </c>
      <c r="H32" s="65">
        <v>180534.20310296191</v>
      </c>
      <c r="I32" s="30">
        <v>0</v>
      </c>
      <c r="J32" s="65">
        <v>5460.282688093499</v>
      </c>
      <c r="K32" s="92">
        <v>55874.924178232286</v>
      </c>
      <c r="L32" s="93">
        <v>700.55872169466761</v>
      </c>
      <c r="M32" s="93">
        <f t="shared" si="1"/>
        <v>676.35041607898449</v>
      </c>
      <c r="N32" s="66">
        <v>255997500</v>
      </c>
      <c r="O32" s="66">
        <v>7475127</v>
      </c>
      <c r="P32" s="85">
        <v>76492771.200000003</v>
      </c>
      <c r="Q32" s="83"/>
      <c r="R32" s="84">
        <v>959064.89</v>
      </c>
      <c r="U32" s="73">
        <v>2.9000000000000001E-2</v>
      </c>
      <c r="V32" s="73"/>
      <c r="W32" s="76"/>
    </row>
    <row r="33" spans="1:23" s="23" customFormat="1" ht="12.75" hidden="1" customHeight="1" x14ac:dyDescent="0.3">
      <c r="A33" s="28">
        <v>2025</v>
      </c>
      <c r="B33" s="28" t="s">
        <v>13</v>
      </c>
      <c r="C33" s="28" t="s">
        <v>14</v>
      </c>
      <c r="D33" s="28" t="s">
        <v>30</v>
      </c>
      <c r="E33" s="28" t="s">
        <v>16</v>
      </c>
      <c r="F33" s="24" t="s">
        <v>1927</v>
      </c>
      <c r="G33" s="16">
        <v>109</v>
      </c>
      <c r="H33" s="65">
        <v>65169.393511988717</v>
      </c>
      <c r="I33" s="30">
        <v>0</v>
      </c>
      <c r="J33" s="65">
        <v>3071.3397370343314</v>
      </c>
      <c r="K33" s="92">
        <v>0</v>
      </c>
      <c r="L33" s="93"/>
      <c r="M33" s="93">
        <f t="shared" si="1"/>
        <v>0</v>
      </c>
      <c r="N33" s="66">
        <v>92410200</v>
      </c>
      <c r="O33" s="66">
        <v>4204664.0999999996</v>
      </c>
      <c r="P33" s="83"/>
      <c r="Q33" s="83"/>
      <c r="R33" s="83"/>
      <c r="U33" s="73">
        <v>2.9000000000000001E-2</v>
      </c>
      <c r="V33" s="73"/>
      <c r="W33" s="76"/>
    </row>
    <row r="34" spans="1:23" s="23" customFormat="1" ht="12.75" hidden="1" customHeight="1" x14ac:dyDescent="0.3">
      <c r="A34" s="28">
        <v>2025</v>
      </c>
      <c r="B34" s="28" t="s">
        <v>13</v>
      </c>
      <c r="C34" s="28" t="s">
        <v>14</v>
      </c>
      <c r="D34" s="28" t="s">
        <v>30</v>
      </c>
      <c r="E34" s="28" t="s">
        <v>16</v>
      </c>
      <c r="F34" s="24" t="s">
        <v>66</v>
      </c>
      <c r="G34" s="16">
        <v>82</v>
      </c>
      <c r="H34" s="65">
        <v>34280.394922425949</v>
      </c>
      <c r="I34" s="30">
        <v>0</v>
      </c>
      <c r="J34" s="65">
        <v>1019.061738495252</v>
      </c>
      <c r="K34" s="92">
        <v>9609.0565084002919</v>
      </c>
      <c r="L34" s="93">
        <v>1527.4925200876551</v>
      </c>
      <c r="M34" s="93">
        <f t="shared" si="1"/>
        <v>1474.7089280677008</v>
      </c>
      <c r="N34" s="66">
        <v>48609600</v>
      </c>
      <c r="O34" s="66">
        <v>1395095.52</v>
      </c>
      <c r="P34" s="85">
        <v>13154798.359999999</v>
      </c>
      <c r="Q34" s="83"/>
      <c r="R34" s="84">
        <v>2091137.2599999998</v>
      </c>
      <c r="U34" s="73">
        <v>2.9000000000000001E-2</v>
      </c>
      <c r="V34" s="73"/>
      <c r="W34" s="76"/>
    </row>
    <row r="35" spans="1:23" s="23" customFormat="1" ht="12.75" hidden="1" customHeight="1" x14ac:dyDescent="0.3">
      <c r="A35" s="28">
        <v>2025</v>
      </c>
      <c r="B35" s="28" t="s">
        <v>13</v>
      </c>
      <c r="C35" s="28" t="s">
        <v>14</v>
      </c>
      <c r="D35" s="28" t="s">
        <v>30</v>
      </c>
      <c r="E35" s="28" t="s">
        <v>16</v>
      </c>
      <c r="F35" s="24" t="s">
        <v>587</v>
      </c>
      <c r="G35" s="16">
        <v>230.1</v>
      </c>
      <c r="H35" s="65">
        <v>112859.34414668547</v>
      </c>
      <c r="I35" s="30">
        <v>0</v>
      </c>
      <c r="J35" s="65">
        <v>3413.4485025566105</v>
      </c>
      <c r="K35" s="92">
        <v>97272.191380569755</v>
      </c>
      <c r="L35" s="93">
        <v>668.86252739225711</v>
      </c>
      <c r="M35" s="93">
        <f t="shared" si="1"/>
        <v>645.74950634696756</v>
      </c>
      <c r="N35" s="66">
        <v>160034550</v>
      </c>
      <c r="O35" s="66">
        <v>4673011</v>
      </c>
      <c r="P35" s="85">
        <v>133165630</v>
      </c>
      <c r="Q35" s="83"/>
      <c r="R35" s="84">
        <v>915672.8</v>
      </c>
      <c r="U35" s="73">
        <v>2.5999999999999999E-2</v>
      </c>
      <c r="V35" s="73"/>
      <c r="W35" s="76"/>
    </row>
    <row r="36" spans="1:23" s="23" customFormat="1" ht="12.75" hidden="1" customHeight="1" x14ac:dyDescent="0.3">
      <c r="A36" s="28">
        <v>2025</v>
      </c>
      <c r="B36" s="28" t="s">
        <v>13</v>
      </c>
      <c r="C36" s="28" t="s">
        <v>14</v>
      </c>
      <c r="D36" s="28" t="s">
        <v>30</v>
      </c>
      <c r="E36" s="28" t="s">
        <v>16</v>
      </c>
      <c r="F36" s="24" t="s">
        <v>23</v>
      </c>
      <c r="G36" s="16">
        <v>84</v>
      </c>
      <c r="H36" s="65">
        <v>13227.926657263752</v>
      </c>
      <c r="I36" s="30">
        <v>0</v>
      </c>
      <c r="J36" s="65">
        <v>395.96968590211833</v>
      </c>
      <c r="K36" s="92">
        <v>0</v>
      </c>
      <c r="L36" s="93"/>
      <c r="M36" s="93">
        <f t="shared" si="1"/>
        <v>0</v>
      </c>
      <c r="N36" s="66">
        <v>18757200</v>
      </c>
      <c r="O36" s="66">
        <v>542082.5</v>
      </c>
      <c r="P36" s="83"/>
      <c r="Q36" s="83"/>
      <c r="R36" s="83"/>
      <c r="U36" s="73">
        <v>3.2000000000000001E-2</v>
      </c>
      <c r="V36" s="73"/>
      <c r="W36" s="76"/>
    </row>
    <row r="37" spans="1:23" s="23" customFormat="1" ht="12.75" hidden="1" customHeight="1" x14ac:dyDescent="0.3">
      <c r="A37" s="28">
        <v>2025</v>
      </c>
      <c r="B37" s="28" t="s">
        <v>13</v>
      </c>
      <c r="C37" s="28" t="s">
        <v>14</v>
      </c>
      <c r="D37" s="28" t="s">
        <v>30</v>
      </c>
      <c r="E37" s="28" t="s">
        <v>16</v>
      </c>
      <c r="F37" s="24" t="s">
        <v>27</v>
      </c>
      <c r="G37" s="16">
        <v>4325</v>
      </c>
      <c r="H37" s="65">
        <v>1212879.8483779973</v>
      </c>
      <c r="I37" s="30">
        <v>0</v>
      </c>
      <c r="J37" s="65">
        <v>31090</v>
      </c>
      <c r="K37" s="92">
        <v>52460.850284879481</v>
      </c>
      <c r="L37" s="93">
        <v>1307.8885390796202</v>
      </c>
      <c r="M37" s="93">
        <f t="shared" si="1"/>
        <v>1262.6935190409029</v>
      </c>
      <c r="N37" s="66">
        <v>1719863625</v>
      </c>
      <c r="O37" s="66">
        <v>49408326.640000001</v>
      </c>
      <c r="P37" s="85">
        <v>71818904.040000007</v>
      </c>
      <c r="Q37" s="83"/>
      <c r="R37" s="84">
        <v>1790499.4100000001</v>
      </c>
      <c r="U37" s="74">
        <v>2.9000000000000001E-2</v>
      </c>
      <c r="V37" s="73"/>
      <c r="W37" s="76"/>
    </row>
    <row r="38" spans="1:23" s="23" customFormat="1" ht="12.75" hidden="1" customHeight="1" x14ac:dyDescent="0.3">
      <c r="A38" s="28">
        <v>2025</v>
      </c>
      <c r="B38" s="28" t="s">
        <v>13</v>
      </c>
      <c r="C38" s="28" t="s">
        <v>14</v>
      </c>
      <c r="D38" s="28" t="s">
        <v>30</v>
      </c>
      <c r="E38" s="28" t="s">
        <v>16</v>
      </c>
      <c r="F38" s="24" t="s">
        <v>28</v>
      </c>
      <c r="G38" s="16">
        <v>858</v>
      </c>
      <c r="H38" s="65">
        <v>308544.94005641749</v>
      </c>
      <c r="I38" s="30">
        <v>0</v>
      </c>
      <c r="J38" s="65">
        <v>9087.9131775018286</v>
      </c>
      <c r="K38" s="92">
        <v>0</v>
      </c>
      <c r="L38" s="93"/>
      <c r="M38" s="93">
        <f t="shared" si="1"/>
        <v>692.05193935119894</v>
      </c>
      <c r="N38" s="66">
        <v>437516725</v>
      </c>
      <c r="O38" s="66">
        <v>12441353.140000002</v>
      </c>
      <c r="P38" s="83"/>
      <c r="Q38" s="83"/>
      <c r="R38" s="84">
        <v>981329.65</v>
      </c>
      <c r="U38" s="74">
        <v>2.75E-2</v>
      </c>
      <c r="V38" s="73"/>
      <c r="W38" s="76"/>
    </row>
    <row r="39" spans="1:23" s="23" customFormat="1" ht="12.75" hidden="1" customHeight="1" x14ac:dyDescent="0.3">
      <c r="A39" s="28">
        <v>2025</v>
      </c>
      <c r="B39" s="28" t="s">
        <v>13</v>
      </c>
      <c r="C39" s="28" t="s">
        <v>14</v>
      </c>
      <c r="D39" s="28" t="s">
        <v>30</v>
      </c>
      <c r="E39" s="28" t="s">
        <v>16</v>
      </c>
      <c r="F39" s="24" t="s">
        <v>73</v>
      </c>
      <c r="G39" s="16">
        <v>68</v>
      </c>
      <c r="H39" s="65">
        <v>16784.203102961917</v>
      </c>
      <c r="I39" s="30">
        <v>0</v>
      </c>
      <c r="J39" s="65">
        <v>496.59436815193567</v>
      </c>
      <c r="K39" s="92">
        <v>0</v>
      </c>
      <c r="L39" s="93"/>
      <c r="M39" s="93">
        <f t="shared" si="1"/>
        <v>389.44030324400563</v>
      </c>
      <c r="N39" s="66">
        <v>23800000</v>
      </c>
      <c r="O39" s="66">
        <v>679837.69</v>
      </c>
      <c r="P39" s="83"/>
      <c r="Q39" s="83"/>
      <c r="R39" s="84">
        <v>552226.35</v>
      </c>
      <c r="U39" s="74">
        <v>2.9000000000000001E-2</v>
      </c>
      <c r="V39" s="73"/>
      <c r="W39" s="76"/>
    </row>
    <row r="40" spans="1:23" s="23" customFormat="1" ht="12.75" hidden="1" customHeight="1" x14ac:dyDescent="0.3">
      <c r="A40" s="28">
        <v>2025</v>
      </c>
      <c r="B40" s="28" t="s">
        <v>13</v>
      </c>
      <c r="C40" s="28" t="s">
        <v>1903</v>
      </c>
      <c r="D40" s="28" t="s">
        <v>15</v>
      </c>
      <c r="E40" s="28" t="s">
        <v>16</v>
      </c>
      <c r="F40" s="24" t="s">
        <v>19</v>
      </c>
      <c r="G40" s="16">
        <v>1480</v>
      </c>
      <c r="H40" s="65">
        <v>450721.01551480958</v>
      </c>
      <c r="I40" s="30">
        <v>270432.60930888576</v>
      </c>
      <c r="J40" s="65">
        <v>22201.229101533965</v>
      </c>
      <c r="K40" s="92">
        <v>125285.1234477721</v>
      </c>
      <c r="L40" s="93">
        <v>1366.4740759678598</v>
      </c>
      <c r="M40" s="93">
        <f t="shared" si="1"/>
        <v>1319.2545909732016</v>
      </c>
      <c r="N40" s="66">
        <v>639122400</v>
      </c>
      <c r="O40" s="66">
        <v>30393482.640000001</v>
      </c>
      <c r="P40" s="85">
        <v>171515334</v>
      </c>
      <c r="Q40" s="83"/>
      <c r="R40" s="84">
        <v>1870703.01</v>
      </c>
      <c r="U40" s="74">
        <v>4.9000000000000002E-2</v>
      </c>
      <c r="V40" s="73"/>
      <c r="W40" s="76"/>
    </row>
    <row r="41" spans="1:23" s="23" customFormat="1" ht="12.75" hidden="1" customHeight="1" x14ac:dyDescent="0.3">
      <c r="A41" s="28">
        <v>2025</v>
      </c>
      <c r="B41" s="28" t="s">
        <v>13</v>
      </c>
      <c r="C41" s="28" t="s">
        <v>1903</v>
      </c>
      <c r="D41" s="28" t="s">
        <v>15</v>
      </c>
      <c r="E41" s="28" t="s">
        <v>16</v>
      </c>
      <c r="F41" s="24" t="s">
        <v>422</v>
      </c>
      <c r="G41" s="16">
        <v>165</v>
      </c>
      <c r="H41" s="65">
        <v>90812.834978843443</v>
      </c>
      <c r="I41" s="30">
        <v>90812.834978843443</v>
      </c>
      <c r="J41" s="65">
        <v>3489.7494813732651</v>
      </c>
      <c r="K41" s="92">
        <v>0</v>
      </c>
      <c r="L41" s="93"/>
      <c r="M41" s="93">
        <f t="shared" si="1"/>
        <v>0</v>
      </c>
      <c r="N41" s="66">
        <v>128772600</v>
      </c>
      <c r="O41" s="66">
        <v>4777467.04</v>
      </c>
      <c r="P41" s="83"/>
      <c r="Q41" s="83"/>
      <c r="R41" s="83"/>
      <c r="U41" s="74">
        <v>4.9000000000000002E-2</v>
      </c>
      <c r="V41" s="73"/>
      <c r="W41" s="76"/>
    </row>
    <row r="42" spans="1:23" s="23" customFormat="1" ht="12.75" hidden="1" customHeight="1" x14ac:dyDescent="0.3">
      <c r="A42" s="28">
        <v>2025</v>
      </c>
      <c r="B42" s="28" t="s">
        <v>13</v>
      </c>
      <c r="C42" s="28" t="s">
        <v>1903</v>
      </c>
      <c r="D42" s="28" t="s">
        <v>15</v>
      </c>
      <c r="E42" s="28" t="s">
        <v>16</v>
      </c>
      <c r="F42" s="24" t="s">
        <v>1927</v>
      </c>
      <c r="G42" s="16">
        <v>60</v>
      </c>
      <c r="H42" s="65">
        <v>36291.960507757402</v>
      </c>
      <c r="I42" s="30">
        <v>36291.960507757402</v>
      </c>
      <c r="J42" s="65">
        <v>1710.3878743608473</v>
      </c>
      <c r="K42" s="92">
        <v>0</v>
      </c>
      <c r="L42" s="93"/>
      <c r="M42" s="93">
        <f t="shared" si="1"/>
        <v>0</v>
      </c>
      <c r="N42" s="66">
        <v>51462000</v>
      </c>
      <c r="O42" s="66">
        <v>2341521</v>
      </c>
      <c r="P42" s="83"/>
      <c r="Q42" s="83"/>
      <c r="R42" s="83"/>
      <c r="U42" s="74">
        <v>4.9000000000000002E-2</v>
      </c>
      <c r="V42" s="73"/>
      <c r="W42" s="76"/>
    </row>
    <row r="43" spans="1:23" s="23" customFormat="1" ht="12.75" hidden="1" customHeight="1" x14ac:dyDescent="0.3">
      <c r="A43" s="28">
        <v>2025</v>
      </c>
      <c r="B43" s="28" t="s">
        <v>13</v>
      </c>
      <c r="C43" s="28" t="s">
        <v>1903</v>
      </c>
      <c r="D43" s="28" t="s">
        <v>15</v>
      </c>
      <c r="E43" s="28" t="s">
        <v>16</v>
      </c>
      <c r="F43" s="24" t="s">
        <v>66</v>
      </c>
      <c r="G43" s="16">
        <v>339</v>
      </c>
      <c r="H43" s="65">
        <v>120396.05077574048</v>
      </c>
      <c r="I43" s="30">
        <v>72237.630465444294</v>
      </c>
      <c r="J43" s="65">
        <v>6399.6063403944481</v>
      </c>
      <c r="K43" s="92">
        <v>0</v>
      </c>
      <c r="L43" s="93"/>
      <c r="M43" s="93">
        <f t="shared" si="1"/>
        <v>1247.6902820874473</v>
      </c>
      <c r="N43" s="66">
        <v>170721600</v>
      </c>
      <c r="O43" s="66">
        <v>8761061.0800000001</v>
      </c>
      <c r="P43" s="83"/>
      <c r="Q43" s="83"/>
      <c r="R43" s="84">
        <v>1769224.82</v>
      </c>
      <c r="U43" s="74">
        <v>4.9000000000000002E-2</v>
      </c>
      <c r="V43" s="73"/>
      <c r="W43" s="76"/>
    </row>
    <row r="44" spans="1:23" s="23" customFormat="1" ht="12.75" hidden="1" customHeight="1" x14ac:dyDescent="0.3">
      <c r="A44" s="28">
        <v>2025</v>
      </c>
      <c r="B44" s="28" t="s">
        <v>13</v>
      </c>
      <c r="C44" s="28" t="s">
        <v>1903</v>
      </c>
      <c r="D44" s="28" t="s">
        <v>15</v>
      </c>
      <c r="E44" s="28" t="s">
        <v>16</v>
      </c>
      <c r="F44" s="24" t="s">
        <v>155</v>
      </c>
      <c r="G44" s="16">
        <v>73</v>
      </c>
      <c r="H44" s="65">
        <v>44433.215796897035</v>
      </c>
      <c r="I44" s="30">
        <v>26659.92947813822</v>
      </c>
      <c r="J44" s="65">
        <v>2186.1207085463843</v>
      </c>
      <c r="K44" s="92">
        <v>0</v>
      </c>
      <c r="L44" s="93"/>
      <c r="M44" s="93">
        <f t="shared" si="1"/>
        <v>0</v>
      </c>
      <c r="N44" s="66">
        <v>63006300</v>
      </c>
      <c r="O44" s="66">
        <v>2992799.25</v>
      </c>
      <c r="P44" s="83"/>
      <c r="Q44" s="83"/>
      <c r="R44" s="83"/>
      <c r="U44" s="74">
        <v>4.7E-2</v>
      </c>
      <c r="V44" s="73"/>
      <c r="W44" s="76"/>
    </row>
    <row r="45" spans="1:23" s="23" customFormat="1" ht="12.75" hidden="1" customHeight="1" x14ac:dyDescent="0.3">
      <c r="A45" s="28">
        <v>2025</v>
      </c>
      <c r="B45" s="28" t="s">
        <v>13</v>
      </c>
      <c r="C45" s="28" t="s">
        <v>1903</v>
      </c>
      <c r="D45" s="28" t="s">
        <v>15</v>
      </c>
      <c r="E45" s="28" t="s">
        <v>16</v>
      </c>
      <c r="F45" s="24" t="s">
        <v>23</v>
      </c>
      <c r="G45" s="16">
        <v>853</v>
      </c>
      <c r="H45" s="65">
        <v>322149.68265162199</v>
      </c>
      <c r="I45" s="30">
        <v>193289.80959097319</v>
      </c>
      <c r="J45" s="65">
        <v>19316.327684441199</v>
      </c>
      <c r="K45" s="92">
        <v>950.95456537618702</v>
      </c>
      <c r="L45" s="93">
        <v>0</v>
      </c>
      <c r="M45" s="93">
        <f t="shared" si="1"/>
        <v>0</v>
      </c>
      <c r="N45" s="66">
        <v>456808250</v>
      </c>
      <c r="O45" s="66">
        <v>26444052.600000001</v>
      </c>
      <c r="P45" s="85">
        <v>1301856.8</v>
      </c>
      <c r="Q45" s="83"/>
      <c r="R45" s="83"/>
      <c r="U45" s="74">
        <v>5.1999999999999998E-2</v>
      </c>
      <c r="V45" s="73"/>
      <c r="W45" s="76"/>
    </row>
    <row r="46" spans="1:23" s="23" customFormat="1" ht="12.75" hidden="1" customHeight="1" x14ac:dyDescent="0.3">
      <c r="A46" s="28">
        <v>2025</v>
      </c>
      <c r="B46" s="28" t="s">
        <v>13</v>
      </c>
      <c r="C46" s="28" t="s">
        <v>1903</v>
      </c>
      <c r="D46" s="28" t="s">
        <v>15</v>
      </c>
      <c r="E46" s="28" t="s">
        <v>16</v>
      </c>
      <c r="F46" s="24" t="s">
        <v>178</v>
      </c>
      <c r="G46" s="16">
        <v>50</v>
      </c>
      <c r="H46" s="65">
        <v>31371.650211565586</v>
      </c>
      <c r="I46" s="30">
        <v>18822.990126939352</v>
      </c>
      <c r="J46" s="65">
        <v>1542.6675821767712</v>
      </c>
      <c r="K46" s="92">
        <v>0</v>
      </c>
      <c r="L46" s="93"/>
      <c r="M46" s="93">
        <f t="shared" si="1"/>
        <v>0</v>
      </c>
      <c r="N46" s="66">
        <v>44485000</v>
      </c>
      <c r="O46" s="66">
        <v>2111911.92</v>
      </c>
      <c r="P46" s="83"/>
      <c r="Q46" s="83"/>
      <c r="R46" s="83"/>
      <c r="U46" s="74">
        <v>4.7E-2</v>
      </c>
      <c r="V46" s="73"/>
      <c r="W46" s="76"/>
    </row>
    <row r="47" spans="1:23" s="23" customFormat="1" ht="12.75" hidden="1" customHeight="1" x14ac:dyDescent="0.3">
      <c r="A47" s="28">
        <v>2025</v>
      </c>
      <c r="B47" s="28" t="s">
        <v>13</v>
      </c>
      <c r="C47" s="28" t="s">
        <v>1903</v>
      </c>
      <c r="D47" s="28" t="s">
        <v>15</v>
      </c>
      <c r="E47" s="28" t="s">
        <v>16</v>
      </c>
      <c r="F47" s="24" t="s">
        <v>42</v>
      </c>
      <c r="G47" s="16">
        <v>163</v>
      </c>
      <c r="H47" s="65">
        <v>101696.82651622003</v>
      </c>
      <c r="I47" s="30">
        <v>61018.095909732016</v>
      </c>
      <c r="J47" s="65">
        <v>4476.8146457268076</v>
      </c>
      <c r="K47" s="92">
        <v>0</v>
      </c>
      <c r="L47" s="93"/>
      <c r="M47" s="93">
        <f t="shared" si="1"/>
        <v>0</v>
      </c>
      <c r="N47" s="66">
        <v>144206100</v>
      </c>
      <c r="O47" s="66">
        <v>6128759.25</v>
      </c>
      <c r="P47" s="83"/>
      <c r="Q47" s="83"/>
      <c r="R47" s="83"/>
      <c r="U47" s="74">
        <v>4.4999999999999998E-2</v>
      </c>
      <c r="V47" s="73"/>
      <c r="W47" s="76"/>
    </row>
    <row r="48" spans="1:23" s="23" customFormat="1" ht="12.75" hidden="1" customHeight="1" x14ac:dyDescent="0.3">
      <c r="A48" s="28">
        <v>2025</v>
      </c>
      <c r="B48" s="28" t="s">
        <v>13</v>
      </c>
      <c r="C48" s="28" t="s">
        <v>1903</v>
      </c>
      <c r="D48" s="28" t="s">
        <v>15</v>
      </c>
      <c r="E48" s="28" t="s">
        <v>16</v>
      </c>
      <c r="F48" s="24" t="s">
        <v>27</v>
      </c>
      <c r="G48" s="16">
        <v>1184</v>
      </c>
      <c r="H48" s="65">
        <v>382514.47461212974</v>
      </c>
      <c r="I48" s="30">
        <v>229508.68476727782</v>
      </c>
      <c r="J48" s="65">
        <v>18561.323031409785</v>
      </c>
      <c r="K48" s="92">
        <v>35091.002907231559</v>
      </c>
      <c r="L48" s="93">
        <v>3226.2754200146092</v>
      </c>
      <c r="M48" s="93">
        <f t="shared" si="1"/>
        <v>3114.789174894217</v>
      </c>
      <c r="N48" s="66">
        <v>542405525</v>
      </c>
      <c r="O48" s="66">
        <v>25410451.229999997</v>
      </c>
      <c r="P48" s="85">
        <v>48039582.980000004</v>
      </c>
      <c r="Q48" s="83"/>
      <c r="R48" s="84">
        <v>4416771.05</v>
      </c>
      <c r="U48" s="74">
        <v>4.9000000000000002E-2</v>
      </c>
      <c r="V48" s="73"/>
      <c r="W48" s="76"/>
    </row>
    <row r="49" spans="1:24" s="23" customFormat="1" ht="12.75" hidden="1" customHeight="1" x14ac:dyDescent="0.3">
      <c r="A49" s="28">
        <v>2025</v>
      </c>
      <c r="B49" s="28" t="s">
        <v>13</v>
      </c>
      <c r="C49" s="28" t="s">
        <v>1903</v>
      </c>
      <c r="D49" s="28" t="s">
        <v>15</v>
      </c>
      <c r="E49" s="28" t="s">
        <v>16</v>
      </c>
      <c r="F49" s="24" t="s">
        <v>170</v>
      </c>
      <c r="G49" s="16">
        <v>484</v>
      </c>
      <c r="H49" s="65">
        <v>158735.89562764458</v>
      </c>
      <c r="I49" s="30">
        <v>95241.537376586741</v>
      </c>
      <c r="J49" s="65">
        <v>7863.1040467494522</v>
      </c>
      <c r="K49" s="92">
        <v>32608.532943754566</v>
      </c>
      <c r="L49" s="93">
        <v>1621.3850255661066</v>
      </c>
      <c r="M49" s="93">
        <f t="shared" si="1"/>
        <v>1565.3569111424542</v>
      </c>
      <c r="N49" s="66">
        <v>225087500</v>
      </c>
      <c r="O49" s="66">
        <v>10764589.439999999</v>
      </c>
      <c r="P49" s="85">
        <v>44641081.600000001</v>
      </c>
      <c r="Q49" s="83"/>
      <c r="R49" s="84">
        <v>2219676.1</v>
      </c>
      <c r="U49" s="74">
        <v>4.9000000000000002E-2</v>
      </c>
      <c r="V49" s="73"/>
      <c r="W49" s="76"/>
    </row>
    <row r="50" spans="1:24" s="23" customFormat="1" ht="12.75" hidden="1" customHeight="1" x14ac:dyDescent="0.3">
      <c r="A50" s="28">
        <v>2025</v>
      </c>
      <c r="B50" s="28" t="s">
        <v>13</v>
      </c>
      <c r="C50" s="28" t="s">
        <v>1903</v>
      </c>
      <c r="D50" s="28" t="s">
        <v>30</v>
      </c>
      <c r="E50" s="28" t="s">
        <v>16</v>
      </c>
      <c r="F50" s="24" t="s">
        <v>19</v>
      </c>
      <c r="G50" s="16">
        <v>55</v>
      </c>
      <c r="H50" s="65">
        <v>22876.586741889987</v>
      </c>
      <c r="I50" s="30">
        <v>13725.952045133992</v>
      </c>
      <c r="J50" s="65">
        <v>1156.335427319211</v>
      </c>
      <c r="K50" s="92">
        <v>0</v>
      </c>
      <c r="L50" s="93"/>
      <c r="M50" s="93">
        <f t="shared" si="1"/>
        <v>0</v>
      </c>
      <c r="N50" s="66">
        <v>32439000</v>
      </c>
      <c r="O50" s="66">
        <v>1583023.2</v>
      </c>
      <c r="P50" s="83"/>
      <c r="Q50" s="83"/>
      <c r="R50" s="83"/>
      <c r="U50" s="74">
        <v>4.9000000000000002E-2</v>
      </c>
      <c r="V50" s="73"/>
      <c r="W50" s="76"/>
    </row>
    <row r="51" spans="1:24" s="23" customFormat="1" ht="12.75" hidden="1" customHeight="1" x14ac:dyDescent="0.3">
      <c r="A51" s="28">
        <v>2025</v>
      </c>
      <c r="B51" s="28" t="s">
        <v>13</v>
      </c>
      <c r="C51" s="28" t="s">
        <v>1903</v>
      </c>
      <c r="D51" s="28" t="s">
        <v>30</v>
      </c>
      <c r="E51" s="28" t="s">
        <v>16</v>
      </c>
      <c r="F51" s="24" t="s">
        <v>66</v>
      </c>
      <c r="G51" s="16">
        <v>70</v>
      </c>
      <c r="H51" s="65">
        <v>20977.785613540196</v>
      </c>
      <c r="I51" s="30">
        <v>12586.671368124118</v>
      </c>
      <c r="J51" s="65">
        <v>1042.9744338933529</v>
      </c>
      <c r="K51" s="92">
        <v>0</v>
      </c>
      <c r="L51" s="93"/>
      <c r="M51" s="93">
        <f t="shared" si="1"/>
        <v>0</v>
      </c>
      <c r="N51" s="66">
        <v>29746500</v>
      </c>
      <c r="O51" s="66">
        <v>1427832</v>
      </c>
      <c r="P51" s="83"/>
      <c r="Q51" s="83"/>
      <c r="R51" s="83"/>
      <c r="U51" s="74">
        <v>4.9000000000000002E-2</v>
      </c>
      <c r="V51" s="73"/>
      <c r="W51" s="76"/>
    </row>
    <row r="52" spans="1:24" s="23" customFormat="1" ht="12.75" hidden="1" customHeight="1" x14ac:dyDescent="0.3">
      <c r="A52" s="28">
        <v>2025</v>
      </c>
      <c r="B52" s="28" t="s">
        <v>13</v>
      </c>
      <c r="C52" s="28" t="s">
        <v>1903</v>
      </c>
      <c r="D52" s="28" t="s">
        <v>30</v>
      </c>
      <c r="E52" s="28" t="s">
        <v>16</v>
      </c>
      <c r="F52" s="24" t="s">
        <v>23</v>
      </c>
      <c r="G52" s="16">
        <v>20</v>
      </c>
      <c r="H52" s="65">
        <v>6849.4358251057829</v>
      </c>
      <c r="I52" s="30">
        <v>4109.6614950634694</v>
      </c>
      <c r="J52" s="65">
        <v>420.70945945945948</v>
      </c>
      <c r="K52" s="92">
        <v>0</v>
      </c>
      <c r="L52" s="93"/>
      <c r="M52" s="93">
        <f t="shared" si="1"/>
        <v>499.34118476727787</v>
      </c>
      <c r="N52" s="66">
        <v>9712500</v>
      </c>
      <c r="O52" s="66">
        <v>575951.25</v>
      </c>
      <c r="P52" s="83"/>
      <c r="Q52" s="83"/>
      <c r="R52" s="84">
        <v>708065.8</v>
      </c>
      <c r="U52" s="74">
        <v>5.1999999999999998E-2</v>
      </c>
      <c r="V52" s="73"/>
      <c r="W52" s="76"/>
    </row>
    <row r="53" spans="1:24" s="23" customFormat="1" ht="12.75" hidden="1" customHeight="1" x14ac:dyDescent="0.3">
      <c r="A53" s="28">
        <v>2025</v>
      </c>
      <c r="B53" s="28" t="s">
        <v>13</v>
      </c>
      <c r="C53" s="28" t="s">
        <v>1903</v>
      </c>
      <c r="D53" s="28" t="s">
        <v>30</v>
      </c>
      <c r="E53" s="28" t="s">
        <v>16</v>
      </c>
      <c r="F53" s="24" t="s">
        <v>27</v>
      </c>
      <c r="G53" s="16">
        <v>122</v>
      </c>
      <c r="H53" s="65">
        <v>48946.96755994358</v>
      </c>
      <c r="I53" s="30">
        <v>29368.180535966148</v>
      </c>
      <c r="J53" s="65">
        <v>2379.9541344046747</v>
      </c>
      <c r="K53" s="92">
        <v>0</v>
      </c>
      <c r="L53" s="93"/>
      <c r="M53" s="93">
        <f t="shared" si="1"/>
        <v>0</v>
      </c>
      <c r="N53" s="66">
        <v>69406800</v>
      </c>
      <c r="O53" s="66">
        <v>3258157.21</v>
      </c>
      <c r="P53" s="83"/>
      <c r="Q53" s="83"/>
      <c r="R53" s="83"/>
      <c r="U53" s="74">
        <v>4.9000000000000002E-2</v>
      </c>
      <c r="V53" s="73"/>
      <c r="W53" s="76"/>
    </row>
    <row r="54" spans="1:24" s="23" customFormat="1" ht="12.75" hidden="1" customHeight="1" x14ac:dyDescent="0.3">
      <c r="A54" s="28">
        <v>2025</v>
      </c>
      <c r="B54" s="28" t="s">
        <v>13</v>
      </c>
      <c r="C54" s="28" t="s">
        <v>1903</v>
      </c>
      <c r="D54" s="28" t="s">
        <v>30</v>
      </c>
      <c r="E54" s="28" t="s">
        <v>16</v>
      </c>
      <c r="F54" s="24" t="s">
        <v>73</v>
      </c>
      <c r="G54" s="16">
        <v>37</v>
      </c>
      <c r="H54" s="65">
        <v>10469.851904090268</v>
      </c>
      <c r="I54" s="30">
        <v>6281.9111424541607</v>
      </c>
      <c r="J54" s="65">
        <v>520.54054054054052</v>
      </c>
      <c r="K54" s="92">
        <v>0</v>
      </c>
      <c r="L54" s="93"/>
      <c r="M54" s="93">
        <f t="shared" si="1"/>
        <v>389.44030324400563</v>
      </c>
      <c r="N54" s="66">
        <v>14846250</v>
      </c>
      <c r="O54" s="66">
        <v>712620</v>
      </c>
      <c r="P54" s="83"/>
      <c r="Q54" s="83"/>
      <c r="R54" s="84">
        <v>552226.35</v>
      </c>
      <c r="U54" s="74">
        <v>4.9000000000000002E-2</v>
      </c>
      <c r="V54" s="73"/>
      <c r="W54" s="76"/>
    </row>
    <row r="55" spans="1:24" s="23" customFormat="1" ht="12.75" hidden="1" customHeight="1" x14ac:dyDescent="0.3">
      <c r="A55" s="28">
        <v>2025</v>
      </c>
      <c r="B55" s="28" t="s">
        <v>13</v>
      </c>
      <c r="C55" s="28" t="s">
        <v>1903</v>
      </c>
      <c r="D55" s="28" t="s">
        <v>30</v>
      </c>
      <c r="E55" s="28" t="s">
        <v>16</v>
      </c>
      <c r="F55" s="24" t="s">
        <v>170</v>
      </c>
      <c r="G55" s="16">
        <v>198</v>
      </c>
      <c r="H55" s="65">
        <v>56027.856135401977</v>
      </c>
      <c r="I55" s="30">
        <v>33616.713681241185</v>
      </c>
      <c r="J55" s="65">
        <v>2785.5953250547846</v>
      </c>
      <c r="K55" s="92">
        <v>6710.4</v>
      </c>
      <c r="L55" s="93">
        <v>654.16278305332355</v>
      </c>
      <c r="M55" s="93">
        <f t="shared" si="1"/>
        <v>631.55772214386457</v>
      </c>
      <c r="N55" s="66">
        <v>79447500</v>
      </c>
      <c r="O55" s="66">
        <v>3813480</v>
      </c>
      <c r="P55" s="85">
        <v>9186537.5999999996</v>
      </c>
      <c r="Q55" s="86">
        <v>4899750</v>
      </c>
      <c r="R55" s="84">
        <v>895548.85</v>
      </c>
      <c r="S55" s="23" t="s">
        <v>1</v>
      </c>
      <c r="U55" s="74">
        <v>4.9000000000000002E-2</v>
      </c>
      <c r="V55" s="73"/>
      <c r="W55" s="76"/>
    </row>
    <row r="56" spans="1:24" s="23" customFormat="1" ht="12.75" hidden="1" customHeight="1" x14ac:dyDescent="0.3">
      <c r="A56" s="28">
        <v>2025</v>
      </c>
      <c r="B56" s="28" t="s">
        <v>13</v>
      </c>
      <c r="C56" s="28" t="s">
        <v>31</v>
      </c>
      <c r="D56" s="28" t="s">
        <v>30</v>
      </c>
      <c r="E56" s="28" t="s">
        <v>16</v>
      </c>
      <c r="F56" s="24" t="s">
        <v>19</v>
      </c>
      <c r="G56" s="16">
        <v>132</v>
      </c>
      <c r="H56" s="65">
        <v>60016.643159379404</v>
      </c>
      <c r="I56" s="30">
        <v>0</v>
      </c>
      <c r="J56" s="65">
        <v>2150.9017969320671</v>
      </c>
      <c r="K56" s="92">
        <v>0</v>
      </c>
      <c r="L56" s="93"/>
      <c r="M56" s="93">
        <f t="shared" si="1"/>
        <v>0</v>
      </c>
      <c r="N56" s="66">
        <v>85103600</v>
      </c>
      <c r="O56" s="66">
        <v>2944584.56</v>
      </c>
      <c r="P56" s="83"/>
      <c r="Q56" s="83"/>
      <c r="R56" s="83"/>
      <c r="U56" s="74">
        <v>4.9000000000000002E-2</v>
      </c>
      <c r="V56" s="73"/>
      <c r="W56" s="76"/>
    </row>
    <row r="57" spans="1:24" s="23" customFormat="1" ht="12.75" hidden="1" customHeight="1" x14ac:dyDescent="0.3">
      <c r="A57" s="28">
        <v>2025</v>
      </c>
      <c r="B57" s="28" t="s">
        <v>13</v>
      </c>
      <c r="C57" s="28" t="s">
        <v>31</v>
      </c>
      <c r="D57" s="28" t="s">
        <v>30</v>
      </c>
      <c r="E57" s="28" t="s">
        <v>16</v>
      </c>
      <c r="F57" s="24" t="s">
        <v>66</v>
      </c>
      <c r="G57" s="16">
        <v>644</v>
      </c>
      <c r="H57" s="65">
        <v>181664.31593794076</v>
      </c>
      <c r="I57" s="30">
        <v>0</v>
      </c>
      <c r="J57" s="65">
        <v>8488.7116581446317</v>
      </c>
      <c r="K57" s="92">
        <v>0</v>
      </c>
      <c r="L57" s="93"/>
      <c r="M57" s="93">
        <f t="shared" si="1"/>
        <v>0</v>
      </c>
      <c r="N57" s="66">
        <v>257600000</v>
      </c>
      <c r="O57" s="66">
        <v>11621046.26</v>
      </c>
      <c r="P57" s="83"/>
      <c r="Q57" s="83"/>
      <c r="R57" s="83"/>
      <c r="U57" s="74">
        <v>4.9000000000000002E-2</v>
      </c>
      <c r="V57" s="73"/>
      <c r="W57" s="76"/>
    </row>
    <row r="58" spans="1:24" s="23" customFormat="1" ht="12.75" hidden="1" customHeight="1" x14ac:dyDescent="0.3">
      <c r="A58" s="28">
        <v>2025</v>
      </c>
      <c r="B58" s="28" t="s">
        <v>13</v>
      </c>
      <c r="C58" s="28" t="s">
        <v>31</v>
      </c>
      <c r="D58" s="28" t="s">
        <v>30</v>
      </c>
      <c r="E58" s="28" t="s">
        <v>16</v>
      </c>
      <c r="F58" s="24" t="s">
        <v>27</v>
      </c>
      <c r="G58" s="16">
        <v>225</v>
      </c>
      <c r="H58" s="65">
        <v>63288.081805359659</v>
      </c>
      <c r="I58" s="30">
        <v>0</v>
      </c>
      <c r="J58" s="65">
        <v>3113.7828707085464</v>
      </c>
      <c r="K58" s="92">
        <v>0</v>
      </c>
      <c r="L58" s="93"/>
      <c r="M58" s="93">
        <f t="shared" si="1"/>
        <v>0</v>
      </c>
      <c r="N58" s="66">
        <v>89742500</v>
      </c>
      <c r="O58" s="66">
        <v>4262768.75</v>
      </c>
      <c r="P58" s="83"/>
      <c r="Q58" s="83"/>
      <c r="R58" s="83"/>
      <c r="U58" s="74">
        <v>4.9000000000000002E-2</v>
      </c>
      <c r="V58" s="73"/>
      <c r="W58" s="76"/>
    </row>
    <row r="59" spans="1:24" s="23" customFormat="1" ht="12.75" hidden="1" customHeight="1" x14ac:dyDescent="0.3">
      <c r="A59" s="28">
        <v>2025</v>
      </c>
      <c r="B59" s="28" t="s">
        <v>13</v>
      </c>
      <c r="C59" s="28" t="s">
        <v>14</v>
      </c>
      <c r="D59" s="28" t="s">
        <v>15</v>
      </c>
      <c r="E59" s="28" t="s">
        <v>32</v>
      </c>
      <c r="F59" s="35" t="s">
        <v>68</v>
      </c>
      <c r="G59" s="36">
        <v>1250</v>
      </c>
      <c r="H59" s="65">
        <v>749742.73624823696</v>
      </c>
      <c r="I59" s="30">
        <v>0</v>
      </c>
      <c r="J59" s="65">
        <v>36969.337472607745</v>
      </c>
      <c r="K59" s="92">
        <v>0</v>
      </c>
      <c r="L59" s="93"/>
      <c r="M59" s="93">
        <f t="shared" si="1"/>
        <v>810.64372355430191</v>
      </c>
      <c r="N59" s="67">
        <v>1063135200</v>
      </c>
      <c r="O59" s="67">
        <v>50611023</v>
      </c>
      <c r="P59" s="83"/>
      <c r="Q59" s="83"/>
      <c r="R59" s="84">
        <v>1149492.8</v>
      </c>
      <c r="T59" s="73"/>
      <c r="U59" s="74">
        <v>5.2999999999999999E-2</v>
      </c>
      <c r="V59" s="73"/>
      <c r="W59" s="76"/>
    </row>
    <row r="60" spans="1:24" s="23" customFormat="1" ht="12.75" hidden="1" customHeight="1" x14ac:dyDescent="0.3">
      <c r="A60" s="28">
        <v>2025</v>
      </c>
      <c r="B60" s="28" t="s">
        <v>13</v>
      </c>
      <c r="C60" s="28" t="s">
        <v>14</v>
      </c>
      <c r="D60" s="28" t="s">
        <v>15</v>
      </c>
      <c r="E60" s="28" t="s">
        <v>32</v>
      </c>
      <c r="F60" s="35" t="s">
        <v>69</v>
      </c>
      <c r="G60" s="36">
        <v>170</v>
      </c>
      <c r="H60" s="65">
        <v>59128.349788434418</v>
      </c>
      <c r="I60" s="30">
        <v>0</v>
      </c>
      <c r="J60" s="65">
        <v>3331.7119065010952</v>
      </c>
      <c r="K60" s="92">
        <v>0</v>
      </c>
      <c r="L60" s="93"/>
      <c r="M60" s="93">
        <f t="shared" si="1"/>
        <v>0</v>
      </c>
      <c r="N60" s="67">
        <v>83844000</v>
      </c>
      <c r="O60" s="67">
        <v>4561113.5999999996</v>
      </c>
      <c r="P60" s="83"/>
      <c r="Q60" s="83"/>
      <c r="R60" s="83"/>
      <c r="T60" s="73"/>
      <c r="U60" s="74">
        <v>4.2500000000000003E-2</v>
      </c>
      <c r="V60" s="73"/>
      <c r="W60" s="76"/>
    </row>
    <row r="61" spans="1:24" s="23" customFormat="1" ht="12.75" hidden="1" customHeight="1" x14ac:dyDescent="0.3">
      <c r="A61" s="28">
        <v>2025</v>
      </c>
      <c r="B61" s="28" t="s">
        <v>13</v>
      </c>
      <c r="C61" s="28" t="s">
        <v>14</v>
      </c>
      <c r="D61" s="28" t="s">
        <v>15</v>
      </c>
      <c r="E61" s="28" t="s">
        <v>32</v>
      </c>
      <c r="F61" s="24" t="s">
        <v>1934</v>
      </c>
      <c r="G61" s="36">
        <v>2014.33</v>
      </c>
      <c r="H61" s="65">
        <v>1129359.0176304653</v>
      </c>
      <c r="I61" s="30">
        <v>0</v>
      </c>
      <c r="J61" s="65">
        <v>42232</v>
      </c>
      <c r="K61" s="92">
        <v>0</v>
      </c>
      <c r="L61" s="92"/>
      <c r="M61" s="93">
        <f t="shared" si="1"/>
        <v>773.2517630465444</v>
      </c>
      <c r="N61" s="67">
        <v>1601431087</v>
      </c>
      <c r="O61" s="67">
        <v>60399160.079999998</v>
      </c>
      <c r="P61" s="87"/>
      <c r="Q61" s="87"/>
      <c r="R61" s="88">
        <v>1096471</v>
      </c>
      <c r="S61" s="79"/>
      <c r="T61" s="80"/>
      <c r="U61" s="74">
        <v>0.03</v>
      </c>
      <c r="V61" s="73"/>
      <c r="W61" s="76"/>
      <c r="X61" s="23" t="s">
        <v>1935</v>
      </c>
    </row>
    <row r="62" spans="1:24" s="23" customFormat="1" ht="12.75" hidden="1" customHeight="1" x14ac:dyDescent="0.3">
      <c r="A62" s="28">
        <v>2025</v>
      </c>
      <c r="B62" s="28" t="s">
        <v>13</v>
      </c>
      <c r="C62" s="28" t="s">
        <v>14</v>
      </c>
      <c r="D62" s="28" t="s">
        <v>15</v>
      </c>
      <c r="E62" s="28" t="s">
        <v>32</v>
      </c>
      <c r="F62" s="35" t="s">
        <v>49</v>
      </c>
      <c r="G62" s="36">
        <v>1047</v>
      </c>
      <c r="H62" s="65">
        <v>207036.17771509168</v>
      </c>
      <c r="I62" s="30">
        <v>0</v>
      </c>
      <c r="J62" s="65">
        <v>15219.462096420744</v>
      </c>
      <c r="K62" s="92">
        <v>759.97472607742884</v>
      </c>
      <c r="L62" s="93">
        <v>800.9284149013879</v>
      </c>
      <c r="M62" s="93">
        <f t="shared" si="1"/>
        <v>773.2517630465444</v>
      </c>
      <c r="N62" s="67">
        <v>293577300</v>
      </c>
      <c r="O62" s="67">
        <v>20835443.609999999</v>
      </c>
      <c r="P62" s="85">
        <v>1040405.4</v>
      </c>
      <c r="Q62" s="83"/>
      <c r="R62" s="84">
        <v>1096471</v>
      </c>
      <c r="T62" s="73"/>
      <c r="U62" s="74">
        <v>7.0000000000000007E-2</v>
      </c>
      <c r="V62" s="73"/>
      <c r="W62" s="76"/>
    </row>
    <row r="63" spans="1:24" s="23" customFormat="1" ht="12.75" hidden="1" customHeight="1" x14ac:dyDescent="0.3">
      <c r="A63" s="28">
        <v>2025</v>
      </c>
      <c r="B63" s="28" t="s">
        <v>13</v>
      </c>
      <c r="C63" s="28" t="s">
        <v>14</v>
      </c>
      <c r="D63" s="28" t="s">
        <v>15</v>
      </c>
      <c r="E63" s="28" t="s">
        <v>32</v>
      </c>
      <c r="F63" s="35" t="s">
        <v>266</v>
      </c>
      <c r="G63" s="36">
        <v>1023</v>
      </c>
      <c r="H63" s="65">
        <v>381107.68688293372</v>
      </c>
      <c r="I63" s="30">
        <v>0</v>
      </c>
      <c r="J63" s="65">
        <v>16550.794747991236</v>
      </c>
      <c r="K63" s="92">
        <v>0</v>
      </c>
      <c r="L63" s="92"/>
      <c r="M63" s="93">
        <f t="shared" si="1"/>
        <v>0</v>
      </c>
      <c r="N63" s="67">
        <v>540410700</v>
      </c>
      <c r="O63" s="67">
        <v>22658038.010000002</v>
      </c>
      <c r="P63" s="87"/>
      <c r="Q63" s="87"/>
      <c r="R63" s="87"/>
      <c r="S63" s="79"/>
      <c r="T63" s="80"/>
      <c r="U63" s="74">
        <v>3.5000000000000003E-2</v>
      </c>
      <c r="V63" s="73"/>
      <c r="W63" s="76"/>
    </row>
    <row r="64" spans="1:24" s="23" customFormat="1" ht="12.75" hidden="1" customHeight="1" x14ac:dyDescent="0.3">
      <c r="A64" s="28">
        <v>2025</v>
      </c>
      <c r="B64" s="28" t="s">
        <v>13</v>
      </c>
      <c r="C64" s="28" t="s">
        <v>14</v>
      </c>
      <c r="D64" s="28" t="s">
        <v>15</v>
      </c>
      <c r="E64" s="28" t="s">
        <v>32</v>
      </c>
      <c r="F64" s="35" t="s">
        <v>70</v>
      </c>
      <c r="G64" s="36">
        <v>80</v>
      </c>
      <c r="H64" s="65">
        <v>30284.908321579689</v>
      </c>
      <c r="I64" s="30">
        <v>0</v>
      </c>
      <c r="J64" s="65">
        <v>2233.4644265887509</v>
      </c>
      <c r="K64" s="92">
        <v>744.56099342585833</v>
      </c>
      <c r="L64" s="93">
        <v>675.53652300949602</v>
      </c>
      <c r="M64" s="93">
        <f t="shared" si="1"/>
        <v>652.19287729196049</v>
      </c>
      <c r="N64" s="67">
        <v>42944000</v>
      </c>
      <c r="O64" s="67">
        <v>3057612.7999999998</v>
      </c>
      <c r="P64" s="85">
        <v>1019304</v>
      </c>
      <c r="Q64" s="83"/>
      <c r="R64" s="84">
        <v>924809.5</v>
      </c>
      <c r="T64" s="73"/>
      <c r="U64" s="74">
        <v>4.2500000000000003E-2</v>
      </c>
      <c r="V64" s="73"/>
      <c r="W64" s="76"/>
    </row>
    <row r="65" spans="1:24" s="23" customFormat="1" ht="12.75" hidden="1" customHeight="1" x14ac:dyDescent="0.3">
      <c r="A65" s="28">
        <v>2025</v>
      </c>
      <c r="B65" s="28" t="s">
        <v>13</v>
      </c>
      <c r="C65" s="28" t="s">
        <v>14</v>
      </c>
      <c r="D65" s="28" t="s">
        <v>15</v>
      </c>
      <c r="E65" s="28" t="s">
        <v>32</v>
      </c>
      <c r="F65" s="35" t="s">
        <v>50</v>
      </c>
      <c r="G65" s="36">
        <v>1573</v>
      </c>
      <c r="H65" s="65">
        <v>283937.81382228492</v>
      </c>
      <c r="I65" s="30">
        <v>0</v>
      </c>
      <c r="J65" s="65">
        <v>8366.4126296566828</v>
      </c>
      <c r="K65" s="92">
        <v>713.68093498904307</v>
      </c>
      <c r="L65" s="93">
        <v>1871.8688093498904</v>
      </c>
      <c r="M65" s="93">
        <f t="shared" si="1"/>
        <v>1807.1850493653033</v>
      </c>
      <c r="N65" s="67">
        <v>402623820</v>
      </c>
      <c r="O65" s="67">
        <v>11453618.889999999</v>
      </c>
      <c r="P65" s="85">
        <v>977029.2</v>
      </c>
      <c r="Q65" s="83"/>
      <c r="R65" s="84">
        <v>2562588.4</v>
      </c>
      <c r="T65" s="73"/>
      <c r="U65" s="74">
        <v>2.4E-2</v>
      </c>
      <c r="V65" s="73"/>
      <c r="W65" s="76"/>
    </row>
    <row r="66" spans="1:24" s="23" customFormat="1" ht="12.75" hidden="1" customHeight="1" x14ac:dyDescent="0.3">
      <c r="A66" s="28">
        <v>2025</v>
      </c>
      <c r="B66" s="28" t="s">
        <v>13</v>
      </c>
      <c r="C66" s="28" t="s">
        <v>14</v>
      </c>
      <c r="D66" s="28" t="s">
        <v>15</v>
      </c>
      <c r="E66" s="28" t="s">
        <v>32</v>
      </c>
      <c r="F66" s="35" t="s">
        <v>51</v>
      </c>
      <c r="G66" s="36">
        <v>873</v>
      </c>
      <c r="H66" s="65">
        <v>264090.21156558534</v>
      </c>
      <c r="I66" s="30">
        <v>0</v>
      </c>
      <c r="J66" s="65">
        <v>14142.196179693206</v>
      </c>
      <c r="K66" s="92">
        <v>879.04163623082547</v>
      </c>
      <c r="L66" s="93">
        <v>800.9284149013879</v>
      </c>
      <c r="M66" s="93">
        <f t="shared" si="1"/>
        <v>773.2517630465444</v>
      </c>
      <c r="N66" s="67">
        <v>374479920</v>
      </c>
      <c r="O66" s="67">
        <v>19360666.57</v>
      </c>
      <c r="P66" s="85">
        <v>1203408</v>
      </c>
      <c r="Q66" s="83"/>
      <c r="R66" s="84">
        <v>1096471</v>
      </c>
      <c r="T66" s="73"/>
      <c r="U66" s="74">
        <v>4.2500000000000003E-2</v>
      </c>
      <c r="V66" s="73"/>
      <c r="W66" s="76"/>
      <c r="X66" s="23" t="s">
        <v>1935</v>
      </c>
    </row>
    <row r="67" spans="1:24" s="23" customFormat="1" ht="12.75" hidden="1" customHeight="1" x14ac:dyDescent="0.3">
      <c r="A67" s="28">
        <v>2025</v>
      </c>
      <c r="B67" s="28" t="s">
        <v>13</v>
      </c>
      <c r="C67" s="28" t="s">
        <v>14</v>
      </c>
      <c r="D67" s="28" t="s">
        <v>30</v>
      </c>
      <c r="E67" s="28" t="s">
        <v>32</v>
      </c>
      <c r="F67" s="35" t="s">
        <v>68</v>
      </c>
      <c r="G67" s="36">
        <v>60</v>
      </c>
      <c r="H67" s="65">
        <v>30740.479548660085</v>
      </c>
      <c r="I67" s="30">
        <v>0</v>
      </c>
      <c r="J67" s="65">
        <v>1528.3564645726808</v>
      </c>
      <c r="K67" s="92">
        <v>0</v>
      </c>
      <c r="L67" s="93"/>
      <c r="M67" s="93">
        <f t="shared" si="1"/>
        <v>0</v>
      </c>
      <c r="N67" s="67">
        <v>43590000</v>
      </c>
      <c r="O67" s="67">
        <v>2092320</v>
      </c>
      <c r="P67" s="83"/>
      <c r="Q67" s="83"/>
      <c r="R67" s="83"/>
      <c r="T67" s="73"/>
      <c r="U67" s="74">
        <v>5.5E-2</v>
      </c>
      <c r="V67" s="73"/>
      <c r="W67" s="76"/>
    </row>
    <row r="68" spans="1:24" s="23" customFormat="1" ht="12.75" hidden="1" customHeight="1" x14ac:dyDescent="0.3">
      <c r="A68" s="28">
        <v>2025</v>
      </c>
      <c r="B68" s="28" t="s">
        <v>13</v>
      </c>
      <c r="C68" s="28" t="s">
        <v>14</v>
      </c>
      <c r="D68" s="28" t="s">
        <v>30</v>
      </c>
      <c r="E68" s="28" t="s">
        <v>32</v>
      </c>
      <c r="F68" s="35" t="s">
        <v>1934</v>
      </c>
      <c r="G68" s="36">
        <v>793</v>
      </c>
      <c r="H68" s="65">
        <v>91235.014104372356</v>
      </c>
      <c r="I68" s="30">
        <v>0</v>
      </c>
      <c r="J68" s="65">
        <v>4296.2627027027029</v>
      </c>
      <c r="K68" s="92">
        <v>0</v>
      </c>
      <c r="L68" s="93"/>
      <c r="M68" s="93">
        <f t="shared" si="1"/>
        <v>1037.1744922425951</v>
      </c>
      <c r="N68" s="67">
        <v>129371250</v>
      </c>
      <c r="O68" s="67">
        <v>5881583.6399999997</v>
      </c>
      <c r="P68" s="83"/>
      <c r="Q68" s="83"/>
      <c r="R68" s="84">
        <v>1470713.43</v>
      </c>
      <c r="T68" s="73"/>
      <c r="U68" s="74">
        <v>3.2000000000000001E-2</v>
      </c>
      <c r="V68" s="73"/>
      <c r="W68" s="76"/>
    </row>
    <row r="69" spans="1:24" s="23" customFormat="1" ht="12.75" hidden="1" customHeight="1" x14ac:dyDescent="0.3">
      <c r="A69" s="28">
        <v>2025</v>
      </c>
      <c r="B69" s="28" t="s">
        <v>13</v>
      </c>
      <c r="C69" s="28" t="s">
        <v>14</v>
      </c>
      <c r="D69" s="28" t="s">
        <v>30</v>
      </c>
      <c r="E69" s="28" t="s">
        <v>32</v>
      </c>
      <c r="F69" s="35" t="s">
        <v>266</v>
      </c>
      <c r="G69" s="36">
        <v>162</v>
      </c>
      <c r="H69" s="65">
        <v>62218.053596614947</v>
      </c>
      <c r="I69" s="30">
        <v>0</v>
      </c>
      <c r="J69" s="65">
        <v>2738.9123447772095</v>
      </c>
      <c r="K69" s="92">
        <v>0</v>
      </c>
      <c r="L69" s="93"/>
      <c r="M69" s="93">
        <f t="shared" si="1"/>
        <v>0</v>
      </c>
      <c r="N69" s="67">
        <v>88225200</v>
      </c>
      <c r="O69" s="67">
        <v>3749571</v>
      </c>
      <c r="P69" s="83"/>
      <c r="Q69" s="83"/>
      <c r="R69" s="83"/>
      <c r="T69" s="73"/>
      <c r="U69" s="74">
        <v>3.6999999999999998E-2</v>
      </c>
      <c r="V69" s="73"/>
      <c r="W69" s="76"/>
    </row>
    <row r="70" spans="1:24" s="23" customFormat="1" ht="12.75" hidden="1" customHeight="1" x14ac:dyDescent="0.3">
      <c r="A70" s="28">
        <v>2025</v>
      </c>
      <c r="B70" s="28" t="s">
        <v>13</v>
      </c>
      <c r="C70" s="28" t="s">
        <v>14</v>
      </c>
      <c r="D70" s="28" t="s">
        <v>15</v>
      </c>
      <c r="E70" s="28" t="s">
        <v>33</v>
      </c>
      <c r="F70" s="24" t="s">
        <v>55</v>
      </c>
      <c r="G70" s="16">
        <v>137</v>
      </c>
      <c r="H70" s="65">
        <v>52018.617771509169</v>
      </c>
      <c r="I70" s="30">
        <v>0</v>
      </c>
      <c r="J70" s="65">
        <v>1549.9780861943025</v>
      </c>
      <c r="K70" s="92">
        <v>0</v>
      </c>
      <c r="L70" s="93"/>
      <c r="M70" s="93">
        <f t="shared" si="1"/>
        <v>0</v>
      </c>
      <c r="N70" s="66">
        <v>73762400</v>
      </c>
      <c r="O70" s="66">
        <v>3228069</v>
      </c>
      <c r="P70" s="83"/>
      <c r="Q70" s="83"/>
      <c r="R70" s="83"/>
      <c r="T70" s="73"/>
      <c r="U70" s="74">
        <v>3.7999999999999999E-2</v>
      </c>
      <c r="V70" s="73"/>
      <c r="W70" s="76"/>
    </row>
    <row r="71" spans="1:24" s="23" customFormat="1" ht="12.75" hidden="1" customHeight="1" x14ac:dyDescent="0.3">
      <c r="A71" s="28">
        <v>2025</v>
      </c>
      <c r="B71" s="28" t="s">
        <v>13</v>
      </c>
      <c r="C71" s="28" t="s">
        <v>14</v>
      </c>
      <c r="D71" s="28" t="s">
        <v>15</v>
      </c>
      <c r="E71" s="28" t="s">
        <v>33</v>
      </c>
      <c r="F71" s="24" t="s">
        <v>56</v>
      </c>
      <c r="G71" s="16">
        <v>1026</v>
      </c>
      <c r="H71" s="65">
        <v>257349.92947813822</v>
      </c>
      <c r="I71" s="30">
        <v>0</v>
      </c>
      <c r="J71" s="65">
        <v>12469.395091307522</v>
      </c>
      <c r="K71" s="92">
        <v>821.76771365960553</v>
      </c>
      <c r="L71" s="93">
        <v>647.58345507669833</v>
      </c>
      <c r="M71" s="93">
        <f t="shared" ref="M71:M134" si="2">R71/$P$3</f>
        <v>625.2057475317348</v>
      </c>
      <c r="N71" s="66">
        <v>364922200</v>
      </c>
      <c r="O71" s="66">
        <v>15070601.880000001</v>
      </c>
      <c r="P71" s="85">
        <v>1125000</v>
      </c>
      <c r="Q71" s="83"/>
      <c r="R71" s="84">
        <v>886541.75</v>
      </c>
      <c r="T71" s="73"/>
      <c r="U71" s="74">
        <v>3.7999999999999999E-2</v>
      </c>
      <c r="V71" s="73"/>
      <c r="W71" s="76"/>
    </row>
    <row r="72" spans="1:24" s="23" customFormat="1" ht="12.75" hidden="1" customHeight="1" x14ac:dyDescent="0.3">
      <c r="A72" s="28">
        <v>2025</v>
      </c>
      <c r="B72" s="28" t="s">
        <v>13</v>
      </c>
      <c r="C72" s="28" t="s">
        <v>14</v>
      </c>
      <c r="D72" s="28" t="s">
        <v>15</v>
      </c>
      <c r="E72" s="28" t="s">
        <v>33</v>
      </c>
      <c r="F72" s="24" t="s">
        <v>57</v>
      </c>
      <c r="G72" s="16">
        <v>443</v>
      </c>
      <c r="H72" s="65">
        <v>175977.71509167843</v>
      </c>
      <c r="I72" s="30">
        <v>0</v>
      </c>
      <c r="J72" s="65">
        <v>5920.9015924032146</v>
      </c>
      <c r="K72" s="92">
        <v>0</v>
      </c>
      <c r="L72" s="93"/>
      <c r="M72" s="93">
        <f t="shared" si="2"/>
        <v>0</v>
      </c>
      <c r="N72" s="66">
        <v>249536400</v>
      </c>
      <c r="O72" s="66">
        <v>8105714.2800000003</v>
      </c>
      <c r="P72" s="83"/>
      <c r="Q72" s="83"/>
      <c r="R72" s="83"/>
      <c r="T72" s="73"/>
      <c r="U72" s="74">
        <v>3.5000000000000003E-2</v>
      </c>
      <c r="V72" s="73"/>
      <c r="W72" s="76"/>
    </row>
    <row r="73" spans="1:24" s="23" customFormat="1" ht="12.75" hidden="1" customHeight="1" x14ac:dyDescent="0.3">
      <c r="A73" s="28">
        <v>2025</v>
      </c>
      <c r="B73" s="28" t="s">
        <v>13</v>
      </c>
      <c r="C73" s="28" t="s">
        <v>14</v>
      </c>
      <c r="D73" s="28" t="s">
        <v>15</v>
      </c>
      <c r="E73" s="28" t="s">
        <v>33</v>
      </c>
      <c r="F73" s="24" t="s">
        <v>58</v>
      </c>
      <c r="G73" s="16">
        <v>985</v>
      </c>
      <c r="H73" s="65">
        <v>319551.26939351199</v>
      </c>
      <c r="I73" s="30">
        <v>0</v>
      </c>
      <c r="J73" s="65">
        <v>11014.728867786705</v>
      </c>
      <c r="K73" s="92">
        <v>3496.1614317019721</v>
      </c>
      <c r="L73" s="93">
        <v>1308.3255661066471</v>
      </c>
      <c r="M73" s="93">
        <f t="shared" si="2"/>
        <v>1263.1154442877291</v>
      </c>
      <c r="N73" s="66">
        <v>453123700</v>
      </c>
      <c r="O73" s="66">
        <v>15079163.82</v>
      </c>
      <c r="P73" s="85">
        <v>4786245</v>
      </c>
      <c r="Q73" s="83"/>
      <c r="R73" s="84">
        <v>1791097.7</v>
      </c>
      <c r="T73" s="73"/>
      <c r="U73" s="74">
        <v>3.5000000000000003E-2</v>
      </c>
      <c r="V73" s="73"/>
      <c r="W73" s="76"/>
    </row>
    <row r="74" spans="1:24" s="23" customFormat="1" ht="12.75" hidden="1" customHeight="1" x14ac:dyDescent="0.3">
      <c r="A74" s="28">
        <v>2025</v>
      </c>
      <c r="B74" s="28" t="s">
        <v>13</v>
      </c>
      <c r="C74" s="28" t="s">
        <v>14</v>
      </c>
      <c r="D74" s="28" t="s">
        <v>15</v>
      </c>
      <c r="E74" s="28" t="s">
        <v>33</v>
      </c>
      <c r="F74" s="24" t="s">
        <v>412</v>
      </c>
      <c r="G74" s="16">
        <v>295</v>
      </c>
      <c r="H74" s="65">
        <v>65297.07334273625</v>
      </c>
      <c r="I74" s="30">
        <v>0</v>
      </c>
      <c r="J74" s="65">
        <v>2773.2359386413441</v>
      </c>
      <c r="K74" s="92">
        <v>0</v>
      </c>
      <c r="L74" s="93"/>
      <c r="M74" s="93">
        <f t="shared" si="2"/>
        <v>0</v>
      </c>
      <c r="N74" s="66">
        <v>92591250</v>
      </c>
      <c r="O74" s="66">
        <v>3796560</v>
      </c>
      <c r="P74" s="83"/>
      <c r="Q74" s="83"/>
      <c r="R74" s="83"/>
      <c r="T74" s="73"/>
      <c r="U74" s="74">
        <v>0.04</v>
      </c>
      <c r="V74" s="73"/>
      <c r="W74" s="76"/>
    </row>
    <row r="75" spans="1:24" s="23" customFormat="1" ht="12.75" hidden="1" customHeight="1" x14ac:dyDescent="0.3">
      <c r="A75" s="28">
        <v>2025</v>
      </c>
      <c r="B75" s="28" t="s">
        <v>13</v>
      </c>
      <c r="C75" s="28" t="s">
        <v>14</v>
      </c>
      <c r="D75" s="28" t="s">
        <v>30</v>
      </c>
      <c r="E75" s="28" t="s">
        <v>33</v>
      </c>
      <c r="F75" s="24" t="s">
        <v>56</v>
      </c>
      <c r="G75" s="16">
        <v>320</v>
      </c>
      <c r="H75" s="65">
        <v>115204.51339915374</v>
      </c>
      <c r="I75" s="30">
        <v>0</v>
      </c>
      <c r="J75" s="65">
        <v>5243.1214536157777</v>
      </c>
      <c r="K75" s="92">
        <v>0</v>
      </c>
      <c r="L75" s="93"/>
      <c r="M75" s="93">
        <f t="shared" si="2"/>
        <v>0</v>
      </c>
      <c r="N75" s="66">
        <v>163360000</v>
      </c>
      <c r="O75" s="66">
        <v>7177833.2699999996</v>
      </c>
      <c r="P75" s="83"/>
      <c r="Q75" s="83"/>
      <c r="R75" s="83"/>
      <c r="T75" s="73"/>
      <c r="U75" s="74">
        <v>3.7999999999999999E-2</v>
      </c>
      <c r="V75" s="73"/>
      <c r="W75" s="76"/>
    </row>
    <row r="76" spans="1:24" s="23" customFormat="1" ht="12.75" hidden="1" customHeight="1" x14ac:dyDescent="0.3">
      <c r="A76" s="28">
        <v>2025</v>
      </c>
      <c r="B76" s="28" t="s">
        <v>13</v>
      </c>
      <c r="C76" s="28" t="s">
        <v>14</v>
      </c>
      <c r="D76" s="28" t="s">
        <v>30</v>
      </c>
      <c r="E76" s="28" t="s">
        <v>33</v>
      </c>
      <c r="F76" s="24" t="s">
        <v>400</v>
      </c>
      <c r="G76" s="16">
        <v>968</v>
      </c>
      <c r="H76" s="65">
        <v>314473.13117066288</v>
      </c>
      <c r="I76" s="30">
        <v>0</v>
      </c>
      <c r="J76" s="65">
        <v>8151.5193279766263</v>
      </c>
      <c r="K76" s="92">
        <v>9760.6829802775756</v>
      </c>
      <c r="L76" s="93">
        <v>896.40010956902847</v>
      </c>
      <c r="M76" s="93">
        <f t="shared" si="2"/>
        <v>865.42436530324403</v>
      </c>
      <c r="N76" s="66">
        <v>445922900</v>
      </c>
      <c r="O76" s="66">
        <v>11159429.960000001</v>
      </c>
      <c r="P76" s="85">
        <v>13362375</v>
      </c>
      <c r="Q76" s="83"/>
      <c r="R76" s="84">
        <v>1227171.75</v>
      </c>
      <c r="T76" s="73"/>
      <c r="U76" s="74">
        <v>3.7999999999999999E-2</v>
      </c>
      <c r="V76" s="73"/>
      <c r="W76" s="76"/>
      <c r="X76" s="23" t="s">
        <v>1935</v>
      </c>
    </row>
    <row r="77" spans="1:24" s="23" customFormat="1" ht="12.75" hidden="1" customHeight="1" x14ac:dyDescent="0.3">
      <c r="A77" s="28">
        <v>2025</v>
      </c>
      <c r="B77" s="28" t="s">
        <v>13</v>
      </c>
      <c r="C77" s="28" t="s">
        <v>14</v>
      </c>
      <c r="D77" s="28" t="s">
        <v>30</v>
      </c>
      <c r="E77" s="28" t="s">
        <v>33</v>
      </c>
      <c r="F77" s="24" t="s">
        <v>412</v>
      </c>
      <c r="G77" s="16">
        <v>20</v>
      </c>
      <c r="H77" s="65">
        <v>4231.3117066290552</v>
      </c>
      <c r="I77" s="30">
        <v>0</v>
      </c>
      <c r="J77" s="65">
        <v>189.59824689554418</v>
      </c>
      <c r="K77" s="92">
        <v>0</v>
      </c>
      <c r="L77" s="93"/>
      <c r="M77" s="93">
        <f t="shared" si="2"/>
        <v>625.2057475317348</v>
      </c>
      <c r="N77" s="66">
        <v>6000000</v>
      </c>
      <c r="O77" s="66">
        <v>259560</v>
      </c>
      <c r="P77" s="83"/>
      <c r="Q77" s="83"/>
      <c r="R77" s="84">
        <v>886541.75</v>
      </c>
      <c r="T77" s="73"/>
      <c r="U77" s="74">
        <v>0.04</v>
      </c>
      <c r="V77" s="73"/>
      <c r="W77" s="76"/>
    </row>
    <row r="78" spans="1:24" s="23" customFormat="1" ht="12.75" hidden="1" customHeight="1" x14ac:dyDescent="0.3">
      <c r="A78" s="28">
        <v>2025</v>
      </c>
      <c r="B78" s="28" t="s">
        <v>13</v>
      </c>
      <c r="C78" s="28" t="s">
        <v>1903</v>
      </c>
      <c r="D78" s="28" t="s">
        <v>15</v>
      </c>
      <c r="E78" s="28" t="s">
        <v>33</v>
      </c>
      <c r="F78" s="35" t="s">
        <v>400</v>
      </c>
      <c r="G78" s="36">
        <v>620</v>
      </c>
      <c r="H78" s="65">
        <v>185803.24400564175</v>
      </c>
      <c r="I78" s="30">
        <v>111481.94640338505</v>
      </c>
      <c r="J78" s="65">
        <v>9141.5467494521545</v>
      </c>
      <c r="K78" s="92">
        <v>40001.688173849521</v>
      </c>
      <c r="L78" s="93">
        <v>889.62874360847331</v>
      </c>
      <c r="M78" s="93">
        <f t="shared" si="2"/>
        <v>858.88698871650206</v>
      </c>
      <c r="N78" s="67">
        <v>263469000</v>
      </c>
      <c r="O78" s="67">
        <v>14514777.5</v>
      </c>
      <c r="P78" s="85">
        <v>54762311.109999999</v>
      </c>
      <c r="Q78" s="83"/>
      <c r="R78" s="84">
        <v>1217901.75</v>
      </c>
      <c r="T78" s="73"/>
      <c r="U78" s="74">
        <v>5.1999999999999998E-2</v>
      </c>
      <c r="V78" s="73"/>
      <c r="W78" s="76"/>
    </row>
    <row r="79" spans="1:24" s="23" customFormat="1" ht="12.75" hidden="1" customHeight="1" x14ac:dyDescent="0.3">
      <c r="A79" s="28">
        <v>2025</v>
      </c>
      <c r="B79" s="28" t="s">
        <v>13</v>
      </c>
      <c r="C79" s="28" t="s">
        <v>14</v>
      </c>
      <c r="D79" s="28" t="s">
        <v>15</v>
      </c>
      <c r="E79" s="28" t="s">
        <v>34</v>
      </c>
      <c r="F79" s="35" t="s">
        <v>71</v>
      </c>
      <c r="G79" s="36">
        <v>270</v>
      </c>
      <c r="H79" s="65">
        <v>62084.767277856132</v>
      </c>
      <c r="I79" s="30">
        <v>0</v>
      </c>
      <c r="J79" s="65">
        <v>1588.3814024835644</v>
      </c>
      <c r="K79" s="92">
        <v>0</v>
      </c>
      <c r="L79" s="93"/>
      <c r="M79" s="93">
        <f t="shared" si="2"/>
        <v>0</v>
      </c>
      <c r="N79" s="67">
        <v>88036200</v>
      </c>
      <c r="O79" s="67">
        <v>2174494.1399999997</v>
      </c>
      <c r="P79" s="83"/>
      <c r="Q79" s="83"/>
      <c r="R79" s="83"/>
      <c r="T79" s="73"/>
      <c r="U79" s="74">
        <v>2.8500000000000001E-2</v>
      </c>
      <c r="V79" s="73"/>
      <c r="W79" s="76"/>
    </row>
    <row r="80" spans="1:24" s="23" customFormat="1" ht="12.75" hidden="1" customHeight="1" x14ac:dyDescent="0.3">
      <c r="A80" s="28">
        <v>2025</v>
      </c>
      <c r="B80" s="28" t="s">
        <v>13</v>
      </c>
      <c r="C80" s="28" t="s">
        <v>14</v>
      </c>
      <c r="D80" s="28" t="s">
        <v>15</v>
      </c>
      <c r="E80" s="28" t="s">
        <v>34</v>
      </c>
      <c r="F80" s="35" t="s">
        <v>61</v>
      </c>
      <c r="G80" s="36">
        <v>699</v>
      </c>
      <c r="H80" s="65">
        <v>250839.95063469675</v>
      </c>
      <c r="I80" s="30">
        <v>0</v>
      </c>
      <c r="J80" s="65">
        <v>7654.2093498904305</v>
      </c>
      <c r="K80" s="92">
        <v>0</v>
      </c>
      <c r="L80" s="93"/>
      <c r="M80" s="93">
        <f t="shared" si="2"/>
        <v>996.9574047954867</v>
      </c>
      <c r="N80" s="67">
        <v>355691050</v>
      </c>
      <c r="O80" s="67">
        <v>10478612.6</v>
      </c>
      <c r="P80" s="83"/>
      <c r="Q80" s="83"/>
      <c r="R80" s="84">
        <v>1413685.6</v>
      </c>
      <c r="T80" s="73"/>
      <c r="U80" s="74">
        <v>3.2000000000000001E-2</v>
      </c>
      <c r="V80" s="73"/>
      <c r="W80" s="76"/>
    </row>
    <row r="81" spans="1:23" s="23" customFormat="1" ht="12.75" hidden="1" customHeight="1" x14ac:dyDescent="0.3">
      <c r="A81" s="28">
        <v>2025</v>
      </c>
      <c r="B81" s="28" t="s">
        <v>13</v>
      </c>
      <c r="C81" s="28" t="s">
        <v>14</v>
      </c>
      <c r="D81" s="28" t="s">
        <v>15</v>
      </c>
      <c r="E81" s="28" t="s">
        <v>34</v>
      </c>
      <c r="F81" s="35" t="s">
        <v>62</v>
      </c>
      <c r="G81" s="36">
        <v>414</v>
      </c>
      <c r="H81" s="65">
        <v>224948.58956276445</v>
      </c>
      <c r="I81" s="30">
        <v>0</v>
      </c>
      <c r="J81" s="65">
        <v>6021.4352081811548</v>
      </c>
      <c r="K81" s="92">
        <v>0</v>
      </c>
      <c r="L81" s="93"/>
      <c r="M81" s="93">
        <f t="shared" si="2"/>
        <v>0</v>
      </c>
      <c r="N81" s="67">
        <v>318977100</v>
      </c>
      <c r="O81" s="67">
        <v>8243344.8000000007</v>
      </c>
      <c r="P81" s="83"/>
      <c r="Q81" s="83"/>
      <c r="R81" s="83"/>
      <c r="T81" s="73"/>
      <c r="U81" s="73">
        <v>2.8500000000000001E-2</v>
      </c>
      <c r="V81" s="73"/>
      <c r="W81" s="76"/>
    </row>
    <row r="82" spans="1:23" s="23" customFormat="1" ht="12.75" hidden="1" customHeight="1" x14ac:dyDescent="0.3">
      <c r="A82" s="28">
        <v>2025</v>
      </c>
      <c r="B82" s="28" t="s">
        <v>13</v>
      </c>
      <c r="C82" s="28" t="s">
        <v>14</v>
      </c>
      <c r="D82" s="28" t="s">
        <v>15</v>
      </c>
      <c r="E82" s="28" t="s">
        <v>34</v>
      </c>
      <c r="F82" s="35" t="s">
        <v>297</v>
      </c>
      <c r="G82" s="36">
        <v>620</v>
      </c>
      <c r="H82" s="65">
        <v>252391.25528913963</v>
      </c>
      <c r="I82" s="30">
        <v>0</v>
      </c>
      <c r="J82" s="65">
        <v>7853.0547260774301</v>
      </c>
      <c r="K82" s="92">
        <v>0</v>
      </c>
      <c r="L82" s="93"/>
      <c r="M82" s="93">
        <f t="shared" si="2"/>
        <v>0</v>
      </c>
      <c r="N82" s="67">
        <v>357890800</v>
      </c>
      <c r="O82" s="67">
        <v>10750831.920000002</v>
      </c>
      <c r="P82" s="83"/>
      <c r="Q82" s="83"/>
      <c r="R82" s="83"/>
      <c r="T82" s="73"/>
      <c r="U82" s="73">
        <v>0.03</v>
      </c>
      <c r="V82" s="73"/>
      <c r="W82" s="76"/>
    </row>
    <row r="83" spans="1:23" s="23" customFormat="1" ht="12.75" hidden="1" customHeight="1" x14ac:dyDescent="0.3">
      <c r="A83" s="28">
        <v>2025</v>
      </c>
      <c r="B83" s="28" t="s">
        <v>13</v>
      </c>
      <c r="C83" s="28" t="s">
        <v>14</v>
      </c>
      <c r="D83" s="28" t="s">
        <v>15</v>
      </c>
      <c r="E83" s="28" t="s">
        <v>34</v>
      </c>
      <c r="F83" s="35" t="s">
        <v>63</v>
      </c>
      <c r="G83" s="36">
        <v>2015</v>
      </c>
      <c r="H83" s="65">
        <v>612100.15514809592</v>
      </c>
      <c r="I83" s="30">
        <v>0</v>
      </c>
      <c r="J83" s="65">
        <v>15705.114872169464</v>
      </c>
      <c r="K83" s="92">
        <v>0</v>
      </c>
      <c r="L83" s="93"/>
      <c r="M83" s="93">
        <f t="shared" si="2"/>
        <v>0</v>
      </c>
      <c r="N83" s="67">
        <v>867958020</v>
      </c>
      <c r="O83" s="67">
        <v>21500302.259999998</v>
      </c>
      <c r="P83" s="83"/>
      <c r="Q83" s="83"/>
      <c r="R83" s="83"/>
      <c r="T83" s="73"/>
      <c r="U83" s="73">
        <v>2.8500000000000001E-2</v>
      </c>
      <c r="V83" s="73"/>
      <c r="W83" s="76"/>
    </row>
    <row r="84" spans="1:23" s="23" customFormat="1" ht="12.75" hidden="1" customHeight="1" x14ac:dyDescent="0.3">
      <c r="A84" s="28">
        <v>2025</v>
      </c>
      <c r="B84" s="28" t="s">
        <v>13</v>
      </c>
      <c r="C84" s="28" t="s">
        <v>14</v>
      </c>
      <c r="D84" s="28" t="s">
        <v>30</v>
      </c>
      <c r="E84" s="28" t="s">
        <v>34</v>
      </c>
      <c r="F84" s="35" t="s">
        <v>297</v>
      </c>
      <c r="G84" s="36">
        <v>544.5</v>
      </c>
      <c r="H84" s="65">
        <v>250752.76798307477</v>
      </c>
      <c r="I84" s="30">
        <v>0</v>
      </c>
      <c r="J84" s="65">
        <v>8246.3109349890437</v>
      </c>
      <c r="K84" s="92">
        <v>605.28582907231555</v>
      </c>
      <c r="L84" s="93">
        <v>1008.4222790357926</v>
      </c>
      <c r="M84" s="93">
        <f t="shared" si="2"/>
        <v>973.57552891396335</v>
      </c>
      <c r="N84" s="67">
        <v>355567425</v>
      </c>
      <c r="O84" s="67">
        <v>11289199.67</v>
      </c>
      <c r="P84" s="85">
        <v>828636.3</v>
      </c>
      <c r="Q84" s="83"/>
      <c r="R84" s="84">
        <v>1380530.1</v>
      </c>
      <c r="T84" s="73"/>
      <c r="U84" s="73">
        <v>3.15E-2</v>
      </c>
      <c r="V84" s="73"/>
      <c r="W84" s="76"/>
    </row>
    <row r="85" spans="1:23" s="23" customFormat="1" ht="12.75" hidden="1" customHeight="1" x14ac:dyDescent="0.3">
      <c r="A85" s="28">
        <v>2025</v>
      </c>
      <c r="B85" s="28" t="s">
        <v>13</v>
      </c>
      <c r="C85" s="28" t="s">
        <v>14</v>
      </c>
      <c r="D85" s="28" t="s">
        <v>30</v>
      </c>
      <c r="E85" s="28" t="s">
        <v>34</v>
      </c>
      <c r="F85" s="35" t="s">
        <v>263</v>
      </c>
      <c r="G85" s="36">
        <v>46</v>
      </c>
      <c r="H85" s="65">
        <v>17673.342736248236</v>
      </c>
      <c r="I85" s="30">
        <v>0</v>
      </c>
      <c r="J85" s="65">
        <v>512.5656683710738</v>
      </c>
      <c r="K85" s="92">
        <v>0</v>
      </c>
      <c r="L85" s="93"/>
      <c r="M85" s="93">
        <f t="shared" si="2"/>
        <v>0</v>
      </c>
      <c r="N85" s="67">
        <v>25060800</v>
      </c>
      <c r="O85" s="67">
        <v>701702.4</v>
      </c>
      <c r="P85" s="83"/>
      <c r="Q85" s="83"/>
      <c r="R85" s="83"/>
      <c r="T85" s="73"/>
      <c r="U85" s="73">
        <v>3.15E-2</v>
      </c>
      <c r="V85" s="73"/>
      <c r="W85" s="76"/>
    </row>
    <row r="86" spans="1:23" s="23" customFormat="1" ht="12.75" hidden="1" customHeight="1" x14ac:dyDescent="0.3">
      <c r="A86" s="28">
        <v>2025</v>
      </c>
      <c r="B86" s="28" t="s">
        <v>13</v>
      </c>
      <c r="C86" s="28" t="s">
        <v>1903</v>
      </c>
      <c r="D86" s="28" t="s">
        <v>15</v>
      </c>
      <c r="E86" s="28" t="s">
        <v>34</v>
      </c>
      <c r="F86" s="35" t="s">
        <v>59</v>
      </c>
      <c r="G86" s="36">
        <v>236</v>
      </c>
      <c r="H86" s="65">
        <v>130777.99717912552</v>
      </c>
      <c r="I86" s="30">
        <v>78466.798307475314</v>
      </c>
      <c r="J86" s="65">
        <v>6111.395544192841</v>
      </c>
      <c r="K86" s="92">
        <v>0</v>
      </c>
      <c r="L86" s="93"/>
      <c r="M86" s="93">
        <f t="shared" si="2"/>
        <v>0</v>
      </c>
      <c r="N86" s="67">
        <v>185443200</v>
      </c>
      <c r="O86" s="67">
        <v>8366500.5</v>
      </c>
      <c r="P86" s="83"/>
      <c r="Q86" s="83"/>
      <c r="R86" s="83"/>
      <c r="T86" s="73"/>
      <c r="U86" s="73">
        <v>4.4999999999999998E-2</v>
      </c>
      <c r="V86" s="73"/>
      <c r="W86" s="76"/>
    </row>
    <row r="87" spans="1:23" s="23" customFormat="1" ht="12.75" hidden="1" customHeight="1" x14ac:dyDescent="0.3">
      <c r="A87" s="28">
        <v>2025</v>
      </c>
      <c r="B87" s="28" t="s">
        <v>13</v>
      </c>
      <c r="C87" s="28" t="s">
        <v>1903</v>
      </c>
      <c r="D87" s="28" t="s">
        <v>15</v>
      </c>
      <c r="E87" s="28" t="s">
        <v>34</v>
      </c>
      <c r="F87" s="35" t="s">
        <v>62</v>
      </c>
      <c r="G87" s="36">
        <v>36</v>
      </c>
      <c r="H87" s="65">
        <v>12521.2976022567</v>
      </c>
      <c r="I87" s="30">
        <v>7512.77856135402</v>
      </c>
      <c r="J87" s="65">
        <v>552.94214024835651</v>
      </c>
      <c r="K87" s="92">
        <v>0</v>
      </c>
      <c r="L87" s="93"/>
      <c r="M87" s="93">
        <f t="shared" si="2"/>
        <v>0</v>
      </c>
      <c r="N87" s="67">
        <v>17755200</v>
      </c>
      <c r="O87" s="67">
        <v>756977.79</v>
      </c>
      <c r="P87" s="83"/>
      <c r="Q87" s="83"/>
      <c r="R87" s="83"/>
      <c r="T87" s="73"/>
      <c r="U87" s="73">
        <v>4.3499999999999997E-2</v>
      </c>
      <c r="V87" s="73"/>
      <c r="W87" s="76"/>
    </row>
    <row r="88" spans="1:23" s="23" customFormat="1" ht="12.75" customHeight="1" x14ac:dyDescent="0.3">
      <c r="A88" s="28">
        <v>2025</v>
      </c>
      <c r="B88" s="28" t="s">
        <v>35</v>
      </c>
      <c r="C88" s="28" t="s">
        <v>14</v>
      </c>
      <c r="D88" s="28" t="s">
        <v>36</v>
      </c>
      <c r="E88" s="28" t="s">
        <v>16</v>
      </c>
      <c r="F88" s="35" t="s">
        <v>18</v>
      </c>
      <c r="G88" s="36">
        <v>87</v>
      </c>
      <c r="H88" s="65">
        <v>82970.574753173481</v>
      </c>
      <c r="I88" s="30">
        <v>0</v>
      </c>
      <c r="J88" s="65">
        <v>3652.4628853177505</v>
      </c>
      <c r="K88" s="92">
        <v>0</v>
      </c>
      <c r="L88" s="93"/>
      <c r="M88" s="93">
        <f t="shared" si="2"/>
        <v>0</v>
      </c>
      <c r="N88" s="67">
        <v>117652275</v>
      </c>
      <c r="O88" s="67">
        <v>5000221.6900000004</v>
      </c>
      <c r="P88" s="83"/>
      <c r="Q88" s="83"/>
      <c r="R88" s="83"/>
      <c r="U88" s="73">
        <v>2.5999999999999999E-2</v>
      </c>
      <c r="V88" s="73"/>
      <c r="W88" s="76"/>
    </row>
    <row r="89" spans="1:23" s="23" customFormat="1" ht="12.75" customHeight="1" x14ac:dyDescent="0.3">
      <c r="A89" s="28">
        <v>2025</v>
      </c>
      <c r="B89" s="28" t="s">
        <v>35</v>
      </c>
      <c r="C89" s="28" t="s">
        <v>14</v>
      </c>
      <c r="D89" s="28" t="s">
        <v>36</v>
      </c>
      <c r="E89" s="28" t="s">
        <v>16</v>
      </c>
      <c r="F89" s="35" t="s">
        <v>19</v>
      </c>
      <c r="G89" s="36">
        <v>823</v>
      </c>
      <c r="H89" s="65">
        <v>266376.58674189</v>
      </c>
      <c r="I89" s="30">
        <v>0</v>
      </c>
      <c r="J89" s="65">
        <v>9039.6192184075971</v>
      </c>
      <c r="K89" s="92">
        <v>0</v>
      </c>
      <c r="L89" s="93"/>
      <c r="M89" s="93">
        <f t="shared" si="2"/>
        <v>0</v>
      </c>
      <c r="N89" s="67">
        <v>377722000</v>
      </c>
      <c r="O89" s="67">
        <v>12375238.710000001</v>
      </c>
      <c r="P89" s="83"/>
      <c r="Q89" s="83"/>
      <c r="R89" s="83"/>
      <c r="U89" s="73">
        <v>2.8000000000000001E-2</v>
      </c>
      <c r="V89" s="73"/>
      <c r="W89" s="76"/>
    </row>
    <row r="90" spans="1:23" s="23" customFormat="1" ht="12.75" customHeight="1" x14ac:dyDescent="0.3">
      <c r="A90" s="28">
        <v>2025</v>
      </c>
      <c r="B90" s="28" t="s">
        <v>35</v>
      </c>
      <c r="C90" s="28" t="s">
        <v>14</v>
      </c>
      <c r="D90" s="28" t="s">
        <v>36</v>
      </c>
      <c r="E90" s="28" t="s">
        <v>16</v>
      </c>
      <c r="F90" s="35" t="s">
        <v>623</v>
      </c>
      <c r="G90" s="36">
        <v>102.7</v>
      </c>
      <c r="H90" s="65">
        <v>82449.703808180537</v>
      </c>
      <c r="I90" s="30">
        <v>0</v>
      </c>
      <c r="J90" s="65">
        <v>1858.1531921110302</v>
      </c>
      <c r="K90" s="92">
        <v>0</v>
      </c>
      <c r="L90" s="93"/>
      <c r="M90" s="93">
        <f t="shared" si="2"/>
        <v>0</v>
      </c>
      <c r="N90" s="67">
        <v>116913680</v>
      </c>
      <c r="O90" s="67">
        <v>2543811.7200000002</v>
      </c>
      <c r="P90" s="83"/>
      <c r="Q90" s="83"/>
      <c r="R90" s="83"/>
      <c r="U90" s="74">
        <v>2.5999999999999999E-2</v>
      </c>
      <c r="V90" s="73"/>
      <c r="W90" s="76"/>
    </row>
    <row r="91" spans="1:23" s="23" customFormat="1" ht="12.75" customHeight="1" x14ac:dyDescent="0.3">
      <c r="A91" s="28">
        <v>2025</v>
      </c>
      <c r="B91" s="28" t="s">
        <v>35</v>
      </c>
      <c r="C91" s="28" t="s">
        <v>14</v>
      </c>
      <c r="D91" s="28" t="s">
        <v>36</v>
      </c>
      <c r="E91" s="28" t="s">
        <v>16</v>
      </c>
      <c r="F91" s="35" t="s">
        <v>66</v>
      </c>
      <c r="G91" s="36">
        <v>430</v>
      </c>
      <c r="H91" s="65">
        <v>121297.60225669958</v>
      </c>
      <c r="I91" s="30">
        <v>0</v>
      </c>
      <c r="J91" s="65">
        <v>3986.0378086194301</v>
      </c>
      <c r="K91" s="92">
        <v>0</v>
      </c>
      <c r="L91" s="93"/>
      <c r="M91" s="93">
        <f t="shared" si="2"/>
        <v>0</v>
      </c>
      <c r="N91" s="67">
        <v>172000000</v>
      </c>
      <c r="O91" s="67">
        <v>5456885.7599999998</v>
      </c>
      <c r="P91" s="83"/>
      <c r="Q91" s="83"/>
      <c r="R91" s="83"/>
      <c r="U91" s="74">
        <v>2.8000000000000001E-2</v>
      </c>
      <c r="V91" s="73"/>
      <c r="W91" s="76"/>
    </row>
    <row r="92" spans="1:23" s="23" customFormat="1" ht="12.75" customHeight="1" x14ac:dyDescent="0.3">
      <c r="A92" s="28">
        <v>2025</v>
      </c>
      <c r="B92" s="28" t="s">
        <v>35</v>
      </c>
      <c r="C92" s="28" t="s">
        <v>14</v>
      </c>
      <c r="D92" s="28" t="s">
        <v>36</v>
      </c>
      <c r="E92" s="28" t="s">
        <v>16</v>
      </c>
      <c r="F92" s="35" t="s">
        <v>23</v>
      </c>
      <c r="G92" s="36">
        <v>832.75</v>
      </c>
      <c r="H92" s="65">
        <v>319423.12288434413</v>
      </c>
      <c r="I92" s="30">
        <v>0</v>
      </c>
      <c r="J92" s="65">
        <v>10237.799999999999</v>
      </c>
      <c r="K92" s="92">
        <v>0</v>
      </c>
      <c r="L92" s="93"/>
      <c r="M92" s="93">
        <f t="shared" si="2"/>
        <v>0</v>
      </c>
      <c r="N92" s="67">
        <f>+H92*P3</f>
        <v>452941988.25</v>
      </c>
      <c r="O92" s="67">
        <f>+J92*P3</f>
        <v>14517200.399999999</v>
      </c>
      <c r="P92" s="83"/>
      <c r="Q92" s="83"/>
      <c r="R92" s="83"/>
      <c r="U92" s="74">
        <v>0.03</v>
      </c>
      <c r="V92" s="73"/>
      <c r="W92" s="76"/>
    </row>
    <row r="93" spans="1:23" s="23" customFormat="1" ht="12.75" customHeight="1" x14ac:dyDescent="0.3">
      <c r="A93" s="28">
        <v>2025</v>
      </c>
      <c r="B93" s="28" t="s">
        <v>35</v>
      </c>
      <c r="C93" s="28" t="s">
        <v>14</v>
      </c>
      <c r="D93" s="28" t="s">
        <v>36</v>
      </c>
      <c r="E93" s="28" t="s">
        <v>16</v>
      </c>
      <c r="F93" s="35" t="s">
        <v>72</v>
      </c>
      <c r="G93" s="36">
        <v>400</v>
      </c>
      <c r="H93" s="65">
        <v>279456.98166431591</v>
      </c>
      <c r="I93" s="30">
        <v>0</v>
      </c>
      <c r="J93" s="65">
        <v>7757.5135135135133</v>
      </c>
      <c r="K93" s="92">
        <v>0</v>
      </c>
      <c r="L93" s="93"/>
      <c r="M93" s="93">
        <f t="shared" si="2"/>
        <v>0</v>
      </c>
      <c r="N93" s="67">
        <v>396270000</v>
      </c>
      <c r="O93" s="67">
        <v>10620036</v>
      </c>
      <c r="P93" s="83"/>
      <c r="Q93" s="83"/>
      <c r="R93" s="83"/>
      <c r="U93" s="74">
        <v>2.5999999999999999E-2</v>
      </c>
      <c r="V93" s="73"/>
      <c r="W93" s="76"/>
    </row>
    <row r="94" spans="1:23" s="23" customFormat="1" ht="12.75" customHeight="1" x14ac:dyDescent="0.3">
      <c r="A94" s="28">
        <v>2025</v>
      </c>
      <c r="B94" s="28" t="s">
        <v>35</v>
      </c>
      <c r="C94" s="28" t="s">
        <v>14</v>
      </c>
      <c r="D94" s="28" t="s">
        <v>36</v>
      </c>
      <c r="E94" s="28" t="s">
        <v>16</v>
      </c>
      <c r="F94" s="35" t="s">
        <v>45</v>
      </c>
      <c r="G94" s="36">
        <v>839.75</v>
      </c>
      <c r="H94" s="65">
        <v>327802.12288434413</v>
      </c>
      <c r="I94" s="30">
        <v>0</v>
      </c>
      <c r="J94" s="65">
        <v>10199.799999999999</v>
      </c>
      <c r="K94" s="92">
        <v>0</v>
      </c>
      <c r="L94" s="93"/>
      <c r="M94" s="93">
        <f t="shared" si="2"/>
        <v>0</v>
      </c>
      <c r="N94" s="67">
        <v>53880800</v>
      </c>
      <c r="O94" s="67">
        <v>1627200.16</v>
      </c>
      <c r="P94" s="83"/>
      <c r="Q94" s="83"/>
      <c r="R94" s="83"/>
      <c r="U94" s="74">
        <v>2.4E-2</v>
      </c>
      <c r="V94" s="73"/>
      <c r="W94" s="76"/>
    </row>
    <row r="95" spans="1:23" s="23" customFormat="1" ht="12.75" customHeight="1" x14ac:dyDescent="0.3">
      <c r="A95" s="28">
        <v>2025</v>
      </c>
      <c r="B95" s="28" t="s">
        <v>35</v>
      </c>
      <c r="C95" s="28" t="s">
        <v>31</v>
      </c>
      <c r="D95" s="28" t="s">
        <v>36</v>
      </c>
      <c r="E95" s="28" t="s">
        <v>16</v>
      </c>
      <c r="F95" s="35" t="s">
        <v>18</v>
      </c>
      <c r="G95" s="36">
        <v>66</v>
      </c>
      <c r="H95" s="65">
        <v>62943.194640338508</v>
      </c>
      <c r="I95" s="30">
        <v>0</v>
      </c>
      <c r="J95" s="65">
        <v>2770.8339152666181</v>
      </c>
      <c r="K95" s="92">
        <v>0</v>
      </c>
      <c r="L95" s="93"/>
      <c r="M95" s="93">
        <f t="shared" si="2"/>
        <v>0</v>
      </c>
      <c r="N95" s="67">
        <v>89253450</v>
      </c>
      <c r="O95" s="67">
        <v>3793271.63</v>
      </c>
      <c r="P95" s="83"/>
      <c r="Q95" s="83"/>
      <c r="R95" s="83"/>
      <c r="U95" s="74">
        <v>4.5999999999999999E-2</v>
      </c>
      <c r="V95" s="73"/>
      <c r="W95" s="76"/>
    </row>
    <row r="96" spans="1:23" s="23" customFormat="1" ht="12.75" customHeight="1" x14ac:dyDescent="0.3">
      <c r="A96" s="28">
        <v>2025</v>
      </c>
      <c r="B96" s="28" t="s">
        <v>35</v>
      </c>
      <c r="C96" s="28" t="s">
        <v>31</v>
      </c>
      <c r="D96" s="28" t="s">
        <v>36</v>
      </c>
      <c r="E96" s="28" t="s">
        <v>16</v>
      </c>
      <c r="F96" s="35" t="s">
        <v>623</v>
      </c>
      <c r="G96" s="36">
        <v>757</v>
      </c>
      <c r="H96" s="65">
        <v>290046.50916784204</v>
      </c>
      <c r="I96" s="30">
        <v>0</v>
      </c>
      <c r="J96" s="65">
        <v>11896.949320672024</v>
      </c>
      <c r="K96" s="92">
        <v>0</v>
      </c>
      <c r="L96" s="93"/>
      <c r="M96" s="93">
        <f t="shared" si="2"/>
        <v>0</v>
      </c>
      <c r="N96" s="67">
        <v>411285950</v>
      </c>
      <c r="O96" s="67">
        <v>16286923.620000001</v>
      </c>
      <c r="P96" s="83"/>
      <c r="Q96" s="83"/>
      <c r="R96" s="83"/>
      <c r="U96" s="74">
        <v>4.1000000000000002E-2</v>
      </c>
      <c r="V96" s="73"/>
      <c r="W96" s="76"/>
    </row>
    <row r="97" spans="1:24" s="23" customFormat="1" ht="12.75" customHeight="1" x14ac:dyDescent="0.3">
      <c r="A97" s="28">
        <v>2025</v>
      </c>
      <c r="B97" s="28" t="s">
        <v>35</v>
      </c>
      <c r="C97" s="28" t="s">
        <v>31</v>
      </c>
      <c r="D97" s="28" t="s">
        <v>36</v>
      </c>
      <c r="E97" s="28" t="s">
        <v>16</v>
      </c>
      <c r="F97" s="35" t="s">
        <v>600</v>
      </c>
      <c r="G97" s="36">
        <v>90</v>
      </c>
      <c r="H97" s="65">
        <v>55256.699576868828</v>
      </c>
      <c r="I97" s="30">
        <v>0</v>
      </c>
      <c r="J97" s="65">
        <v>2266.4853177501827</v>
      </c>
      <c r="K97" s="92">
        <v>0</v>
      </c>
      <c r="L97" s="93"/>
      <c r="M97" s="93">
        <f t="shared" si="2"/>
        <v>0</v>
      </c>
      <c r="N97" s="67">
        <v>78354000</v>
      </c>
      <c r="O97" s="67">
        <v>3102818.4</v>
      </c>
      <c r="P97" s="83"/>
      <c r="Q97" s="83"/>
      <c r="R97" s="83"/>
      <c r="U97" s="73">
        <v>4.5999999999999999E-2</v>
      </c>
      <c r="V97" s="73"/>
      <c r="W97" s="76"/>
    </row>
    <row r="98" spans="1:24" s="23" customFormat="1" ht="12.75" customHeight="1" x14ac:dyDescent="0.3">
      <c r="A98" s="28">
        <v>2025</v>
      </c>
      <c r="B98" s="28" t="s">
        <v>35</v>
      </c>
      <c r="C98" s="28" t="s">
        <v>31</v>
      </c>
      <c r="D98" s="28" t="s">
        <v>36</v>
      </c>
      <c r="E98" s="28" t="s">
        <v>16</v>
      </c>
      <c r="F98" s="35" t="s">
        <v>422</v>
      </c>
      <c r="G98" s="36">
        <v>210</v>
      </c>
      <c r="H98" s="65">
        <v>92603.18758815233</v>
      </c>
      <c r="I98" s="30">
        <v>0</v>
      </c>
      <c r="J98" s="65">
        <v>4172.4195909422933</v>
      </c>
      <c r="K98" s="92">
        <v>0</v>
      </c>
      <c r="L98" s="93"/>
      <c r="M98" s="93">
        <f t="shared" si="2"/>
        <v>576.19028913963325</v>
      </c>
      <c r="N98" s="67">
        <v>131311320</v>
      </c>
      <c r="O98" s="67">
        <v>5712042.4199999999</v>
      </c>
      <c r="P98" s="83"/>
      <c r="Q98" s="83"/>
      <c r="R98" s="84">
        <v>817037.83</v>
      </c>
      <c r="U98" s="73">
        <v>4.1000000000000002E-2</v>
      </c>
      <c r="V98" s="73"/>
      <c r="W98" s="76"/>
    </row>
    <row r="99" spans="1:24" s="23" customFormat="1" ht="12.75" customHeight="1" x14ac:dyDescent="0.3">
      <c r="A99" s="28">
        <v>2025</v>
      </c>
      <c r="B99" s="28" t="s">
        <v>35</v>
      </c>
      <c r="C99" s="28" t="s">
        <v>31</v>
      </c>
      <c r="D99" s="28" t="s">
        <v>36</v>
      </c>
      <c r="E99" s="28" t="s">
        <v>16</v>
      </c>
      <c r="F99" s="24" t="s">
        <v>1927</v>
      </c>
      <c r="G99" s="36">
        <v>212.5</v>
      </c>
      <c r="H99" s="65">
        <v>130467.20733427363</v>
      </c>
      <c r="I99" s="30">
        <v>0</v>
      </c>
      <c r="J99" s="65">
        <v>5351.4236669101538</v>
      </c>
      <c r="K99" s="92">
        <v>0</v>
      </c>
      <c r="L99" s="93"/>
      <c r="M99" s="93">
        <f t="shared" si="2"/>
        <v>0</v>
      </c>
      <c r="N99" s="67">
        <v>185002500</v>
      </c>
      <c r="O99" s="67">
        <v>7326099</v>
      </c>
      <c r="P99" s="83"/>
      <c r="Q99" s="83"/>
      <c r="R99" s="83"/>
      <c r="U99" s="73">
        <v>4.5999999999999999E-2</v>
      </c>
      <c r="V99" s="73"/>
      <c r="W99" s="76"/>
    </row>
    <row r="100" spans="1:24" s="23" customFormat="1" ht="12.75" customHeight="1" x14ac:dyDescent="0.3">
      <c r="A100" s="28">
        <v>2025</v>
      </c>
      <c r="B100" s="28" t="s">
        <v>35</v>
      </c>
      <c r="C100" s="28" t="s">
        <v>31</v>
      </c>
      <c r="D100" s="28" t="s">
        <v>36</v>
      </c>
      <c r="E100" s="28" t="s">
        <v>16</v>
      </c>
      <c r="F100" s="35" t="s">
        <v>1397</v>
      </c>
      <c r="G100" s="36">
        <v>41.5</v>
      </c>
      <c r="H100" s="65">
        <v>25479.47813822285</v>
      </c>
      <c r="I100" s="30">
        <v>0</v>
      </c>
      <c r="J100" s="65">
        <v>1045.1015631848065</v>
      </c>
      <c r="K100" s="92">
        <v>0</v>
      </c>
      <c r="L100" s="93"/>
      <c r="M100" s="93">
        <f t="shared" si="2"/>
        <v>0</v>
      </c>
      <c r="N100" s="67">
        <v>36129900</v>
      </c>
      <c r="O100" s="67">
        <v>1430744.04</v>
      </c>
      <c r="P100" s="83"/>
      <c r="Q100" s="86">
        <v>5384790</v>
      </c>
      <c r="R100" s="83"/>
      <c r="U100" s="73">
        <v>4.5999999999999999E-2</v>
      </c>
      <c r="V100" s="73"/>
      <c r="W100" s="76"/>
    </row>
    <row r="101" spans="1:24" s="23" customFormat="1" ht="12.75" customHeight="1" x14ac:dyDescent="0.3">
      <c r="A101" s="28">
        <v>2025</v>
      </c>
      <c r="B101" s="28" t="s">
        <v>35</v>
      </c>
      <c r="C101" s="28" t="s">
        <v>31</v>
      </c>
      <c r="D101" s="28" t="s">
        <v>36</v>
      </c>
      <c r="E101" s="28" t="s">
        <v>16</v>
      </c>
      <c r="F101" s="35" t="s">
        <v>67</v>
      </c>
      <c r="G101" s="36">
        <v>28</v>
      </c>
      <c r="H101" s="65">
        <v>21362.538787023979</v>
      </c>
      <c r="I101" s="30">
        <v>0</v>
      </c>
      <c r="J101" s="65">
        <v>876.23547845142446</v>
      </c>
      <c r="K101" s="92">
        <v>0</v>
      </c>
      <c r="L101" s="93"/>
      <c r="M101" s="93">
        <f t="shared" si="2"/>
        <v>0</v>
      </c>
      <c r="N101" s="67">
        <v>30292080</v>
      </c>
      <c r="O101" s="67">
        <v>1199566.3700000001</v>
      </c>
      <c r="P101" s="83"/>
      <c r="Q101" s="83"/>
      <c r="R101" s="83"/>
      <c r="U101" s="73">
        <v>0.05</v>
      </c>
      <c r="V101" s="73"/>
      <c r="W101" s="76"/>
    </row>
    <row r="102" spans="1:24" s="23" customFormat="1" ht="12.75" customHeight="1" x14ac:dyDescent="0.3">
      <c r="A102" s="28">
        <v>2025</v>
      </c>
      <c r="B102" s="28" t="s">
        <v>35</v>
      </c>
      <c r="C102" s="28" t="s">
        <v>31</v>
      </c>
      <c r="D102" s="28" t="s">
        <v>36</v>
      </c>
      <c r="E102" s="28" t="s">
        <v>16</v>
      </c>
      <c r="F102" s="35" t="s">
        <v>23</v>
      </c>
      <c r="G102" s="36">
        <v>132</v>
      </c>
      <c r="H102" s="65">
        <v>28071.791255289139</v>
      </c>
      <c r="I102" s="30">
        <v>0</v>
      </c>
      <c r="J102" s="65">
        <v>1143.0496712929146</v>
      </c>
      <c r="K102" s="92">
        <v>0</v>
      </c>
      <c r="L102" s="93"/>
      <c r="M102" s="93">
        <f t="shared" si="2"/>
        <v>0</v>
      </c>
      <c r="N102" s="67">
        <v>39805800</v>
      </c>
      <c r="O102" s="67">
        <v>1564835</v>
      </c>
      <c r="P102" s="83"/>
      <c r="Q102" s="83"/>
      <c r="R102" s="83"/>
      <c r="U102" s="73">
        <v>0.05</v>
      </c>
      <c r="V102" s="73"/>
      <c r="W102" s="76"/>
    </row>
    <row r="103" spans="1:24" s="23" customFormat="1" ht="12.75" customHeight="1" x14ac:dyDescent="0.3">
      <c r="A103" s="28">
        <v>2025</v>
      </c>
      <c r="B103" s="28" t="s">
        <v>35</v>
      </c>
      <c r="C103" s="28" t="s">
        <v>31</v>
      </c>
      <c r="D103" s="28" t="s">
        <v>36</v>
      </c>
      <c r="E103" s="28" t="s">
        <v>16</v>
      </c>
      <c r="F103" s="35" t="s">
        <v>40</v>
      </c>
      <c r="G103" s="36">
        <v>70</v>
      </c>
      <c r="H103" s="65">
        <v>43007.052186177716</v>
      </c>
      <c r="I103" s="30">
        <v>0</v>
      </c>
      <c r="J103" s="65">
        <v>2093.6800584368152</v>
      </c>
      <c r="K103" s="92">
        <v>0</v>
      </c>
      <c r="L103" s="93"/>
      <c r="M103" s="93">
        <f t="shared" si="2"/>
        <v>0</v>
      </c>
      <c r="N103" s="67">
        <v>60984000</v>
      </c>
      <c r="O103" s="67">
        <v>2866248</v>
      </c>
      <c r="P103" s="83"/>
      <c r="Q103" s="83"/>
      <c r="R103" s="83"/>
      <c r="U103" s="73">
        <v>4.8000000000000001E-2</v>
      </c>
      <c r="V103" s="73"/>
      <c r="W103" s="76"/>
    </row>
    <row r="104" spans="1:24" s="23" customFormat="1" ht="12.75" customHeight="1" x14ac:dyDescent="0.3">
      <c r="A104" s="28">
        <v>2025</v>
      </c>
      <c r="B104" s="28" t="s">
        <v>35</v>
      </c>
      <c r="C104" s="28" t="s">
        <v>31</v>
      </c>
      <c r="D104" s="28" t="s">
        <v>36</v>
      </c>
      <c r="E104" s="28" t="s">
        <v>16</v>
      </c>
      <c r="F104" s="35" t="s">
        <v>24</v>
      </c>
      <c r="G104" s="36">
        <v>30</v>
      </c>
      <c r="H104" s="65">
        <v>22888.434414668547</v>
      </c>
      <c r="I104" s="30">
        <v>0</v>
      </c>
      <c r="J104" s="65">
        <v>938.82372534696867</v>
      </c>
      <c r="K104" s="92">
        <v>0</v>
      </c>
      <c r="L104" s="93"/>
      <c r="M104" s="93">
        <f t="shared" si="2"/>
        <v>0</v>
      </c>
      <c r="N104" s="67">
        <v>32455800</v>
      </c>
      <c r="O104" s="67">
        <v>1285249.6800000002</v>
      </c>
      <c r="P104" s="83"/>
      <c r="Q104" s="83"/>
      <c r="R104" s="83"/>
      <c r="U104" s="73">
        <v>4.65E-2</v>
      </c>
      <c r="V104" s="73"/>
      <c r="W104" s="76"/>
    </row>
    <row r="105" spans="1:24" s="23" customFormat="1" ht="12.75" customHeight="1" x14ac:dyDescent="0.3">
      <c r="A105" s="28">
        <v>2025</v>
      </c>
      <c r="B105" s="28" t="s">
        <v>35</v>
      </c>
      <c r="C105" s="28" t="s">
        <v>31</v>
      </c>
      <c r="D105" s="28" t="s">
        <v>36</v>
      </c>
      <c r="E105" s="28" t="s">
        <v>16</v>
      </c>
      <c r="F105" s="35" t="s">
        <v>25</v>
      </c>
      <c r="G105" s="36">
        <v>170.4</v>
      </c>
      <c r="H105" s="65">
        <v>139107.92665726374</v>
      </c>
      <c r="I105" s="30">
        <v>0</v>
      </c>
      <c r="J105" s="65">
        <v>5705.8412636961284</v>
      </c>
      <c r="K105" s="92">
        <v>0</v>
      </c>
      <c r="L105" s="93"/>
      <c r="M105" s="93">
        <f t="shared" si="2"/>
        <v>0</v>
      </c>
      <c r="N105" s="67">
        <v>197255040</v>
      </c>
      <c r="O105" s="67">
        <v>7811296.6899999995</v>
      </c>
      <c r="P105" s="83"/>
      <c r="Q105" s="83"/>
      <c r="R105" s="83"/>
      <c r="U105" s="73">
        <v>4.5999999999999999E-2</v>
      </c>
      <c r="V105" s="73"/>
      <c r="W105" s="76"/>
    </row>
    <row r="106" spans="1:24" s="23" customFormat="1" ht="12.75" customHeight="1" x14ac:dyDescent="0.3">
      <c r="A106" s="28">
        <v>2025</v>
      </c>
      <c r="B106" s="28" t="s">
        <v>35</v>
      </c>
      <c r="C106" s="28" t="s">
        <v>31</v>
      </c>
      <c r="D106" s="28" t="s">
        <v>36</v>
      </c>
      <c r="E106" s="28" t="s">
        <v>16</v>
      </c>
      <c r="F106" s="35" t="s">
        <v>1402</v>
      </c>
      <c r="G106" s="36">
        <v>91.5</v>
      </c>
      <c r="H106" s="65">
        <v>56177.644569816643</v>
      </c>
      <c r="I106" s="30">
        <v>0</v>
      </c>
      <c r="J106" s="65">
        <v>2304.260073046019</v>
      </c>
      <c r="K106" s="92">
        <v>0</v>
      </c>
      <c r="L106" s="93"/>
      <c r="M106" s="93">
        <f t="shared" si="2"/>
        <v>0</v>
      </c>
      <c r="N106" s="67">
        <v>79659900</v>
      </c>
      <c r="O106" s="67">
        <v>3154532.04</v>
      </c>
      <c r="P106" s="83"/>
      <c r="Q106" s="83"/>
      <c r="R106" s="83"/>
      <c r="U106" s="73">
        <v>4.5999999999999999E-2</v>
      </c>
      <c r="V106" s="73"/>
      <c r="W106" s="76"/>
    </row>
    <row r="107" spans="1:24" s="23" customFormat="1" ht="12.75" customHeight="1" x14ac:dyDescent="0.3">
      <c r="A107" s="28">
        <v>2025</v>
      </c>
      <c r="B107" s="28" t="s">
        <v>35</v>
      </c>
      <c r="C107" s="28" t="s">
        <v>14</v>
      </c>
      <c r="D107" s="28" t="s">
        <v>36</v>
      </c>
      <c r="E107" s="28" t="s">
        <v>32</v>
      </c>
      <c r="F107" s="35" t="s">
        <v>68</v>
      </c>
      <c r="G107" s="36">
        <v>1030</v>
      </c>
      <c r="H107" s="65">
        <v>446447.10860366712</v>
      </c>
      <c r="I107" s="30">
        <v>0</v>
      </c>
      <c r="J107" s="65">
        <v>16562.851621621623</v>
      </c>
      <c r="K107" s="92">
        <v>0</v>
      </c>
      <c r="L107" s="93"/>
      <c r="M107" s="93">
        <f t="shared" si="2"/>
        <v>0</v>
      </c>
      <c r="N107" s="67">
        <v>633062000</v>
      </c>
      <c r="O107" s="67">
        <v>31147144</v>
      </c>
      <c r="P107" s="83"/>
      <c r="Q107" s="83"/>
      <c r="R107" s="83"/>
      <c r="T107" s="73"/>
      <c r="U107" s="73">
        <v>4.8000000000000001E-2</v>
      </c>
      <c r="V107" s="73"/>
      <c r="W107" s="76"/>
    </row>
    <row r="108" spans="1:24" s="23" customFormat="1" ht="12.75" customHeight="1" x14ac:dyDescent="0.3">
      <c r="A108" s="28">
        <v>2025</v>
      </c>
      <c r="B108" s="28" t="s">
        <v>35</v>
      </c>
      <c r="C108" s="28" t="s">
        <v>14</v>
      </c>
      <c r="D108" s="28" t="s">
        <v>36</v>
      </c>
      <c r="E108" s="28" t="s">
        <v>32</v>
      </c>
      <c r="F108" s="35" t="s">
        <v>47</v>
      </c>
      <c r="G108" s="36">
        <v>175</v>
      </c>
      <c r="H108" s="65">
        <v>91717.009873060655</v>
      </c>
      <c r="I108" s="30">
        <v>0</v>
      </c>
      <c r="J108" s="65">
        <v>3884.3231628926219</v>
      </c>
      <c r="K108" s="92">
        <v>0</v>
      </c>
      <c r="L108" s="93"/>
      <c r="M108" s="93">
        <f t="shared" si="2"/>
        <v>0</v>
      </c>
      <c r="N108" s="67">
        <v>130054720</v>
      </c>
      <c r="O108" s="67">
        <v>5317638.4099999992</v>
      </c>
      <c r="P108" s="83"/>
      <c r="Q108" s="83"/>
      <c r="R108" s="83"/>
      <c r="T108" s="73"/>
      <c r="U108" s="73">
        <v>4.2000000000000003E-2</v>
      </c>
      <c r="V108" s="73"/>
      <c r="W108" s="76"/>
    </row>
    <row r="109" spans="1:24" s="23" customFormat="1" ht="12.75" customHeight="1" x14ac:dyDescent="0.3">
      <c r="A109" s="28">
        <v>2025</v>
      </c>
      <c r="B109" s="28" t="s">
        <v>35</v>
      </c>
      <c r="C109" s="28" t="s">
        <v>14</v>
      </c>
      <c r="D109" s="28" t="s">
        <v>36</v>
      </c>
      <c r="E109" s="28" t="s">
        <v>32</v>
      </c>
      <c r="F109" s="35" t="s">
        <v>1934</v>
      </c>
      <c r="G109" s="36">
        <v>539</v>
      </c>
      <c r="H109" s="65">
        <v>193519.18194640338</v>
      </c>
      <c r="I109" s="30">
        <v>0</v>
      </c>
      <c r="J109" s="65">
        <v>9648.7891891891886</v>
      </c>
      <c r="K109" s="92">
        <v>0</v>
      </c>
      <c r="L109" s="93"/>
      <c r="M109" s="93">
        <f t="shared" si="2"/>
        <v>0</v>
      </c>
      <c r="N109" s="67">
        <v>274410200</v>
      </c>
      <c r="O109" s="67">
        <v>13209192.4</v>
      </c>
      <c r="P109" s="83"/>
      <c r="Q109" s="83"/>
      <c r="R109" s="83"/>
      <c r="T109" s="73"/>
      <c r="U109" s="73">
        <v>0.03</v>
      </c>
      <c r="V109" s="73"/>
      <c r="W109" s="76"/>
      <c r="X109" s="23" t="s">
        <v>1935</v>
      </c>
    </row>
    <row r="110" spans="1:24" s="23" customFormat="1" ht="12.75" customHeight="1" x14ac:dyDescent="0.3">
      <c r="A110" s="28">
        <v>2025</v>
      </c>
      <c r="B110" s="28" t="s">
        <v>35</v>
      </c>
      <c r="C110" s="28" t="s">
        <v>14</v>
      </c>
      <c r="D110" s="28" t="s">
        <v>36</v>
      </c>
      <c r="E110" s="28" t="s">
        <v>32</v>
      </c>
      <c r="F110" s="35" t="s">
        <v>49</v>
      </c>
      <c r="G110" s="36">
        <v>50</v>
      </c>
      <c r="H110" s="65">
        <v>28610.543018335684</v>
      </c>
      <c r="I110" s="30">
        <v>0</v>
      </c>
      <c r="J110" s="65">
        <v>1861.052081811541</v>
      </c>
      <c r="K110" s="92">
        <v>0</v>
      </c>
      <c r="L110" s="93"/>
      <c r="M110" s="93">
        <f t="shared" si="2"/>
        <v>0</v>
      </c>
      <c r="N110" s="67">
        <v>40569750</v>
      </c>
      <c r="O110" s="67">
        <v>2547780.2999999998</v>
      </c>
      <c r="P110" s="83"/>
      <c r="Q110" s="83"/>
      <c r="R110" s="83"/>
      <c r="T110" s="73"/>
      <c r="U110" s="73">
        <v>6.0999999999999999E-2</v>
      </c>
      <c r="V110" s="73"/>
      <c r="W110" s="76"/>
    </row>
    <row r="111" spans="1:24" s="23" customFormat="1" ht="12.75" customHeight="1" x14ac:dyDescent="0.3">
      <c r="A111" s="28">
        <v>2025</v>
      </c>
      <c r="B111" s="28" t="s">
        <v>35</v>
      </c>
      <c r="C111" s="28" t="s">
        <v>14</v>
      </c>
      <c r="D111" s="28" t="s">
        <v>36</v>
      </c>
      <c r="E111" s="28" t="s">
        <v>32</v>
      </c>
      <c r="F111" s="35" t="s">
        <v>50</v>
      </c>
      <c r="G111" s="36">
        <v>2366</v>
      </c>
      <c r="H111" s="65">
        <v>1323256.6882933709</v>
      </c>
      <c r="I111" s="30">
        <v>0</v>
      </c>
      <c r="J111" s="65">
        <v>31131</v>
      </c>
      <c r="K111" s="92">
        <v>0</v>
      </c>
      <c r="L111" s="93"/>
      <c r="M111" s="93">
        <f t="shared" si="2"/>
        <v>952.19513399153732</v>
      </c>
      <c r="N111" s="67">
        <v>1876377984</v>
      </c>
      <c r="O111" s="67">
        <v>45357424.050000004</v>
      </c>
      <c r="P111" s="83"/>
      <c r="Q111" s="89">
        <v>2492912.7000000002</v>
      </c>
      <c r="R111" s="84">
        <v>1350212.7</v>
      </c>
      <c r="S111" s="62"/>
      <c r="T111" s="73"/>
      <c r="U111" s="73">
        <v>2.8000000000000001E-2</v>
      </c>
      <c r="V111" s="73"/>
      <c r="W111" s="76"/>
    </row>
    <row r="112" spans="1:24" s="23" customFormat="1" ht="12.75" customHeight="1" x14ac:dyDescent="0.3">
      <c r="A112" s="28">
        <v>2025</v>
      </c>
      <c r="B112" s="28" t="s">
        <v>35</v>
      </c>
      <c r="C112" s="28" t="s">
        <v>31</v>
      </c>
      <c r="D112" s="28" t="s">
        <v>36</v>
      </c>
      <c r="E112" s="28" t="s">
        <v>32</v>
      </c>
      <c r="F112" s="35" t="s">
        <v>1934</v>
      </c>
      <c r="G112" s="36">
        <v>290</v>
      </c>
      <c r="H112" s="65">
        <v>121808.18053596615</v>
      </c>
      <c r="I112" s="30">
        <v>0</v>
      </c>
      <c r="J112" s="65">
        <v>7254.6603360116869</v>
      </c>
      <c r="K112" s="92">
        <v>0</v>
      </c>
      <c r="L112" s="93"/>
      <c r="M112" s="93">
        <f t="shared" si="2"/>
        <v>0</v>
      </c>
      <c r="N112" s="67">
        <v>172724000</v>
      </c>
      <c r="O112" s="67">
        <v>9931630</v>
      </c>
      <c r="P112" s="83"/>
      <c r="Q112" s="83"/>
      <c r="R112" s="83"/>
      <c r="T112" s="73"/>
      <c r="U112" s="73">
        <v>0.05</v>
      </c>
      <c r="V112" s="73"/>
      <c r="W112" s="76"/>
    </row>
    <row r="113" spans="1:24" s="23" customFormat="1" ht="12.75" customHeight="1" x14ac:dyDescent="0.3">
      <c r="A113" s="28">
        <v>2025</v>
      </c>
      <c r="B113" s="28" t="s">
        <v>35</v>
      </c>
      <c r="C113" s="28" t="s">
        <v>14</v>
      </c>
      <c r="D113" s="28" t="s">
        <v>36</v>
      </c>
      <c r="E113" s="28" t="s">
        <v>33</v>
      </c>
      <c r="F113" s="35" t="s">
        <v>54</v>
      </c>
      <c r="G113" s="36">
        <v>520</v>
      </c>
      <c r="H113" s="65">
        <v>181323.69534555712</v>
      </c>
      <c r="I113" s="30">
        <v>0</v>
      </c>
      <c r="J113" s="65">
        <v>6154.8915266617969</v>
      </c>
      <c r="K113" s="92">
        <v>0</v>
      </c>
      <c r="L113" s="93"/>
      <c r="M113" s="93">
        <f t="shared" si="2"/>
        <v>0</v>
      </c>
      <c r="N113" s="67">
        <v>257117000</v>
      </c>
      <c r="O113" s="67">
        <v>8426046.5</v>
      </c>
      <c r="P113" s="83"/>
      <c r="Q113" s="83"/>
      <c r="R113" s="83"/>
      <c r="T113" s="73"/>
      <c r="U113" s="73">
        <v>3.5000000000000003E-2</v>
      </c>
      <c r="V113" s="73"/>
      <c r="W113" s="76"/>
    </row>
    <row r="114" spans="1:24" s="23" customFormat="1" ht="12.75" customHeight="1" x14ac:dyDescent="0.3">
      <c r="A114" s="28">
        <v>2025</v>
      </c>
      <c r="B114" s="28" t="s">
        <v>35</v>
      </c>
      <c r="C114" s="28" t="s">
        <v>14</v>
      </c>
      <c r="D114" s="28" t="s">
        <v>36</v>
      </c>
      <c r="E114" s="28" t="s">
        <v>33</v>
      </c>
      <c r="F114" s="35" t="s">
        <v>1062</v>
      </c>
      <c r="G114" s="36">
        <v>649</v>
      </c>
      <c r="H114" s="65">
        <v>180568.79407616361</v>
      </c>
      <c r="I114" s="30">
        <v>0</v>
      </c>
      <c r="J114" s="65">
        <v>5639.268349159971</v>
      </c>
      <c r="K114" s="92">
        <v>0</v>
      </c>
      <c r="L114" s="93"/>
      <c r="M114" s="93">
        <f t="shared" si="2"/>
        <v>0</v>
      </c>
      <c r="N114" s="67">
        <v>256046550</v>
      </c>
      <c r="O114" s="67">
        <v>7720158.3700000001</v>
      </c>
      <c r="P114" s="83"/>
      <c r="Q114" s="83"/>
      <c r="R114" s="83"/>
      <c r="T114" s="73"/>
      <c r="U114" s="73">
        <v>3.2000000000000001E-2</v>
      </c>
      <c r="V114" s="73"/>
      <c r="W114" s="76"/>
    </row>
    <row r="115" spans="1:24" s="23" customFormat="1" ht="12.75" customHeight="1" x14ac:dyDescent="0.3">
      <c r="A115" s="28">
        <v>2025</v>
      </c>
      <c r="B115" s="28" t="s">
        <v>35</v>
      </c>
      <c r="C115" s="28" t="s">
        <v>14</v>
      </c>
      <c r="D115" s="28" t="s">
        <v>36</v>
      </c>
      <c r="E115" s="28" t="s">
        <v>33</v>
      </c>
      <c r="F115" s="35" t="s">
        <v>55</v>
      </c>
      <c r="G115" s="36">
        <v>471</v>
      </c>
      <c r="H115" s="65">
        <v>260536.67136812411</v>
      </c>
      <c r="I115" s="30">
        <v>0</v>
      </c>
      <c r="J115" s="65">
        <v>8382.9142439737043</v>
      </c>
      <c r="K115" s="92">
        <v>0</v>
      </c>
      <c r="L115" s="93"/>
      <c r="M115" s="93">
        <f t="shared" si="2"/>
        <v>477.88389280677006</v>
      </c>
      <c r="N115" s="67">
        <v>369441000</v>
      </c>
      <c r="O115" s="67">
        <v>11476209.600000001</v>
      </c>
      <c r="P115" s="83"/>
      <c r="Q115" s="85"/>
      <c r="R115" s="84">
        <v>677639.36</v>
      </c>
      <c r="T115" s="73"/>
      <c r="U115" s="73">
        <v>3.5000000000000003E-2</v>
      </c>
      <c r="V115" s="73"/>
      <c r="W115" s="76"/>
    </row>
    <row r="116" spans="1:24" s="23" customFormat="1" ht="12.75" customHeight="1" x14ac:dyDescent="0.3">
      <c r="A116" s="28">
        <v>2025</v>
      </c>
      <c r="B116" s="28" t="s">
        <v>35</v>
      </c>
      <c r="C116" s="28" t="s">
        <v>14</v>
      </c>
      <c r="D116" s="28" t="s">
        <v>36</v>
      </c>
      <c r="E116" s="28" t="s">
        <v>33</v>
      </c>
      <c r="F116" s="35" t="s">
        <v>56</v>
      </c>
      <c r="G116" s="36">
        <v>3699</v>
      </c>
      <c r="H116" s="65">
        <v>1352419</v>
      </c>
      <c r="I116" s="30">
        <v>0</v>
      </c>
      <c r="J116" s="65">
        <v>42050</v>
      </c>
      <c r="K116" s="92">
        <v>3106.1311176040904</v>
      </c>
      <c r="L116" s="93">
        <v>368.81983929875821</v>
      </c>
      <c r="M116" s="93">
        <f t="shared" si="2"/>
        <v>356.07500705218615</v>
      </c>
      <c r="N116" s="67">
        <f>+H116*P3</f>
        <v>1917730142</v>
      </c>
      <c r="O116" s="67">
        <f>+J116*P3</f>
        <v>59626900</v>
      </c>
      <c r="P116" s="85">
        <v>4252293.5</v>
      </c>
      <c r="Q116" s="83"/>
      <c r="R116" s="84">
        <v>504914.36</v>
      </c>
      <c r="T116" s="73"/>
      <c r="U116" s="73">
        <v>3.5000000000000003E-2</v>
      </c>
      <c r="V116" s="73"/>
      <c r="W116" s="76"/>
    </row>
    <row r="117" spans="1:24" s="23" customFormat="1" ht="12.75" customHeight="1" x14ac:dyDescent="0.3">
      <c r="A117" s="28">
        <v>2025</v>
      </c>
      <c r="B117" s="28" t="s">
        <v>35</v>
      </c>
      <c r="C117" s="28" t="s">
        <v>14</v>
      </c>
      <c r="D117" s="28" t="s">
        <v>36</v>
      </c>
      <c r="E117" s="28" t="s">
        <v>33</v>
      </c>
      <c r="F117" s="35" t="s">
        <v>57</v>
      </c>
      <c r="G117" s="36">
        <v>1019</v>
      </c>
      <c r="H117" s="65">
        <v>474510.01410437236</v>
      </c>
      <c r="I117" s="30">
        <v>0</v>
      </c>
      <c r="J117" s="65">
        <v>14927.948400292184</v>
      </c>
      <c r="K117" s="92">
        <v>0</v>
      </c>
      <c r="L117" s="93"/>
      <c r="M117" s="93">
        <f t="shared" si="2"/>
        <v>0</v>
      </c>
      <c r="N117" s="67">
        <v>672855200</v>
      </c>
      <c r="O117" s="67">
        <v>20436361.359999999</v>
      </c>
      <c r="P117" s="83"/>
      <c r="Q117" s="83"/>
      <c r="R117" s="83"/>
      <c r="T117" s="73"/>
      <c r="U117" s="73">
        <v>3.2000000000000001E-2</v>
      </c>
      <c r="V117" s="73"/>
      <c r="W117" s="76"/>
    </row>
    <row r="118" spans="1:24" s="23" customFormat="1" ht="12.75" customHeight="1" x14ac:dyDescent="0.3">
      <c r="A118" s="28">
        <v>2025</v>
      </c>
      <c r="B118" s="28" t="s">
        <v>35</v>
      </c>
      <c r="C118" s="28" t="s">
        <v>14</v>
      </c>
      <c r="D118" s="28" t="s">
        <v>36</v>
      </c>
      <c r="E118" s="28" t="s">
        <v>33</v>
      </c>
      <c r="F118" s="35" t="s">
        <v>58</v>
      </c>
      <c r="G118" s="36">
        <v>1993</v>
      </c>
      <c r="H118" s="65">
        <v>840480.87165021151</v>
      </c>
      <c r="I118" s="30">
        <v>0</v>
      </c>
      <c r="J118" s="65">
        <v>27094.505303140977</v>
      </c>
      <c r="K118" s="92">
        <v>2764.8794740686631</v>
      </c>
      <c r="L118" s="93">
        <v>3091.100737764792</v>
      </c>
      <c r="M118" s="93">
        <f t="shared" si="2"/>
        <v>2984.2855500705218</v>
      </c>
      <c r="N118" s="67">
        <v>1191801876</v>
      </c>
      <c r="O118" s="67">
        <v>37092377.759999998</v>
      </c>
      <c r="P118" s="85">
        <v>3785120</v>
      </c>
      <c r="Q118" s="89">
        <v>8339124.4000000004</v>
      </c>
      <c r="R118" s="84">
        <v>4231716.91</v>
      </c>
      <c r="T118" s="73"/>
      <c r="U118" s="73">
        <v>3.2000000000000001E-2</v>
      </c>
      <c r="V118" s="73"/>
      <c r="W118" s="76"/>
    </row>
    <row r="119" spans="1:24" s="23" customFormat="1" ht="12.75" customHeight="1" x14ac:dyDescent="0.3">
      <c r="A119" s="28">
        <v>2025</v>
      </c>
      <c r="B119" s="28" t="s">
        <v>35</v>
      </c>
      <c r="C119" s="28" t="s">
        <v>14</v>
      </c>
      <c r="D119" s="28" t="s">
        <v>36</v>
      </c>
      <c r="E119" s="28" t="s">
        <v>33</v>
      </c>
      <c r="F119" s="35" t="s">
        <v>1637</v>
      </c>
      <c r="G119" s="36">
        <v>1334</v>
      </c>
      <c r="H119" s="65">
        <v>169631.08251057827</v>
      </c>
      <c r="I119" s="30">
        <v>0</v>
      </c>
      <c r="J119" s="65">
        <v>5042.6702264426585</v>
      </c>
      <c r="K119" s="92">
        <v>0</v>
      </c>
      <c r="L119" s="93"/>
      <c r="M119" s="93">
        <f t="shared" si="2"/>
        <v>0</v>
      </c>
      <c r="N119" s="67">
        <v>240536875</v>
      </c>
      <c r="O119" s="67">
        <v>6903415.5399999991</v>
      </c>
      <c r="P119" s="83"/>
      <c r="Q119" s="83"/>
      <c r="R119" s="83"/>
      <c r="T119" s="73"/>
      <c r="U119" s="73">
        <v>4.1000000000000002E-2</v>
      </c>
      <c r="V119" s="73"/>
      <c r="W119" s="76"/>
      <c r="X119" s="23" t="s">
        <v>1935</v>
      </c>
    </row>
    <row r="120" spans="1:24" s="23" customFormat="1" ht="12.75" customHeight="1" x14ac:dyDescent="0.3">
      <c r="A120" s="28">
        <v>2025</v>
      </c>
      <c r="B120" s="28" t="s">
        <v>35</v>
      </c>
      <c r="C120" s="28" t="s">
        <v>14</v>
      </c>
      <c r="D120" s="28" t="s">
        <v>36</v>
      </c>
      <c r="E120" s="28" t="s">
        <v>33</v>
      </c>
      <c r="F120" s="35" t="s">
        <v>412</v>
      </c>
      <c r="G120" s="36">
        <v>884</v>
      </c>
      <c r="H120" s="65">
        <v>229167.84203102961</v>
      </c>
      <c r="I120" s="30">
        <v>0</v>
      </c>
      <c r="J120" s="65">
        <v>8397.8862016070125</v>
      </c>
      <c r="K120" s="92">
        <v>0</v>
      </c>
      <c r="L120" s="93"/>
      <c r="M120" s="93">
        <f t="shared" si="2"/>
        <v>776.10595909732012</v>
      </c>
      <c r="N120" s="67">
        <v>324960000</v>
      </c>
      <c r="O120" s="67">
        <v>11496706.210000001</v>
      </c>
      <c r="P120" s="83"/>
      <c r="Q120" s="86">
        <v>10634220</v>
      </c>
      <c r="R120" s="84">
        <v>1100518.25</v>
      </c>
      <c r="T120" s="73"/>
      <c r="U120" s="73">
        <v>4.1000000000000002E-2</v>
      </c>
      <c r="V120" s="73"/>
      <c r="W120" s="76"/>
    </row>
    <row r="121" spans="1:24" s="23" customFormat="1" ht="12.75" customHeight="1" x14ac:dyDescent="0.3">
      <c r="A121" s="28">
        <v>2025</v>
      </c>
      <c r="B121" s="28" t="s">
        <v>35</v>
      </c>
      <c r="C121" s="28" t="s">
        <v>31</v>
      </c>
      <c r="D121" s="28" t="s">
        <v>36</v>
      </c>
      <c r="E121" s="28" t="s">
        <v>33</v>
      </c>
      <c r="F121" s="35" t="s">
        <v>1062</v>
      </c>
      <c r="G121" s="36">
        <v>3560</v>
      </c>
      <c r="H121" s="65">
        <v>569994.66290550074</v>
      </c>
      <c r="I121" s="30">
        <v>0</v>
      </c>
      <c r="J121" s="65">
        <v>29755.960299488677</v>
      </c>
      <c r="K121" s="92">
        <v>0</v>
      </c>
      <c r="L121" s="93"/>
      <c r="M121" s="93">
        <f t="shared" si="2"/>
        <v>0</v>
      </c>
      <c r="N121" s="67">
        <v>808252432</v>
      </c>
      <c r="O121" s="67">
        <v>40735909.649999999</v>
      </c>
      <c r="P121" s="83"/>
      <c r="Q121" s="83"/>
      <c r="R121" s="83"/>
      <c r="T121" s="73"/>
      <c r="U121" s="73">
        <v>5.1999999999999998E-2</v>
      </c>
      <c r="V121" s="73"/>
      <c r="W121" s="76"/>
    </row>
    <row r="122" spans="1:24" s="23" customFormat="1" ht="12.75" customHeight="1" x14ac:dyDescent="0.3">
      <c r="A122" s="28">
        <v>2025</v>
      </c>
      <c r="B122" s="28" t="s">
        <v>35</v>
      </c>
      <c r="C122" s="28" t="s">
        <v>31</v>
      </c>
      <c r="D122" s="28" t="s">
        <v>36</v>
      </c>
      <c r="E122" s="28" t="s">
        <v>33</v>
      </c>
      <c r="F122" s="35" t="s">
        <v>55</v>
      </c>
      <c r="G122" s="36">
        <v>1455</v>
      </c>
      <c r="H122" s="65">
        <v>589186.44922425947</v>
      </c>
      <c r="I122" s="30">
        <v>0</v>
      </c>
      <c r="J122" s="65">
        <v>31988.781241782319</v>
      </c>
      <c r="K122" s="92">
        <v>0</v>
      </c>
      <c r="L122" s="93"/>
      <c r="M122" s="93">
        <f t="shared" si="2"/>
        <v>0</v>
      </c>
      <c r="N122" s="67">
        <v>835466385</v>
      </c>
      <c r="O122" s="67">
        <v>43792641.519999996</v>
      </c>
      <c r="P122" s="83"/>
      <c r="Q122" s="85"/>
      <c r="R122" s="83"/>
      <c r="T122" s="73"/>
      <c r="U122" s="73">
        <v>5.5E-2</v>
      </c>
      <c r="V122" s="73"/>
      <c r="W122" s="76"/>
    </row>
    <row r="123" spans="1:24" s="23" customFormat="1" ht="12.75" customHeight="1" x14ac:dyDescent="0.3">
      <c r="A123" s="28">
        <v>2025</v>
      </c>
      <c r="B123" s="28" t="s">
        <v>35</v>
      </c>
      <c r="C123" s="28" t="s">
        <v>31</v>
      </c>
      <c r="D123" s="28" t="s">
        <v>36</v>
      </c>
      <c r="E123" s="28" t="s">
        <v>33</v>
      </c>
      <c r="F123" s="35" t="s">
        <v>57</v>
      </c>
      <c r="G123" s="36">
        <v>220</v>
      </c>
      <c r="H123" s="65">
        <v>88434.414668547251</v>
      </c>
      <c r="I123" s="30">
        <v>0</v>
      </c>
      <c r="J123" s="65">
        <v>4616.6252739225711</v>
      </c>
      <c r="K123" s="92">
        <v>0</v>
      </c>
      <c r="L123" s="93"/>
      <c r="M123" s="93">
        <f t="shared" si="2"/>
        <v>0</v>
      </c>
      <c r="N123" s="67">
        <v>125400000</v>
      </c>
      <c r="O123" s="67">
        <v>6320160</v>
      </c>
      <c r="P123" s="83"/>
      <c r="Q123" s="83"/>
      <c r="R123" s="83"/>
      <c r="T123" s="73"/>
      <c r="U123" s="73">
        <v>5.1999999999999998E-2</v>
      </c>
      <c r="V123" s="73"/>
      <c r="W123" s="76"/>
    </row>
    <row r="124" spans="1:24" s="23" customFormat="1" ht="12.75" customHeight="1" x14ac:dyDescent="0.3">
      <c r="A124" s="28">
        <v>2025</v>
      </c>
      <c r="B124" s="28" t="s">
        <v>35</v>
      </c>
      <c r="C124" s="28" t="s">
        <v>31</v>
      </c>
      <c r="D124" s="28" t="s">
        <v>36</v>
      </c>
      <c r="E124" s="28" t="s">
        <v>33</v>
      </c>
      <c r="F124" s="35" t="s">
        <v>58</v>
      </c>
      <c r="G124" s="36">
        <v>592</v>
      </c>
      <c r="H124" s="65">
        <v>303741.18476727785</v>
      </c>
      <c r="I124" s="30">
        <v>0</v>
      </c>
      <c r="J124" s="65">
        <v>17278.451059167277</v>
      </c>
      <c r="K124" s="92">
        <v>0</v>
      </c>
      <c r="L124" s="93"/>
      <c r="M124" s="93">
        <f t="shared" si="2"/>
        <v>0</v>
      </c>
      <c r="N124" s="67">
        <v>430705000</v>
      </c>
      <c r="O124" s="67">
        <v>23654199.5</v>
      </c>
      <c r="P124" s="83"/>
      <c r="Q124" s="83"/>
      <c r="R124" s="83"/>
      <c r="T124" s="73"/>
      <c r="U124" s="73">
        <v>5.1999999999999998E-2</v>
      </c>
      <c r="V124" s="73"/>
      <c r="W124" s="76"/>
    </row>
    <row r="125" spans="1:24" s="23" customFormat="1" ht="12.75" customHeight="1" x14ac:dyDescent="0.3">
      <c r="A125" s="28">
        <v>2025</v>
      </c>
      <c r="B125" s="28" t="s">
        <v>35</v>
      </c>
      <c r="C125" s="28" t="s">
        <v>14</v>
      </c>
      <c r="D125" s="28" t="s">
        <v>36</v>
      </c>
      <c r="E125" s="28" t="s">
        <v>34</v>
      </c>
      <c r="F125" s="35" t="s">
        <v>63</v>
      </c>
      <c r="G125" s="36">
        <v>777</v>
      </c>
      <c r="H125" s="65">
        <v>637214.01410437236</v>
      </c>
      <c r="I125" s="30">
        <v>0</v>
      </c>
      <c r="J125" s="65">
        <v>18019.102111029948</v>
      </c>
      <c r="K125" s="92">
        <v>0</v>
      </c>
      <c r="L125" s="93"/>
      <c r="M125" s="93">
        <f t="shared" si="2"/>
        <v>0</v>
      </c>
      <c r="N125" s="67">
        <v>903569472</v>
      </c>
      <c r="O125" s="67">
        <v>24668150.789999999</v>
      </c>
      <c r="P125" s="83"/>
      <c r="Q125" s="83"/>
      <c r="R125" s="83"/>
      <c r="T125" s="73"/>
      <c r="U125" s="73">
        <v>2.5999999999999999E-2</v>
      </c>
      <c r="V125" s="73"/>
      <c r="W125" s="76"/>
    </row>
    <row r="126" spans="1:24" s="23" customFormat="1" ht="12.75" customHeight="1" x14ac:dyDescent="0.3">
      <c r="A126" s="28">
        <v>2025</v>
      </c>
      <c r="B126" s="28" t="s">
        <v>35</v>
      </c>
      <c r="C126" s="28" t="s">
        <v>31</v>
      </c>
      <c r="D126" s="28" t="s">
        <v>36</v>
      </c>
      <c r="E126" s="28" t="s">
        <v>34</v>
      </c>
      <c r="F126" s="35" t="s">
        <v>17</v>
      </c>
      <c r="G126" s="36">
        <v>1407.7</v>
      </c>
      <c r="H126" s="65">
        <v>304326.51622002822</v>
      </c>
      <c r="I126" s="30">
        <v>0</v>
      </c>
      <c r="J126" s="65">
        <v>14090.295471146823</v>
      </c>
      <c r="K126" s="92">
        <v>0</v>
      </c>
      <c r="L126" s="93"/>
      <c r="M126" s="93">
        <f t="shared" si="2"/>
        <v>0</v>
      </c>
      <c r="N126" s="67">
        <v>431535000</v>
      </c>
      <c r="O126" s="67">
        <v>19289614.5</v>
      </c>
      <c r="P126" s="83"/>
      <c r="Q126" s="83"/>
      <c r="R126" s="83"/>
      <c r="T126" s="73"/>
      <c r="U126" s="73">
        <v>4.3999999999999997E-2</v>
      </c>
      <c r="V126" s="73"/>
      <c r="W126" s="76"/>
    </row>
    <row r="127" spans="1:24" s="23" customFormat="1" ht="12.75" customHeight="1" x14ac:dyDescent="0.3">
      <c r="A127" s="28">
        <v>2025</v>
      </c>
      <c r="B127" s="28" t="s">
        <v>35</v>
      </c>
      <c r="C127" s="28" t="s">
        <v>31</v>
      </c>
      <c r="D127" s="28" t="s">
        <v>36</v>
      </c>
      <c r="E127" s="28" t="s">
        <v>34</v>
      </c>
      <c r="F127" s="35" t="s">
        <v>50</v>
      </c>
      <c r="G127" s="36">
        <v>74</v>
      </c>
      <c r="H127" s="65">
        <v>47874.975317348377</v>
      </c>
      <c r="I127" s="30">
        <v>0</v>
      </c>
      <c r="J127" s="65">
        <v>2435.9630752373996</v>
      </c>
      <c r="K127" s="92">
        <v>0</v>
      </c>
      <c r="L127" s="93"/>
      <c r="M127" s="93">
        <f t="shared" si="2"/>
        <v>0</v>
      </c>
      <c r="N127" s="67">
        <v>67886715</v>
      </c>
      <c r="O127" s="67">
        <v>3334833.45</v>
      </c>
      <c r="P127" s="83"/>
      <c r="Q127" s="85"/>
      <c r="R127" s="83"/>
      <c r="T127" s="73"/>
      <c r="U127" s="73">
        <v>4.3999999999999997E-2</v>
      </c>
      <c r="V127" s="73"/>
      <c r="W127" s="76"/>
    </row>
    <row r="128" spans="1:24" s="23" customFormat="1" ht="12.75" customHeight="1" x14ac:dyDescent="0.3">
      <c r="A128" s="28">
        <v>2025</v>
      </c>
      <c r="B128" s="28" t="s">
        <v>35</v>
      </c>
      <c r="C128" s="28" t="s">
        <v>14</v>
      </c>
      <c r="D128" s="28" t="s">
        <v>38</v>
      </c>
      <c r="E128" s="28" t="s">
        <v>16</v>
      </c>
      <c r="F128" s="35" t="s">
        <v>19</v>
      </c>
      <c r="G128" s="36">
        <v>409</v>
      </c>
      <c r="H128" s="65">
        <v>211638.75176304654</v>
      </c>
      <c r="I128" s="30">
        <v>0</v>
      </c>
      <c r="J128" s="65">
        <v>6554.4938860482098</v>
      </c>
      <c r="K128" s="92">
        <v>0</v>
      </c>
      <c r="L128" s="93"/>
      <c r="M128" s="93">
        <f t="shared" si="2"/>
        <v>0</v>
      </c>
      <c r="N128" s="67">
        <v>300103750</v>
      </c>
      <c r="O128" s="67">
        <v>8973102.129999999</v>
      </c>
      <c r="P128" s="83"/>
      <c r="Q128" s="83"/>
      <c r="R128" s="83"/>
      <c r="U128" s="73">
        <v>2.1000000000000001E-2</v>
      </c>
      <c r="V128" s="73"/>
      <c r="W128" s="76"/>
      <c r="X128" s="23" t="s">
        <v>1935</v>
      </c>
    </row>
    <row r="129" spans="1:23" s="23" customFormat="1" ht="12.75" customHeight="1" x14ac:dyDescent="0.3">
      <c r="A129" s="28">
        <v>2025</v>
      </c>
      <c r="B129" s="28" t="s">
        <v>35</v>
      </c>
      <c r="C129" s="28" t="s">
        <v>14</v>
      </c>
      <c r="D129" s="28" t="s">
        <v>38</v>
      </c>
      <c r="E129" s="28" t="s">
        <v>16</v>
      </c>
      <c r="F129" s="35" t="s">
        <v>422</v>
      </c>
      <c r="G129" s="36">
        <v>243</v>
      </c>
      <c r="H129" s="65">
        <v>146933.15937940762</v>
      </c>
      <c r="I129" s="30">
        <v>0</v>
      </c>
      <c r="J129" s="65">
        <v>2937.3180131482836</v>
      </c>
      <c r="K129" s="92">
        <v>0</v>
      </c>
      <c r="L129" s="93"/>
      <c r="M129" s="93">
        <f t="shared" si="2"/>
        <v>576.19028913963325</v>
      </c>
      <c r="N129" s="67">
        <v>208351220</v>
      </c>
      <c r="O129" s="67">
        <v>4021188.3600000003</v>
      </c>
      <c r="P129" s="83"/>
      <c r="Q129" s="83"/>
      <c r="R129" s="84">
        <v>817037.83</v>
      </c>
      <c r="U129" s="73">
        <v>2.4E-2</v>
      </c>
      <c r="V129" s="73"/>
      <c r="W129" s="76"/>
    </row>
    <row r="130" spans="1:23" s="23" customFormat="1" ht="12.75" customHeight="1" x14ac:dyDescent="0.3">
      <c r="A130" s="28">
        <v>2025</v>
      </c>
      <c r="B130" s="28" t="s">
        <v>35</v>
      </c>
      <c r="C130" s="28" t="s">
        <v>14</v>
      </c>
      <c r="D130" s="28" t="s">
        <v>38</v>
      </c>
      <c r="E130" s="28" t="s">
        <v>16</v>
      </c>
      <c r="F130" s="35" t="s">
        <v>39</v>
      </c>
      <c r="G130" s="36">
        <v>164</v>
      </c>
      <c r="H130" s="65">
        <v>148678.42031029621</v>
      </c>
      <c r="I130" s="30">
        <v>0</v>
      </c>
      <c r="J130" s="65">
        <v>3670.672023374726</v>
      </c>
      <c r="K130" s="92">
        <v>0</v>
      </c>
      <c r="L130" s="93"/>
      <c r="M130" s="93">
        <f t="shared" si="2"/>
        <v>0</v>
      </c>
      <c r="N130" s="67">
        <v>210826000</v>
      </c>
      <c r="O130" s="67">
        <v>5025150</v>
      </c>
      <c r="P130" s="83"/>
      <c r="Q130" s="83"/>
      <c r="R130" s="83"/>
      <c r="U130" s="73">
        <v>2.5700000000000001E-2</v>
      </c>
      <c r="V130" s="73"/>
      <c r="W130" s="76"/>
    </row>
    <row r="131" spans="1:23" s="23" customFormat="1" ht="12.75" customHeight="1" x14ac:dyDescent="0.3">
      <c r="A131" s="28">
        <v>2025</v>
      </c>
      <c r="B131" s="28" t="s">
        <v>35</v>
      </c>
      <c r="C131" s="28" t="s">
        <v>14</v>
      </c>
      <c r="D131" s="28" t="s">
        <v>38</v>
      </c>
      <c r="E131" s="28" t="s">
        <v>16</v>
      </c>
      <c r="F131" s="24" t="s">
        <v>1927</v>
      </c>
      <c r="G131" s="36">
        <v>117</v>
      </c>
      <c r="H131" s="65">
        <v>69952.468265162199</v>
      </c>
      <c r="I131" s="30">
        <v>0</v>
      </c>
      <c r="J131" s="65">
        <v>1738.9498904309714</v>
      </c>
      <c r="K131" s="92">
        <v>0</v>
      </c>
      <c r="L131" s="93"/>
      <c r="M131" s="93">
        <f t="shared" si="2"/>
        <v>0</v>
      </c>
      <c r="N131" s="67">
        <v>99192600</v>
      </c>
      <c r="O131" s="67">
        <v>2380622.4</v>
      </c>
      <c r="P131" s="83"/>
      <c r="Q131" s="83"/>
      <c r="R131" s="83"/>
      <c r="U131" s="73">
        <v>2.4E-2</v>
      </c>
      <c r="V131" s="73"/>
      <c r="W131" s="76"/>
    </row>
    <row r="132" spans="1:23" s="23" customFormat="1" ht="12.75" customHeight="1" x14ac:dyDescent="0.3">
      <c r="A132" s="28">
        <v>2025</v>
      </c>
      <c r="B132" s="28" t="s">
        <v>35</v>
      </c>
      <c r="C132" s="28" t="s">
        <v>14</v>
      </c>
      <c r="D132" s="28" t="s">
        <v>38</v>
      </c>
      <c r="E132" s="28" t="s">
        <v>16</v>
      </c>
      <c r="F132" s="35" t="s">
        <v>21</v>
      </c>
      <c r="G132" s="36">
        <v>100.5</v>
      </c>
      <c r="H132" s="65">
        <v>111698.1664315938</v>
      </c>
      <c r="I132" s="30">
        <v>0</v>
      </c>
      <c r="J132" s="65">
        <v>1874.2772826880935</v>
      </c>
      <c r="K132" s="92">
        <v>0</v>
      </c>
      <c r="L132" s="93"/>
      <c r="M132" s="93">
        <f t="shared" si="2"/>
        <v>0</v>
      </c>
      <c r="N132" s="67">
        <v>158388000</v>
      </c>
      <c r="O132" s="67">
        <v>2565885.6</v>
      </c>
      <c r="P132" s="83"/>
      <c r="Q132" s="83"/>
      <c r="R132" s="83"/>
      <c r="U132" s="73">
        <v>2.5700000000000001E-2</v>
      </c>
      <c r="V132" s="73"/>
      <c r="W132" s="76"/>
    </row>
    <row r="133" spans="1:23" s="23" customFormat="1" ht="12.75" customHeight="1" x14ac:dyDescent="0.3">
      <c r="A133" s="28">
        <v>2025</v>
      </c>
      <c r="B133" s="28" t="s">
        <v>35</v>
      </c>
      <c r="C133" s="28" t="s">
        <v>14</v>
      </c>
      <c r="D133" s="28" t="s">
        <v>38</v>
      </c>
      <c r="E133" s="28" t="s">
        <v>16</v>
      </c>
      <c r="F133" s="35" t="s">
        <v>66</v>
      </c>
      <c r="G133" s="36">
        <v>419</v>
      </c>
      <c r="H133" s="65">
        <v>118194.64033850493</v>
      </c>
      <c r="I133" s="30">
        <v>0</v>
      </c>
      <c r="J133" s="65">
        <v>2697.2704163623084</v>
      </c>
      <c r="K133" s="92">
        <v>0</v>
      </c>
      <c r="L133" s="93"/>
      <c r="M133" s="93">
        <f t="shared" si="2"/>
        <v>0</v>
      </c>
      <c r="N133" s="67">
        <v>167600000</v>
      </c>
      <c r="O133" s="67">
        <v>3692563.2</v>
      </c>
      <c r="P133" s="83"/>
      <c r="Q133" s="83"/>
      <c r="R133" s="83"/>
      <c r="U133" s="73">
        <v>2.1000000000000001E-2</v>
      </c>
      <c r="V133" s="73"/>
      <c r="W133" s="76"/>
    </row>
    <row r="134" spans="1:23" s="23" customFormat="1" ht="12.75" customHeight="1" x14ac:dyDescent="0.3">
      <c r="A134" s="28">
        <v>2025</v>
      </c>
      <c r="B134" s="28" t="s">
        <v>35</v>
      </c>
      <c r="C134" s="28" t="s">
        <v>14</v>
      </c>
      <c r="D134" s="28" t="s">
        <v>38</v>
      </c>
      <c r="E134" s="28" t="s">
        <v>16</v>
      </c>
      <c r="F134" s="35" t="s">
        <v>23</v>
      </c>
      <c r="G134" s="36">
        <v>1921</v>
      </c>
      <c r="H134" s="65">
        <v>672580.46544428775</v>
      </c>
      <c r="I134" s="30">
        <v>0</v>
      </c>
      <c r="J134" s="65">
        <v>15035.989006574142</v>
      </c>
      <c r="K134" s="92">
        <v>0</v>
      </c>
      <c r="L134" s="93"/>
      <c r="M134" s="93">
        <f t="shared" si="2"/>
        <v>0</v>
      </c>
      <c r="N134" s="67">
        <v>953719100</v>
      </c>
      <c r="O134" s="67">
        <v>20584268.949999999</v>
      </c>
      <c r="P134" s="83"/>
      <c r="Q134" s="83"/>
      <c r="R134" s="83"/>
      <c r="U134" s="73">
        <v>2.1000000000000001E-2</v>
      </c>
      <c r="V134" s="73"/>
      <c r="W134" s="76"/>
    </row>
    <row r="135" spans="1:23" s="23" customFormat="1" ht="12.75" customHeight="1" x14ac:dyDescent="0.3">
      <c r="A135" s="28">
        <v>2025</v>
      </c>
      <c r="B135" s="28" t="s">
        <v>35</v>
      </c>
      <c r="C135" s="28" t="s">
        <v>14</v>
      </c>
      <c r="D135" s="28" t="s">
        <v>38</v>
      </c>
      <c r="E135" s="28" t="s">
        <v>16</v>
      </c>
      <c r="F135" s="35" t="s">
        <v>539</v>
      </c>
      <c r="G135" s="36">
        <v>308</v>
      </c>
      <c r="H135" s="65">
        <v>192348.66008462623</v>
      </c>
      <c r="I135" s="30">
        <v>0</v>
      </c>
      <c r="J135" s="65">
        <v>3183.8163915266623</v>
      </c>
      <c r="K135" s="92">
        <v>0</v>
      </c>
      <c r="L135" s="93"/>
      <c r="M135" s="93">
        <f t="shared" ref="M135:M198" si="3">R135/$P$3</f>
        <v>1574.6681523272214</v>
      </c>
      <c r="N135" s="67">
        <v>272750400</v>
      </c>
      <c r="O135" s="67">
        <v>4358644.6400000006</v>
      </c>
      <c r="P135" s="83"/>
      <c r="Q135" s="83"/>
      <c r="R135" s="84">
        <v>2232879.44</v>
      </c>
      <c r="U135" s="73">
        <v>2.5700000000000001E-2</v>
      </c>
      <c r="V135" s="73"/>
      <c r="W135" s="76"/>
    </row>
    <row r="136" spans="1:23" s="23" customFormat="1" ht="12.75" customHeight="1" x14ac:dyDescent="0.3">
      <c r="A136" s="28">
        <v>2025</v>
      </c>
      <c r="B136" s="28" t="s">
        <v>35</v>
      </c>
      <c r="C136" s="28" t="s">
        <v>14</v>
      </c>
      <c r="D136" s="28" t="s">
        <v>38</v>
      </c>
      <c r="E136" s="28" t="s">
        <v>16</v>
      </c>
      <c r="F136" s="35" t="s">
        <v>24</v>
      </c>
      <c r="G136" s="36">
        <v>447</v>
      </c>
      <c r="H136" s="65">
        <v>302410.66290550068</v>
      </c>
      <c r="I136" s="30">
        <v>0</v>
      </c>
      <c r="J136" s="65">
        <v>5283.2963623082551</v>
      </c>
      <c r="K136" s="92">
        <v>0</v>
      </c>
      <c r="L136" s="93"/>
      <c r="M136" s="93">
        <f t="shared" si="3"/>
        <v>0</v>
      </c>
      <c r="N136" s="67">
        <v>428818320</v>
      </c>
      <c r="O136" s="67">
        <v>7232832.7200000007</v>
      </c>
      <c r="P136" s="83"/>
      <c r="Q136" s="83"/>
      <c r="R136" s="83"/>
      <c r="U136" s="73">
        <v>2.5700000000000001E-2</v>
      </c>
      <c r="V136" s="73"/>
      <c r="W136" s="76"/>
    </row>
    <row r="137" spans="1:23" s="23" customFormat="1" ht="12.75" customHeight="1" x14ac:dyDescent="0.3">
      <c r="A137" s="28">
        <v>2025</v>
      </c>
      <c r="B137" s="28" t="s">
        <v>35</v>
      </c>
      <c r="C137" s="28" t="s">
        <v>14</v>
      </c>
      <c r="D137" s="28" t="s">
        <v>38</v>
      </c>
      <c r="E137" s="28" t="s">
        <v>16</v>
      </c>
      <c r="F137" s="35" t="s">
        <v>29</v>
      </c>
      <c r="G137" s="36">
        <v>195</v>
      </c>
      <c r="H137" s="65">
        <v>139772.91960507756</v>
      </c>
      <c r="I137" s="30">
        <v>0</v>
      </c>
      <c r="J137" s="65">
        <v>5096.1063550036524</v>
      </c>
      <c r="K137" s="92">
        <v>0</v>
      </c>
      <c r="L137" s="93"/>
      <c r="M137" s="93">
        <f t="shared" si="3"/>
        <v>0</v>
      </c>
      <c r="N137" s="67">
        <v>198198000</v>
      </c>
      <c r="O137" s="67">
        <v>6976569.5999999996</v>
      </c>
      <c r="P137" s="83"/>
      <c r="Q137" s="83"/>
      <c r="R137" s="83"/>
      <c r="U137" s="73">
        <v>2.3800000000000002E-2</v>
      </c>
      <c r="V137" s="73"/>
      <c r="W137" s="76"/>
    </row>
    <row r="138" spans="1:23" s="23" customFormat="1" ht="12.75" customHeight="1" x14ac:dyDescent="0.3">
      <c r="A138" s="28">
        <v>2025</v>
      </c>
      <c r="B138" s="28" t="s">
        <v>35</v>
      </c>
      <c r="C138" s="28" t="s">
        <v>14</v>
      </c>
      <c r="D138" s="28" t="s">
        <v>38</v>
      </c>
      <c r="E138" s="28" t="s">
        <v>16</v>
      </c>
      <c r="F138" s="35" t="s">
        <v>43</v>
      </c>
      <c r="G138" s="36">
        <v>124</v>
      </c>
      <c r="H138" s="65">
        <v>103362.48236953455</v>
      </c>
      <c r="I138" s="30">
        <v>0</v>
      </c>
      <c r="J138" s="65">
        <v>2697.9934258582907</v>
      </c>
      <c r="K138" s="92">
        <v>0</v>
      </c>
      <c r="L138" s="93"/>
      <c r="M138" s="93">
        <f t="shared" si="3"/>
        <v>0</v>
      </c>
      <c r="N138" s="67">
        <v>146568000</v>
      </c>
      <c r="O138" s="67">
        <v>3693553</v>
      </c>
      <c r="P138" s="83"/>
      <c r="Q138" s="83"/>
      <c r="R138" s="83"/>
      <c r="U138" s="73">
        <v>2.5700000000000001E-2</v>
      </c>
      <c r="V138" s="73"/>
      <c r="W138" s="76"/>
    </row>
    <row r="139" spans="1:23" s="23" customFormat="1" ht="12.75" customHeight="1" x14ac:dyDescent="0.3">
      <c r="A139" s="28">
        <v>2025</v>
      </c>
      <c r="B139" s="28" t="s">
        <v>35</v>
      </c>
      <c r="C139" s="28" t="s">
        <v>14</v>
      </c>
      <c r="D139" s="28" t="s">
        <v>38</v>
      </c>
      <c r="E139" s="28" t="s">
        <v>16</v>
      </c>
      <c r="F139" s="35" t="s">
        <v>44</v>
      </c>
      <c r="G139" s="36">
        <v>25</v>
      </c>
      <c r="H139" s="65">
        <v>26128.349788434414</v>
      </c>
      <c r="I139" s="30">
        <v>0</v>
      </c>
      <c r="J139" s="65">
        <v>690.12052593133672</v>
      </c>
      <c r="K139" s="92">
        <v>0</v>
      </c>
      <c r="L139" s="93"/>
      <c r="M139" s="93">
        <f t="shared" si="3"/>
        <v>0</v>
      </c>
      <c r="N139" s="67">
        <v>37050000</v>
      </c>
      <c r="O139" s="67">
        <v>944775</v>
      </c>
      <c r="P139" s="83"/>
      <c r="Q139" s="83"/>
      <c r="R139" s="83"/>
      <c r="U139" s="73">
        <v>2.3800000000000002E-2</v>
      </c>
      <c r="V139" s="73"/>
      <c r="W139" s="76"/>
    </row>
    <row r="140" spans="1:23" s="23" customFormat="1" ht="12.75" customHeight="1" x14ac:dyDescent="0.3">
      <c r="A140" s="28">
        <v>2025</v>
      </c>
      <c r="B140" s="28" t="s">
        <v>35</v>
      </c>
      <c r="C140" s="28" t="s">
        <v>14</v>
      </c>
      <c r="D140" s="28" t="s">
        <v>38</v>
      </c>
      <c r="E140" s="28" t="s">
        <v>16</v>
      </c>
      <c r="F140" s="35" t="s">
        <v>170</v>
      </c>
      <c r="G140" s="36">
        <v>98</v>
      </c>
      <c r="H140" s="65">
        <v>57597.461212976021</v>
      </c>
      <c r="I140" s="30">
        <v>0</v>
      </c>
      <c r="J140" s="65">
        <v>1783.8047333820307</v>
      </c>
      <c r="K140" s="92">
        <v>0</v>
      </c>
      <c r="L140" s="93"/>
      <c r="M140" s="93">
        <f t="shared" si="3"/>
        <v>0</v>
      </c>
      <c r="N140" s="67">
        <v>81673200</v>
      </c>
      <c r="O140" s="67">
        <v>2442028.6800000002</v>
      </c>
      <c r="P140" s="83"/>
      <c r="Q140" s="83"/>
      <c r="R140" s="83"/>
      <c r="U140" s="73">
        <v>2.1000000000000001E-2</v>
      </c>
      <c r="V140" s="73"/>
      <c r="W140" s="76"/>
    </row>
    <row r="141" spans="1:23" s="23" customFormat="1" ht="12.75" customHeight="1" x14ac:dyDescent="0.3">
      <c r="A141" s="28">
        <v>2025</v>
      </c>
      <c r="B141" s="28" t="s">
        <v>35</v>
      </c>
      <c r="C141" s="28" t="s">
        <v>14</v>
      </c>
      <c r="D141" s="28" t="s">
        <v>38</v>
      </c>
      <c r="E141" s="28" t="s">
        <v>16</v>
      </c>
      <c r="F141" s="35" t="s">
        <v>45</v>
      </c>
      <c r="G141" s="36">
        <v>43</v>
      </c>
      <c r="H141" s="65">
        <v>34763.892806770098</v>
      </c>
      <c r="I141" s="30">
        <v>0</v>
      </c>
      <c r="J141" s="65">
        <v>918.20861943024113</v>
      </c>
      <c r="K141" s="92">
        <v>0</v>
      </c>
      <c r="L141" s="93"/>
      <c r="M141" s="93">
        <f t="shared" si="3"/>
        <v>0</v>
      </c>
      <c r="N141" s="67">
        <v>49295200</v>
      </c>
      <c r="O141" s="67">
        <v>1257027.6000000001</v>
      </c>
      <c r="P141" s="83"/>
      <c r="Q141" s="83"/>
      <c r="R141" s="83"/>
      <c r="U141" s="73">
        <v>2.3800000000000002E-2</v>
      </c>
      <c r="V141" s="73"/>
      <c r="W141" s="76"/>
    </row>
    <row r="142" spans="1:23" s="23" customFormat="1" ht="12.75" customHeight="1" x14ac:dyDescent="0.3">
      <c r="A142" s="28">
        <v>2025</v>
      </c>
      <c r="B142" s="28" t="s">
        <v>35</v>
      </c>
      <c r="C142" s="28" t="s">
        <v>31</v>
      </c>
      <c r="D142" s="28" t="s">
        <v>38</v>
      </c>
      <c r="E142" s="28" t="s">
        <v>16</v>
      </c>
      <c r="F142" s="35" t="s">
        <v>67</v>
      </c>
      <c r="G142" s="36">
        <v>42</v>
      </c>
      <c r="H142" s="65">
        <v>42799.717912552893</v>
      </c>
      <c r="I142" s="30">
        <v>0</v>
      </c>
      <c r="J142" s="65">
        <v>1183.6544923301681</v>
      </c>
      <c r="K142" s="92">
        <v>0</v>
      </c>
      <c r="L142" s="93"/>
      <c r="M142" s="93">
        <f t="shared" si="3"/>
        <v>0</v>
      </c>
      <c r="N142" s="67">
        <v>60690000</v>
      </c>
      <c r="O142" s="67">
        <v>1620423</v>
      </c>
      <c r="P142" s="83"/>
      <c r="Q142" s="83"/>
      <c r="R142" s="83"/>
      <c r="U142" s="73">
        <v>4.1000000000000002E-2</v>
      </c>
      <c r="V142" s="73"/>
      <c r="W142" s="76"/>
    </row>
    <row r="143" spans="1:23" s="23" customFormat="1" ht="12.75" customHeight="1" x14ac:dyDescent="0.3">
      <c r="A143" s="28">
        <v>2025</v>
      </c>
      <c r="B143" s="28" t="s">
        <v>35</v>
      </c>
      <c r="C143" s="28" t="s">
        <v>31</v>
      </c>
      <c r="D143" s="28" t="s">
        <v>38</v>
      </c>
      <c r="E143" s="28" t="s">
        <v>16</v>
      </c>
      <c r="F143" s="35" t="s">
        <v>178</v>
      </c>
      <c r="G143" s="36">
        <v>60</v>
      </c>
      <c r="H143" s="65">
        <v>42000</v>
      </c>
      <c r="I143" s="30">
        <v>0</v>
      </c>
      <c r="J143" s="65">
        <v>1120</v>
      </c>
      <c r="K143" s="92">
        <v>0</v>
      </c>
      <c r="L143" s="93"/>
      <c r="M143" s="93">
        <f t="shared" si="3"/>
        <v>0</v>
      </c>
      <c r="N143" s="67">
        <v>60690000</v>
      </c>
      <c r="O143" s="67">
        <v>1620423</v>
      </c>
      <c r="P143" s="83"/>
      <c r="Q143" s="83"/>
      <c r="R143" s="83"/>
      <c r="U143" s="73">
        <v>4.5699999999999998E-2</v>
      </c>
      <c r="V143" s="73"/>
      <c r="W143" s="76"/>
    </row>
    <row r="144" spans="1:23" s="23" customFormat="1" ht="12.75" customHeight="1" x14ac:dyDescent="0.3">
      <c r="A144" s="28">
        <v>2025</v>
      </c>
      <c r="B144" s="28" t="s">
        <v>35</v>
      </c>
      <c r="C144" s="28" t="s">
        <v>31</v>
      </c>
      <c r="D144" s="28" t="s">
        <v>38</v>
      </c>
      <c r="E144" s="28" t="s">
        <v>16</v>
      </c>
      <c r="F144" s="35" t="s">
        <v>41</v>
      </c>
      <c r="G144" s="36">
        <v>143</v>
      </c>
      <c r="H144" s="65">
        <v>79466.854724964738</v>
      </c>
      <c r="I144" s="30">
        <v>0</v>
      </c>
      <c r="J144" s="65">
        <v>2683.344338933528</v>
      </c>
      <c r="K144" s="92">
        <v>0</v>
      </c>
      <c r="L144" s="93"/>
      <c r="M144" s="93">
        <f t="shared" si="3"/>
        <v>0</v>
      </c>
      <c r="N144" s="67">
        <v>112684000</v>
      </c>
      <c r="O144" s="67">
        <v>3673498.4</v>
      </c>
      <c r="P144" s="83"/>
      <c r="Q144" s="83"/>
      <c r="R144" s="83"/>
      <c r="U144" s="73">
        <v>4.5699999999999998E-2</v>
      </c>
      <c r="V144" s="73"/>
      <c r="W144" s="76"/>
    </row>
    <row r="145" spans="1:23" s="23" customFormat="1" ht="12.75" customHeight="1" x14ac:dyDescent="0.3">
      <c r="A145" s="28">
        <v>2025</v>
      </c>
      <c r="B145" s="28" t="s">
        <v>35</v>
      </c>
      <c r="C145" s="28" t="s">
        <v>14</v>
      </c>
      <c r="D145" s="28" t="s">
        <v>38</v>
      </c>
      <c r="E145" s="28" t="s">
        <v>32</v>
      </c>
      <c r="F145" s="35" t="s">
        <v>68</v>
      </c>
      <c r="G145" s="36">
        <v>450</v>
      </c>
      <c r="H145" s="65">
        <v>149264.15726375175</v>
      </c>
      <c r="I145" s="30">
        <v>0</v>
      </c>
      <c r="J145" s="65">
        <v>6122</v>
      </c>
      <c r="K145" s="92">
        <v>0</v>
      </c>
      <c r="L145" s="93"/>
      <c r="M145" s="93">
        <f t="shared" si="3"/>
        <v>0</v>
      </c>
      <c r="N145" s="67">
        <v>211656575</v>
      </c>
      <c r="O145" s="67">
        <v>8381600</v>
      </c>
      <c r="P145" s="83"/>
      <c r="Q145" s="86">
        <v>5297370</v>
      </c>
      <c r="R145" s="83"/>
      <c r="T145" s="73"/>
      <c r="U145" s="73">
        <v>4.7E-2</v>
      </c>
      <c r="V145" s="73"/>
      <c r="W145" s="76"/>
    </row>
    <row r="146" spans="1:23" s="23" customFormat="1" ht="12.75" customHeight="1" x14ac:dyDescent="0.3">
      <c r="A146" s="28">
        <v>2025</v>
      </c>
      <c r="B146" s="28" t="s">
        <v>35</v>
      </c>
      <c r="C146" s="28" t="s">
        <v>14</v>
      </c>
      <c r="D146" s="28" t="s">
        <v>38</v>
      </c>
      <c r="E146" s="28" t="s">
        <v>32</v>
      </c>
      <c r="F146" s="35" t="s">
        <v>69</v>
      </c>
      <c r="G146" s="36">
        <v>191</v>
      </c>
      <c r="H146" s="65">
        <v>107930.18335684061</v>
      </c>
      <c r="I146" s="30">
        <v>0</v>
      </c>
      <c r="J146" s="65">
        <v>4158.7100073046022</v>
      </c>
      <c r="K146" s="92">
        <v>0</v>
      </c>
      <c r="L146" s="93"/>
      <c r="M146" s="93">
        <f t="shared" si="3"/>
        <v>0</v>
      </c>
      <c r="N146" s="67">
        <v>153045000</v>
      </c>
      <c r="O146" s="67">
        <v>5693274</v>
      </c>
      <c r="P146" s="83"/>
      <c r="Q146" s="83"/>
      <c r="R146" s="83"/>
      <c r="T146" s="73"/>
      <c r="U146" s="73">
        <v>0.04</v>
      </c>
      <c r="V146" s="73"/>
      <c r="W146" s="76"/>
    </row>
    <row r="147" spans="1:23" s="23" customFormat="1" ht="12.75" customHeight="1" x14ac:dyDescent="0.3">
      <c r="A147" s="28">
        <v>2025</v>
      </c>
      <c r="B147" s="28" t="s">
        <v>35</v>
      </c>
      <c r="C147" s="28" t="s">
        <v>14</v>
      </c>
      <c r="D147" s="28" t="s">
        <v>38</v>
      </c>
      <c r="E147" s="28" t="s">
        <v>32</v>
      </c>
      <c r="F147" s="35" t="s">
        <v>47</v>
      </c>
      <c r="G147" s="36">
        <v>1400</v>
      </c>
      <c r="H147" s="65">
        <v>836801.83356840617</v>
      </c>
      <c r="I147" s="30">
        <v>0</v>
      </c>
      <c r="J147" s="65">
        <v>29836.863403944484</v>
      </c>
      <c r="K147" s="92">
        <v>18632.169466764062</v>
      </c>
      <c r="L147" s="93">
        <v>602.62038714390064</v>
      </c>
      <c r="M147" s="93">
        <f t="shared" si="3"/>
        <v>581.79641043723564</v>
      </c>
      <c r="N147" s="67">
        <v>1186585000</v>
      </c>
      <c r="O147" s="67">
        <v>40846666</v>
      </c>
      <c r="P147" s="85">
        <v>25507440</v>
      </c>
      <c r="Q147" s="83"/>
      <c r="R147" s="84">
        <v>824987.31</v>
      </c>
      <c r="T147" s="73"/>
      <c r="U147" s="73">
        <v>0.04</v>
      </c>
      <c r="V147" s="73"/>
      <c r="W147" s="76"/>
    </row>
    <row r="148" spans="1:23" s="23" customFormat="1" ht="12.75" customHeight="1" x14ac:dyDescent="0.3">
      <c r="A148" s="28">
        <v>2025</v>
      </c>
      <c r="B148" s="28" t="s">
        <v>35</v>
      </c>
      <c r="C148" s="28" t="s">
        <v>14</v>
      </c>
      <c r="D148" s="28" t="s">
        <v>38</v>
      </c>
      <c r="E148" s="28" t="s">
        <v>32</v>
      </c>
      <c r="F148" s="35" t="s">
        <v>1934</v>
      </c>
      <c r="G148" s="36">
        <v>1386</v>
      </c>
      <c r="H148" s="65">
        <v>955152.39774330042</v>
      </c>
      <c r="I148" s="30">
        <v>0</v>
      </c>
      <c r="J148" s="65">
        <v>30240</v>
      </c>
      <c r="K148" s="92">
        <v>0</v>
      </c>
      <c r="L148" s="93"/>
      <c r="M148" s="93">
        <f t="shared" si="3"/>
        <v>0</v>
      </c>
      <c r="N148" s="67">
        <v>1354406100</v>
      </c>
      <c r="O148" s="67">
        <v>46874895.399999999</v>
      </c>
      <c r="P148" s="83"/>
      <c r="Q148" s="83"/>
      <c r="R148" s="83"/>
      <c r="T148" s="73"/>
      <c r="U148" s="73">
        <v>2.9000000000000001E-2</v>
      </c>
      <c r="V148" s="73"/>
      <c r="W148" s="76"/>
    </row>
    <row r="149" spans="1:23" s="23" customFormat="1" ht="12.75" customHeight="1" x14ac:dyDescent="0.3">
      <c r="A149" s="28">
        <v>2025</v>
      </c>
      <c r="B149" s="28" t="s">
        <v>35</v>
      </c>
      <c r="C149" s="28" t="s">
        <v>14</v>
      </c>
      <c r="D149" s="28" t="s">
        <v>38</v>
      </c>
      <c r="E149" s="28" t="s">
        <v>32</v>
      </c>
      <c r="F149" s="35" t="s">
        <v>49</v>
      </c>
      <c r="G149" s="36">
        <v>585</v>
      </c>
      <c r="H149" s="65">
        <v>292575.81100141042</v>
      </c>
      <c r="I149" s="30">
        <v>0</v>
      </c>
      <c r="J149" s="65">
        <v>15552.510226442659</v>
      </c>
      <c r="K149" s="92">
        <v>0</v>
      </c>
      <c r="L149" s="93"/>
      <c r="M149" s="93">
        <f t="shared" si="3"/>
        <v>0</v>
      </c>
      <c r="N149" s="67">
        <v>414872500</v>
      </c>
      <c r="O149" s="67">
        <v>21291386.5</v>
      </c>
      <c r="P149" s="83"/>
      <c r="Q149" s="83"/>
      <c r="R149" s="83"/>
      <c r="T149" s="73"/>
      <c r="U149" s="73">
        <v>0.06</v>
      </c>
      <c r="V149" s="73"/>
      <c r="W149" s="76"/>
    </row>
    <row r="150" spans="1:23" s="23" customFormat="1" ht="12.75" customHeight="1" x14ac:dyDescent="0.3">
      <c r="A150" s="28">
        <v>2025</v>
      </c>
      <c r="B150" s="28" t="s">
        <v>35</v>
      </c>
      <c r="C150" s="28" t="s">
        <v>14</v>
      </c>
      <c r="D150" s="28" t="s">
        <v>38</v>
      </c>
      <c r="E150" s="28" t="s">
        <v>32</v>
      </c>
      <c r="F150" s="35" t="s">
        <v>50</v>
      </c>
      <c r="G150" s="36">
        <v>2350</v>
      </c>
      <c r="H150" s="65">
        <v>1328430.1833568406</v>
      </c>
      <c r="I150" s="30">
        <v>0</v>
      </c>
      <c r="J150" s="65">
        <v>27627.561183345508</v>
      </c>
      <c r="K150" s="92">
        <v>0</v>
      </c>
      <c r="L150" s="93"/>
      <c r="M150" s="93">
        <f t="shared" si="3"/>
        <v>0</v>
      </c>
      <c r="N150" s="67">
        <v>1883714000</v>
      </c>
      <c r="O150" s="67">
        <v>37822131.259999998</v>
      </c>
      <c r="P150" s="83"/>
      <c r="Q150" s="83"/>
      <c r="R150" s="83"/>
      <c r="T150" s="73"/>
      <c r="U150" s="73">
        <v>2.3E-2</v>
      </c>
      <c r="V150" s="73"/>
      <c r="W150" s="76"/>
    </row>
    <row r="151" spans="1:23" s="23" customFormat="1" ht="12.75" customHeight="1" x14ac:dyDescent="0.3">
      <c r="A151" s="28">
        <v>2025</v>
      </c>
      <c r="B151" s="28" t="s">
        <v>35</v>
      </c>
      <c r="C151" s="28" t="s">
        <v>14</v>
      </c>
      <c r="D151" s="28" t="s">
        <v>38</v>
      </c>
      <c r="E151" s="28" t="s">
        <v>32</v>
      </c>
      <c r="F151" s="35" t="s">
        <v>51</v>
      </c>
      <c r="G151" s="36">
        <v>272</v>
      </c>
      <c r="H151" s="65">
        <v>160291.96050775741</v>
      </c>
      <c r="I151" s="30">
        <v>0</v>
      </c>
      <c r="J151" s="65">
        <v>5857.5375456537622</v>
      </c>
      <c r="K151" s="92">
        <v>0</v>
      </c>
      <c r="L151" s="93"/>
      <c r="M151" s="93">
        <f t="shared" si="3"/>
        <v>891.33723554301832</v>
      </c>
      <c r="N151" s="67">
        <v>227294000</v>
      </c>
      <c r="O151" s="67">
        <v>8018968.9000000004</v>
      </c>
      <c r="P151" s="83"/>
      <c r="Q151" s="89">
        <v>2785416.2</v>
      </c>
      <c r="R151" s="84">
        <v>1263916.2</v>
      </c>
      <c r="S151" s="62"/>
      <c r="T151" s="73"/>
      <c r="U151" s="73">
        <v>0.04</v>
      </c>
      <c r="V151" s="73"/>
      <c r="W151" s="76"/>
    </row>
    <row r="152" spans="1:23" s="23" customFormat="1" ht="12.75" customHeight="1" x14ac:dyDescent="0.3">
      <c r="A152" s="28">
        <v>2025</v>
      </c>
      <c r="B152" s="28" t="s">
        <v>35</v>
      </c>
      <c r="C152" s="28" t="s">
        <v>14</v>
      </c>
      <c r="D152" s="28" t="s">
        <v>38</v>
      </c>
      <c r="E152" s="28" t="s">
        <v>32</v>
      </c>
      <c r="F152" s="35" t="s">
        <v>52</v>
      </c>
      <c r="G152" s="36">
        <v>100</v>
      </c>
      <c r="H152" s="65">
        <v>58210.860366713678</v>
      </c>
      <c r="I152" s="30">
        <v>0</v>
      </c>
      <c r="J152" s="65">
        <v>1618.2348429510591</v>
      </c>
      <c r="K152" s="92">
        <v>0</v>
      </c>
      <c r="L152" s="93"/>
      <c r="M152" s="93">
        <f t="shared" si="3"/>
        <v>0</v>
      </c>
      <c r="N152" s="67">
        <v>82543000</v>
      </c>
      <c r="O152" s="67">
        <v>2215363.5</v>
      </c>
      <c r="P152" s="83"/>
      <c r="Q152" s="83"/>
      <c r="R152" s="83"/>
      <c r="T152" s="73"/>
      <c r="U152" s="73">
        <v>2.4500000000000001E-2</v>
      </c>
      <c r="V152" s="73"/>
      <c r="W152" s="76"/>
    </row>
    <row r="153" spans="1:23" s="23" customFormat="1" ht="12.75" customHeight="1" x14ac:dyDescent="0.3">
      <c r="A153" s="28">
        <v>2025</v>
      </c>
      <c r="B153" s="28" t="s">
        <v>35</v>
      </c>
      <c r="C153" s="28" t="s">
        <v>14</v>
      </c>
      <c r="D153" s="28" t="s">
        <v>38</v>
      </c>
      <c r="E153" s="28" t="s">
        <v>33</v>
      </c>
      <c r="F153" s="35" t="s">
        <v>53</v>
      </c>
      <c r="G153" s="36">
        <v>140</v>
      </c>
      <c r="H153" s="65">
        <v>72443.582510578286</v>
      </c>
      <c r="I153" s="30">
        <v>0</v>
      </c>
      <c r="J153" s="65">
        <v>1995.9715120525932</v>
      </c>
      <c r="K153" s="92">
        <v>0</v>
      </c>
      <c r="L153" s="93"/>
      <c r="M153" s="93">
        <f t="shared" si="3"/>
        <v>0</v>
      </c>
      <c r="N153" s="67">
        <v>102725000</v>
      </c>
      <c r="O153" s="67">
        <v>2732485</v>
      </c>
      <c r="P153" s="83"/>
      <c r="Q153" s="83"/>
      <c r="R153" s="83"/>
      <c r="T153" s="73"/>
      <c r="U153" s="73">
        <v>2.8000000000000001E-2</v>
      </c>
      <c r="V153" s="73"/>
      <c r="W153" s="76"/>
    </row>
    <row r="154" spans="1:23" s="23" customFormat="1" ht="12.75" customHeight="1" x14ac:dyDescent="0.3">
      <c r="A154" s="28">
        <v>2025</v>
      </c>
      <c r="B154" s="28" t="s">
        <v>35</v>
      </c>
      <c r="C154" s="28" t="s">
        <v>14</v>
      </c>
      <c r="D154" s="28" t="s">
        <v>38</v>
      </c>
      <c r="E154" s="28" t="s">
        <v>33</v>
      </c>
      <c r="F154" s="35" t="s">
        <v>54</v>
      </c>
      <c r="G154" s="36">
        <v>35</v>
      </c>
      <c r="H154" s="65">
        <v>12418.459097320168</v>
      </c>
      <c r="I154" s="30">
        <v>0</v>
      </c>
      <c r="J154" s="65">
        <v>410.32277574872171</v>
      </c>
      <c r="K154" s="92">
        <v>3540.1873630387145</v>
      </c>
      <c r="L154" s="93">
        <v>631.47652300949596</v>
      </c>
      <c r="M154" s="93">
        <f t="shared" si="3"/>
        <v>609.65540197461212</v>
      </c>
      <c r="N154" s="67">
        <v>17609375</v>
      </c>
      <c r="O154" s="67">
        <v>561731.88</v>
      </c>
      <c r="P154" s="85">
        <v>4846516.5</v>
      </c>
      <c r="Q154" s="83"/>
      <c r="R154" s="84">
        <v>864491.36</v>
      </c>
      <c r="T154" s="73"/>
      <c r="U154" s="73">
        <v>3.1E-2</v>
      </c>
      <c r="V154" s="73"/>
      <c r="W154" s="76"/>
    </row>
    <row r="155" spans="1:23" s="23" customFormat="1" ht="12.75" customHeight="1" x14ac:dyDescent="0.3">
      <c r="A155" s="28">
        <v>2025</v>
      </c>
      <c r="B155" s="28" t="s">
        <v>35</v>
      </c>
      <c r="C155" s="28" t="s">
        <v>14</v>
      </c>
      <c r="D155" s="28" t="s">
        <v>38</v>
      </c>
      <c r="E155" s="28" t="s">
        <v>33</v>
      </c>
      <c r="F155" s="35" t="s">
        <v>1062</v>
      </c>
      <c r="G155" s="36">
        <v>4173</v>
      </c>
      <c r="H155" s="65">
        <v>829998.88857545843</v>
      </c>
      <c r="I155" s="30">
        <v>0</v>
      </c>
      <c r="J155" s="65">
        <v>22340.781176040909</v>
      </c>
      <c r="K155" s="92">
        <v>0</v>
      </c>
      <c r="L155" s="93"/>
      <c r="M155" s="93">
        <f t="shared" si="3"/>
        <v>0</v>
      </c>
      <c r="N155" s="67">
        <v>1176938424</v>
      </c>
      <c r="O155" s="67">
        <v>30584529.430000007</v>
      </c>
      <c r="P155" s="83"/>
      <c r="Q155" s="83"/>
      <c r="R155" s="83"/>
      <c r="T155" s="73"/>
      <c r="U155" s="73">
        <v>2.8000000000000001E-2</v>
      </c>
      <c r="V155" s="73"/>
      <c r="W155" s="76"/>
    </row>
    <row r="156" spans="1:23" s="23" customFormat="1" ht="12.75" customHeight="1" x14ac:dyDescent="0.3">
      <c r="A156" s="95">
        <v>2025</v>
      </c>
      <c r="B156" s="95" t="s">
        <v>35</v>
      </c>
      <c r="C156" s="95" t="s">
        <v>14</v>
      </c>
      <c r="D156" s="95" t="s">
        <v>38</v>
      </c>
      <c r="E156" s="95" t="s">
        <v>33</v>
      </c>
      <c r="F156" s="96" t="s">
        <v>55</v>
      </c>
      <c r="G156" s="97">
        <v>2519</v>
      </c>
      <c r="H156" s="98">
        <v>585361.81241184764</v>
      </c>
      <c r="I156" s="99">
        <v>0</v>
      </c>
      <c r="J156" s="98">
        <v>20041.101358655953</v>
      </c>
      <c r="K156" s="100">
        <v>0</v>
      </c>
      <c r="L156" s="100"/>
      <c r="M156" s="100">
        <f t="shared" si="3"/>
        <v>1565.4231875881524</v>
      </c>
      <c r="N156" s="101">
        <v>830043050</v>
      </c>
      <c r="O156" s="101">
        <v>50780964.760000005</v>
      </c>
      <c r="P156" s="105"/>
      <c r="Q156" s="105"/>
      <c r="R156" s="103">
        <v>2219770.08</v>
      </c>
      <c r="T156" s="73"/>
      <c r="U156" s="104">
        <v>3.1E-2</v>
      </c>
      <c r="V156" s="76"/>
      <c r="W156" s="76"/>
    </row>
    <row r="157" spans="1:23" s="23" customFormat="1" ht="12.75" customHeight="1" x14ac:dyDescent="0.3">
      <c r="A157" s="28">
        <v>2025</v>
      </c>
      <c r="B157" s="28" t="s">
        <v>35</v>
      </c>
      <c r="C157" s="28" t="s">
        <v>14</v>
      </c>
      <c r="D157" s="28" t="s">
        <v>38</v>
      </c>
      <c r="E157" s="28" t="s">
        <v>33</v>
      </c>
      <c r="F157" s="35" t="s">
        <v>56</v>
      </c>
      <c r="G157" s="36">
        <v>2546</v>
      </c>
      <c r="H157" s="65">
        <v>842315.26798307477</v>
      </c>
      <c r="I157" s="30">
        <v>0</v>
      </c>
      <c r="J157" s="65">
        <v>28528.029094229369</v>
      </c>
      <c r="K157" s="92">
        <v>3996.3187143900659</v>
      </c>
      <c r="L157" s="93">
        <v>989.97715120525925</v>
      </c>
      <c r="M157" s="93">
        <f t="shared" si="3"/>
        <v>955.76778561354013</v>
      </c>
      <c r="N157" s="67">
        <v>1194403050</v>
      </c>
      <c r="O157" s="67">
        <v>38054871.829999998</v>
      </c>
      <c r="P157" s="85">
        <v>5470960.3200000003</v>
      </c>
      <c r="Q157" s="86">
        <v>5339670</v>
      </c>
      <c r="R157" s="84">
        <v>1355278.72</v>
      </c>
      <c r="T157" s="73"/>
      <c r="U157" s="73">
        <v>3.1E-2</v>
      </c>
      <c r="V157" s="73"/>
      <c r="W157" s="76"/>
    </row>
    <row r="158" spans="1:23" s="23" customFormat="1" ht="12.75" customHeight="1" x14ac:dyDescent="0.3">
      <c r="A158" s="28">
        <v>2025</v>
      </c>
      <c r="B158" s="28" t="s">
        <v>35</v>
      </c>
      <c r="C158" s="28" t="s">
        <v>14</v>
      </c>
      <c r="D158" s="28" t="s">
        <v>38</v>
      </c>
      <c r="E158" s="28" t="s">
        <v>33</v>
      </c>
      <c r="F158" s="35" t="s">
        <v>57</v>
      </c>
      <c r="G158" s="36">
        <v>3700</v>
      </c>
      <c r="H158" s="65">
        <v>1572907.0662905502</v>
      </c>
      <c r="I158" s="30">
        <v>0</v>
      </c>
      <c r="J158" s="65">
        <v>48747.371804236667</v>
      </c>
      <c r="K158" s="92">
        <v>0</v>
      </c>
      <c r="L158" s="92"/>
      <c r="M158" s="93">
        <f t="shared" si="3"/>
        <v>0</v>
      </c>
      <c r="N158" s="67">
        <v>2230382220</v>
      </c>
      <c r="O158" s="67">
        <v>57080719.980000004</v>
      </c>
      <c r="P158" s="87"/>
      <c r="Q158" s="90"/>
      <c r="R158" s="87"/>
      <c r="S158" s="79"/>
      <c r="T158" s="80"/>
      <c r="U158" s="73">
        <v>2.8000000000000001E-2</v>
      </c>
      <c r="V158" s="73"/>
      <c r="W158" s="76"/>
    </row>
    <row r="159" spans="1:23" s="23" customFormat="1" ht="12.75" customHeight="1" x14ac:dyDescent="0.3">
      <c r="A159" s="28">
        <v>2025</v>
      </c>
      <c r="B159" s="28" t="s">
        <v>35</v>
      </c>
      <c r="C159" s="28" t="s">
        <v>14</v>
      </c>
      <c r="D159" s="28" t="s">
        <v>38</v>
      </c>
      <c r="E159" s="28" t="s">
        <v>33</v>
      </c>
      <c r="F159" s="35" t="s">
        <v>58</v>
      </c>
      <c r="G159" s="36">
        <v>3714</v>
      </c>
      <c r="H159" s="65">
        <v>1278913.3286318758</v>
      </c>
      <c r="I159" s="30">
        <v>0</v>
      </c>
      <c r="J159" s="65">
        <v>32645</v>
      </c>
      <c r="K159" s="92">
        <v>0</v>
      </c>
      <c r="L159" s="93"/>
      <c r="M159" s="93">
        <f t="shared" si="3"/>
        <v>580.12602256699574</v>
      </c>
      <c r="N159" s="67">
        <v>1813499100</v>
      </c>
      <c r="O159" s="67">
        <v>49620646.740000002</v>
      </c>
      <c r="P159" s="83"/>
      <c r="Q159" s="85">
        <v>5262400</v>
      </c>
      <c r="R159" s="84">
        <v>822618.7</v>
      </c>
      <c r="T159" s="73"/>
      <c r="U159" s="73">
        <v>2.8000000000000001E-2</v>
      </c>
      <c r="V159" s="73"/>
      <c r="W159" s="76"/>
    </row>
    <row r="160" spans="1:23" s="23" customFormat="1" ht="12.75" customHeight="1" x14ac:dyDescent="0.3">
      <c r="A160" s="28">
        <v>2025</v>
      </c>
      <c r="B160" s="28" t="s">
        <v>35</v>
      </c>
      <c r="C160" s="28" t="s">
        <v>14</v>
      </c>
      <c r="D160" s="28" t="s">
        <v>38</v>
      </c>
      <c r="E160" s="28" t="s">
        <v>33</v>
      </c>
      <c r="F160" s="35" t="s">
        <v>1637</v>
      </c>
      <c r="G160" s="36">
        <v>2946</v>
      </c>
      <c r="H160" s="65">
        <v>463501.41043723555</v>
      </c>
      <c r="I160" s="30">
        <v>0</v>
      </c>
      <c r="J160" s="65">
        <v>14040.403272461652</v>
      </c>
      <c r="K160" s="92">
        <v>0</v>
      </c>
      <c r="L160" s="93"/>
      <c r="M160" s="93">
        <f t="shared" si="3"/>
        <v>0</v>
      </c>
      <c r="N160" s="67">
        <v>657245000</v>
      </c>
      <c r="O160" s="67">
        <v>20221312.079999998</v>
      </c>
      <c r="P160" s="83"/>
      <c r="Q160" s="83"/>
      <c r="R160" s="83"/>
      <c r="T160" s="73"/>
      <c r="U160" s="73">
        <v>3.6999999999999998E-2</v>
      </c>
      <c r="V160" s="73"/>
      <c r="W160" s="76"/>
    </row>
    <row r="161" spans="1:23" s="23" customFormat="1" ht="12.75" customHeight="1" x14ac:dyDescent="0.3">
      <c r="A161" s="28">
        <v>2025</v>
      </c>
      <c r="B161" s="28" t="s">
        <v>35</v>
      </c>
      <c r="C161" s="28" t="s">
        <v>14</v>
      </c>
      <c r="D161" s="28" t="s">
        <v>38</v>
      </c>
      <c r="E161" s="28" t="s">
        <v>33</v>
      </c>
      <c r="F161" s="35" t="s">
        <v>412</v>
      </c>
      <c r="G161" s="36">
        <v>992</v>
      </c>
      <c r="H161" s="65">
        <v>252634.69675599434</v>
      </c>
      <c r="I161" s="30">
        <v>0</v>
      </c>
      <c r="J161" s="65">
        <v>6725.1446165084008</v>
      </c>
      <c r="K161" s="92">
        <v>0</v>
      </c>
      <c r="L161" s="93"/>
      <c r="M161" s="93">
        <f t="shared" si="3"/>
        <v>0</v>
      </c>
      <c r="N161" s="67">
        <v>358236000</v>
      </c>
      <c r="O161" s="67">
        <v>9206722.9800000004</v>
      </c>
      <c r="P161" s="83"/>
      <c r="Q161" s="83"/>
      <c r="R161" s="83"/>
      <c r="T161" s="73"/>
      <c r="U161" s="73">
        <v>3.6999999999999998E-2</v>
      </c>
      <c r="V161" s="73"/>
      <c r="W161" s="76"/>
    </row>
    <row r="162" spans="1:23" s="23" customFormat="1" ht="12.75" customHeight="1" x14ac:dyDescent="0.3">
      <c r="A162" s="28">
        <v>2025</v>
      </c>
      <c r="B162" s="28" t="s">
        <v>35</v>
      </c>
      <c r="C162" s="28" t="s">
        <v>14</v>
      </c>
      <c r="D162" s="28" t="s">
        <v>38</v>
      </c>
      <c r="E162" s="28" t="s">
        <v>34</v>
      </c>
      <c r="F162" s="35" t="s">
        <v>71</v>
      </c>
      <c r="G162" s="36">
        <v>100</v>
      </c>
      <c r="H162" s="65">
        <v>79744.710860366715</v>
      </c>
      <c r="I162" s="30">
        <v>0</v>
      </c>
      <c r="J162" s="65">
        <v>1978.0584368151935</v>
      </c>
      <c r="K162" s="92">
        <v>0</v>
      </c>
      <c r="L162" s="93"/>
      <c r="M162" s="93">
        <f t="shared" si="3"/>
        <v>0</v>
      </c>
      <c r="N162" s="67">
        <v>113078000</v>
      </c>
      <c r="O162" s="67">
        <v>2707962</v>
      </c>
      <c r="P162" s="83"/>
      <c r="Q162" s="83"/>
      <c r="R162" s="83"/>
      <c r="T162" s="73"/>
      <c r="U162" s="73">
        <v>2.3E-2</v>
      </c>
      <c r="V162" s="73"/>
      <c r="W162" s="76"/>
    </row>
    <row r="163" spans="1:23" s="23" customFormat="1" ht="12.75" customHeight="1" x14ac:dyDescent="0.3">
      <c r="A163" s="28">
        <v>2025</v>
      </c>
      <c r="B163" s="28" t="s">
        <v>35</v>
      </c>
      <c r="C163" s="28" t="s">
        <v>14</v>
      </c>
      <c r="D163" s="28" t="s">
        <v>38</v>
      </c>
      <c r="E163" s="28" t="s">
        <v>34</v>
      </c>
      <c r="F163" s="35" t="s">
        <v>59</v>
      </c>
      <c r="G163" s="36">
        <v>33</v>
      </c>
      <c r="H163" s="65">
        <v>32092.383638928066</v>
      </c>
      <c r="I163" s="30">
        <v>0</v>
      </c>
      <c r="J163" s="65">
        <v>1003.6138349159971</v>
      </c>
      <c r="K163" s="92">
        <v>0</v>
      </c>
      <c r="L163" s="93"/>
      <c r="M163" s="93">
        <f t="shared" si="3"/>
        <v>0</v>
      </c>
      <c r="N163" s="67">
        <v>45507000</v>
      </c>
      <c r="O163" s="67">
        <v>1373947.34</v>
      </c>
      <c r="P163" s="83"/>
      <c r="Q163" s="83"/>
      <c r="R163" s="83"/>
      <c r="T163" s="73"/>
      <c r="U163" s="73">
        <v>2.7E-2</v>
      </c>
      <c r="V163" s="73"/>
      <c r="W163" s="76"/>
    </row>
    <row r="164" spans="1:23" s="23" customFormat="1" ht="12.75" customHeight="1" x14ac:dyDescent="0.3">
      <c r="A164" s="28">
        <v>2025</v>
      </c>
      <c r="B164" s="28" t="s">
        <v>35</v>
      </c>
      <c r="C164" s="28" t="s">
        <v>14</v>
      </c>
      <c r="D164" s="28" t="s">
        <v>38</v>
      </c>
      <c r="E164" s="28" t="s">
        <v>34</v>
      </c>
      <c r="F164" s="35" t="s">
        <v>60</v>
      </c>
      <c r="G164" s="36">
        <v>20</v>
      </c>
      <c r="H164" s="65">
        <v>7052.1861777150916</v>
      </c>
      <c r="I164" s="30">
        <v>0</v>
      </c>
      <c r="J164" s="65">
        <v>204.01753104455807</v>
      </c>
      <c r="K164" s="92">
        <v>0</v>
      </c>
      <c r="L164" s="93"/>
      <c r="M164" s="93">
        <f t="shared" si="3"/>
        <v>0</v>
      </c>
      <c r="N164" s="67">
        <v>10000000</v>
      </c>
      <c r="O164" s="67">
        <v>279300</v>
      </c>
      <c r="P164" s="83"/>
      <c r="Q164" s="83"/>
      <c r="R164" s="83"/>
      <c r="T164" s="73"/>
      <c r="U164" s="73">
        <v>2.7E-2</v>
      </c>
      <c r="V164" s="73"/>
      <c r="W164" s="76"/>
    </row>
    <row r="165" spans="1:23" s="23" customFormat="1" ht="12.75" customHeight="1" x14ac:dyDescent="0.3">
      <c r="A165" s="28">
        <v>2025</v>
      </c>
      <c r="B165" s="28" t="s">
        <v>35</v>
      </c>
      <c r="C165" s="28" t="s">
        <v>14</v>
      </c>
      <c r="D165" s="28" t="s">
        <v>38</v>
      </c>
      <c r="E165" s="28" t="s">
        <v>34</v>
      </c>
      <c r="F165" s="35" t="s">
        <v>61</v>
      </c>
      <c r="G165" s="36">
        <v>152</v>
      </c>
      <c r="H165" s="65">
        <v>136509.16784203102</v>
      </c>
      <c r="I165" s="30">
        <v>0</v>
      </c>
      <c r="J165" s="65">
        <v>3181.9683710737768</v>
      </c>
      <c r="K165" s="92">
        <v>0</v>
      </c>
      <c r="L165" s="93"/>
      <c r="M165" s="93">
        <f t="shared" si="3"/>
        <v>0</v>
      </c>
      <c r="N165" s="67">
        <v>193570000</v>
      </c>
      <c r="O165" s="67">
        <v>4356114.7</v>
      </c>
      <c r="P165" s="83"/>
      <c r="Q165" s="83"/>
      <c r="R165" s="83"/>
      <c r="T165" s="73"/>
      <c r="U165" s="73">
        <v>2.87E-2</v>
      </c>
      <c r="V165" s="73"/>
      <c r="W165" s="76"/>
    </row>
    <row r="166" spans="1:23" s="23" customFormat="1" ht="12.75" customHeight="1" x14ac:dyDescent="0.3">
      <c r="A166" s="28">
        <v>2025</v>
      </c>
      <c r="B166" s="28" t="s">
        <v>35</v>
      </c>
      <c r="C166" s="28" t="s">
        <v>14</v>
      </c>
      <c r="D166" s="28" t="s">
        <v>38</v>
      </c>
      <c r="E166" s="28" t="s">
        <v>34</v>
      </c>
      <c r="F166" s="35" t="s">
        <v>297</v>
      </c>
      <c r="G166" s="36">
        <v>55</v>
      </c>
      <c r="H166" s="65">
        <v>53487.306064880111</v>
      </c>
      <c r="I166" s="30">
        <v>0</v>
      </c>
      <c r="J166" s="65">
        <v>1659.2825054784514</v>
      </c>
      <c r="K166" s="92">
        <v>0</v>
      </c>
      <c r="L166" s="93"/>
      <c r="M166" s="93">
        <f t="shared" si="3"/>
        <v>0</v>
      </c>
      <c r="N166" s="67">
        <v>75845000</v>
      </c>
      <c r="O166" s="67">
        <v>2271557.75</v>
      </c>
      <c r="P166" s="83"/>
      <c r="Q166" s="83"/>
      <c r="R166" s="83"/>
      <c r="T166" s="73"/>
      <c r="U166" s="73">
        <v>2.7E-2</v>
      </c>
      <c r="V166" s="73"/>
      <c r="W166" s="76"/>
    </row>
    <row r="167" spans="1:23" s="23" customFormat="1" ht="12.75" customHeight="1" x14ac:dyDescent="0.3">
      <c r="A167" s="28">
        <v>2025</v>
      </c>
      <c r="B167" s="28" t="s">
        <v>35</v>
      </c>
      <c r="C167" s="28" t="s">
        <v>14</v>
      </c>
      <c r="D167" s="28" t="s">
        <v>38</v>
      </c>
      <c r="E167" s="28" t="s">
        <v>34</v>
      </c>
      <c r="F167" s="35" t="s">
        <v>63</v>
      </c>
      <c r="G167" s="36">
        <v>1128</v>
      </c>
      <c r="H167" s="65">
        <v>957909.02679830743</v>
      </c>
      <c r="I167" s="30">
        <v>0</v>
      </c>
      <c r="J167" s="65">
        <v>17919.229364499635</v>
      </c>
      <c r="K167" s="92">
        <v>0</v>
      </c>
      <c r="L167" s="93"/>
      <c r="M167" s="93">
        <f t="shared" si="3"/>
        <v>0</v>
      </c>
      <c r="N167" s="67">
        <v>1358315000</v>
      </c>
      <c r="O167" s="67">
        <v>24531425</v>
      </c>
      <c r="P167" s="83"/>
      <c r="Q167" s="83"/>
      <c r="R167" s="83"/>
      <c r="T167" s="73"/>
      <c r="U167" s="73">
        <v>2.3E-2</v>
      </c>
      <c r="V167" s="73"/>
      <c r="W167" s="76"/>
    </row>
    <row r="168" spans="1:23" s="23" customFormat="1" ht="12.75" customHeight="1" x14ac:dyDescent="0.3">
      <c r="A168" s="28">
        <v>2025</v>
      </c>
      <c r="B168" s="28" t="s">
        <v>35</v>
      </c>
      <c r="C168" s="28" t="s">
        <v>14</v>
      </c>
      <c r="D168" s="28" t="s">
        <v>64</v>
      </c>
      <c r="E168" s="28" t="s">
        <v>16</v>
      </c>
      <c r="F168" s="35" t="s">
        <v>17</v>
      </c>
      <c r="G168" s="36">
        <v>565</v>
      </c>
      <c r="H168" s="65">
        <v>343078.98448519042</v>
      </c>
      <c r="I168" s="30">
        <v>0</v>
      </c>
      <c r="J168" s="65">
        <v>6460.173046018992</v>
      </c>
      <c r="K168" s="92">
        <v>0</v>
      </c>
      <c r="L168" s="93"/>
      <c r="M168" s="93">
        <f t="shared" si="3"/>
        <v>0</v>
      </c>
      <c r="N168" s="67">
        <v>486486000</v>
      </c>
      <c r="O168" s="67">
        <v>8843976.9000000004</v>
      </c>
      <c r="P168" s="83"/>
      <c r="Q168" s="83"/>
      <c r="R168" s="83"/>
      <c r="U168" s="73">
        <v>2.35E-2</v>
      </c>
      <c r="V168" s="73"/>
      <c r="W168" s="76"/>
    </row>
    <row r="169" spans="1:23" s="23" customFormat="1" ht="12.75" customHeight="1" x14ac:dyDescent="0.3">
      <c r="A169" s="28">
        <v>2025</v>
      </c>
      <c r="B169" s="28" t="s">
        <v>35</v>
      </c>
      <c r="C169" s="28" t="s">
        <v>14</v>
      </c>
      <c r="D169" s="28" t="s">
        <v>64</v>
      </c>
      <c r="E169" s="28" t="s">
        <v>16</v>
      </c>
      <c r="F169" s="35" t="s">
        <v>19</v>
      </c>
      <c r="G169" s="36">
        <v>192</v>
      </c>
      <c r="H169" s="65">
        <v>47932.299012693933</v>
      </c>
      <c r="I169" s="30">
        <v>0</v>
      </c>
      <c r="J169" s="65">
        <v>1176.655661066472</v>
      </c>
      <c r="K169" s="92">
        <v>0</v>
      </c>
      <c r="L169" s="93"/>
      <c r="M169" s="93">
        <f t="shared" si="3"/>
        <v>0</v>
      </c>
      <c r="N169" s="67">
        <v>67968000</v>
      </c>
      <c r="O169" s="67">
        <v>1610841.6</v>
      </c>
      <c r="P169" s="83"/>
      <c r="Q169" s="83"/>
      <c r="R169" s="83"/>
      <c r="U169" s="73">
        <v>2.1999999999999999E-2</v>
      </c>
      <c r="V169" s="73"/>
      <c r="W169" s="76"/>
    </row>
    <row r="170" spans="1:23" s="23" customFormat="1" ht="12.75" customHeight="1" x14ac:dyDescent="0.3">
      <c r="A170" s="28">
        <v>2025</v>
      </c>
      <c r="B170" s="28" t="s">
        <v>35</v>
      </c>
      <c r="C170" s="28" t="s">
        <v>14</v>
      </c>
      <c r="D170" s="28" t="s">
        <v>64</v>
      </c>
      <c r="E170" s="28" t="s">
        <v>16</v>
      </c>
      <c r="F170" s="35" t="s">
        <v>422</v>
      </c>
      <c r="G170" s="36">
        <v>355</v>
      </c>
      <c r="H170" s="65">
        <v>128194.11565585331</v>
      </c>
      <c r="I170" s="30">
        <v>0</v>
      </c>
      <c r="J170" s="65">
        <v>2688.2564645726807</v>
      </c>
      <c r="K170" s="92">
        <v>0</v>
      </c>
      <c r="L170" s="93"/>
      <c r="M170" s="93">
        <f t="shared" si="3"/>
        <v>576.19028913963325</v>
      </c>
      <c r="N170" s="67">
        <v>181779256</v>
      </c>
      <c r="O170" s="67">
        <v>3680223.1</v>
      </c>
      <c r="P170" s="83"/>
      <c r="Q170" s="83"/>
      <c r="R170" s="84">
        <v>817037.83</v>
      </c>
      <c r="U170" s="73">
        <v>2.5000000000000001E-2</v>
      </c>
      <c r="V170" s="73"/>
      <c r="W170" s="76"/>
    </row>
    <row r="171" spans="1:23" s="23" customFormat="1" ht="12.75" customHeight="1" x14ac:dyDescent="0.3">
      <c r="A171" s="28">
        <v>2025</v>
      </c>
      <c r="B171" s="28" t="s">
        <v>35</v>
      </c>
      <c r="C171" s="28" t="s">
        <v>14</v>
      </c>
      <c r="D171" s="28" t="s">
        <v>64</v>
      </c>
      <c r="E171" s="28" t="s">
        <v>16</v>
      </c>
      <c r="F171" s="35" t="s">
        <v>39</v>
      </c>
      <c r="G171" s="36">
        <v>391</v>
      </c>
      <c r="H171" s="65">
        <v>230405.2891396333</v>
      </c>
      <c r="I171" s="30">
        <v>0</v>
      </c>
      <c r="J171" s="65">
        <v>6098.1850328707087</v>
      </c>
      <c r="K171" s="92">
        <v>0</v>
      </c>
      <c r="L171" s="93"/>
      <c r="M171" s="93">
        <f t="shared" si="3"/>
        <v>0</v>
      </c>
      <c r="N171" s="67">
        <v>326714700</v>
      </c>
      <c r="O171" s="67">
        <v>8348415.3100000005</v>
      </c>
      <c r="P171" s="83"/>
      <c r="Q171" s="83"/>
      <c r="R171" s="83"/>
      <c r="U171" s="73">
        <v>2.35E-2</v>
      </c>
      <c r="V171" s="73"/>
      <c r="W171" s="76"/>
    </row>
    <row r="172" spans="1:23" s="23" customFormat="1" ht="12.75" customHeight="1" x14ac:dyDescent="0.3">
      <c r="A172" s="28">
        <v>2025</v>
      </c>
      <c r="B172" s="28" t="s">
        <v>35</v>
      </c>
      <c r="C172" s="28" t="s">
        <v>14</v>
      </c>
      <c r="D172" s="28" t="s">
        <v>64</v>
      </c>
      <c r="E172" s="28" t="s">
        <v>16</v>
      </c>
      <c r="F172" s="24" t="s">
        <v>1927</v>
      </c>
      <c r="G172" s="36">
        <v>178</v>
      </c>
      <c r="H172" s="65">
        <v>106423.41325811001</v>
      </c>
      <c r="I172" s="30">
        <v>0</v>
      </c>
      <c r="J172" s="65">
        <v>2755.8144631117602</v>
      </c>
      <c r="K172" s="92">
        <v>0</v>
      </c>
      <c r="L172" s="93"/>
      <c r="M172" s="93">
        <f t="shared" si="3"/>
        <v>0</v>
      </c>
      <c r="N172" s="67">
        <v>150908400</v>
      </c>
      <c r="O172" s="67">
        <v>3772710</v>
      </c>
      <c r="P172" s="83"/>
      <c r="Q172" s="83"/>
      <c r="R172" s="83"/>
      <c r="U172" s="73">
        <v>2.5000000000000001E-2</v>
      </c>
      <c r="V172" s="73"/>
      <c r="W172" s="76"/>
    </row>
    <row r="173" spans="1:23" s="23" customFormat="1" ht="12.75" customHeight="1" x14ac:dyDescent="0.3">
      <c r="A173" s="28">
        <v>2025</v>
      </c>
      <c r="B173" s="28" t="s">
        <v>35</v>
      </c>
      <c r="C173" s="28" t="s">
        <v>14</v>
      </c>
      <c r="D173" s="28" t="s">
        <v>64</v>
      </c>
      <c r="E173" s="28" t="s">
        <v>16</v>
      </c>
      <c r="F173" s="35" t="s">
        <v>1682</v>
      </c>
      <c r="G173" s="36">
        <v>31</v>
      </c>
      <c r="H173" s="65">
        <v>12985.89562764457</v>
      </c>
      <c r="I173" s="30">
        <v>0</v>
      </c>
      <c r="J173" s="65">
        <v>279.77443389335281</v>
      </c>
      <c r="K173" s="92">
        <v>0</v>
      </c>
      <c r="L173" s="93"/>
      <c r="M173" s="93">
        <f t="shared" si="3"/>
        <v>0</v>
      </c>
      <c r="N173" s="67">
        <v>18414000</v>
      </c>
      <c r="O173" s="67">
        <v>383011.2</v>
      </c>
      <c r="P173" s="83"/>
      <c r="Q173" s="83"/>
      <c r="R173" s="83"/>
      <c r="U173" s="73">
        <v>2.35E-2</v>
      </c>
      <c r="V173" s="73"/>
      <c r="W173" s="76"/>
    </row>
    <row r="174" spans="1:23" ht="12.75" customHeight="1" x14ac:dyDescent="0.3">
      <c r="A174" s="28">
        <v>2025</v>
      </c>
      <c r="B174" s="28" t="s">
        <v>35</v>
      </c>
      <c r="C174" s="28" t="s">
        <v>14</v>
      </c>
      <c r="D174" s="28" t="s">
        <v>64</v>
      </c>
      <c r="E174" s="28" t="s">
        <v>16</v>
      </c>
      <c r="F174" s="35" t="s">
        <v>65</v>
      </c>
      <c r="G174" s="36">
        <v>500</v>
      </c>
      <c r="H174" s="65">
        <v>287993.65303244005</v>
      </c>
      <c r="I174" s="30">
        <v>0</v>
      </c>
      <c r="J174" s="65">
        <v>6024.6092037983926</v>
      </c>
      <c r="K174" s="92">
        <v>0</v>
      </c>
      <c r="L174" s="93"/>
      <c r="M174" s="93">
        <f t="shared" si="3"/>
        <v>0</v>
      </c>
      <c r="N174" s="67">
        <v>408375000</v>
      </c>
      <c r="O174" s="67">
        <v>8247690</v>
      </c>
      <c r="P174" s="85"/>
      <c r="Q174" s="85"/>
      <c r="R174" s="85"/>
      <c r="U174" s="73">
        <v>2.5999999999999999E-2</v>
      </c>
      <c r="V174" s="73"/>
      <c r="W174" s="76"/>
    </row>
    <row r="175" spans="1:23" ht="12.75" customHeight="1" x14ac:dyDescent="0.3">
      <c r="A175" s="28">
        <v>2025</v>
      </c>
      <c r="B175" s="28" t="s">
        <v>35</v>
      </c>
      <c r="C175" s="28" t="s">
        <v>14</v>
      </c>
      <c r="D175" s="28" t="s">
        <v>64</v>
      </c>
      <c r="E175" s="28" t="s">
        <v>16</v>
      </c>
      <c r="F175" s="35" t="s">
        <v>21</v>
      </c>
      <c r="G175" s="36">
        <v>195.5</v>
      </c>
      <c r="H175" s="65">
        <v>128497.5317348378</v>
      </c>
      <c r="I175" s="30">
        <v>0</v>
      </c>
      <c r="J175" s="65">
        <v>2469.5474068663257</v>
      </c>
      <c r="K175" s="92">
        <v>0</v>
      </c>
      <c r="L175" s="93"/>
      <c r="M175" s="93">
        <f t="shared" si="3"/>
        <v>0</v>
      </c>
      <c r="N175" s="67">
        <v>182209500</v>
      </c>
      <c r="O175" s="67">
        <v>3380810.4</v>
      </c>
      <c r="P175" s="85"/>
      <c r="Q175" s="85"/>
      <c r="R175" s="85"/>
      <c r="U175" s="73">
        <v>2.35E-2</v>
      </c>
      <c r="V175" s="73"/>
      <c r="W175" s="76"/>
    </row>
    <row r="176" spans="1:23" ht="13.5" customHeight="1" x14ac:dyDescent="0.3">
      <c r="A176" s="28">
        <v>2025</v>
      </c>
      <c r="B176" s="28" t="s">
        <v>35</v>
      </c>
      <c r="C176" s="28" t="s">
        <v>14</v>
      </c>
      <c r="D176" s="28" t="s">
        <v>64</v>
      </c>
      <c r="E176" s="28" t="s">
        <v>16</v>
      </c>
      <c r="F176" s="35" t="s">
        <v>66</v>
      </c>
      <c r="G176" s="36">
        <v>321</v>
      </c>
      <c r="H176" s="65">
        <v>90550.07052186178</v>
      </c>
      <c r="I176" s="30">
        <v>0</v>
      </c>
      <c r="J176" s="65">
        <v>2171.6388604821036</v>
      </c>
      <c r="K176" s="92">
        <v>0</v>
      </c>
      <c r="L176" s="93"/>
      <c r="M176" s="93">
        <f t="shared" si="3"/>
        <v>0</v>
      </c>
      <c r="N176" s="67">
        <v>128400000</v>
      </c>
      <c r="O176" s="67">
        <v>2972973.6</v>
      </c>
      <c r="P176" s="85"/>
      <c r="Q176" s="85"/>
      <c r="R176" s="85"/>
      <c r="U176" s="73">
        <v>2.1999999999999999E-2</v>
      </c>
      <c r="V176" s="73"/>
      <c r="W176" s="76"/>
    </row>
    <row r="177" spans="1:24" ht="13.5" customHeight="1" x14ac:dyDescent="0.3">
      <c r="A177" s="28">
        <v>2025</v>
      </c>
      <c r="B177" s="28" t="s">
        <v>35</v>
      </c>
      <c r="C177" s="28" t="s">
        <v>14</v>
      </c>
      <c r="D177" s="28" t="s">
        <v>64</v>
      </c>
      <c r="E177" s="28" t="s">
        <v>16</v>
      </c>
      <c r="F177" s="35" t="s">
        <v>22</v>
      </c>
      <c r="G177" s="36">
        <v>246</v>
      </c>
      <c r="H177" s="65">
        <v>128811.70662905501</v>
      </c>
      <c r="I177" s="30">
        <v>0</v>
      </c>
      <c r="J177" s="65">
        <v>2401.5997078159239</v>
      </c>
      <c r="K177" s="92">
        <v>0</v>
      </c>
      <c r="L177" s="93"/>
      <c r="M177" s="93">
        <f t="shared" si="3"/>
        <v>0</v>
      </c>
      <c r="N177" s="67">
        <v>182655000</v>
      </c>
      <c r="O177" s="67">
        <v>3287790</v>
      </c>
      <c r="P177" s="85"/>
      <c r="Q177" s="85"/>
      <c r="R177" s="85"/>
      <c r="U177" s="73">
        <v>2.35E-2</v>
      </c>
      <c r="V177" s="73"/>
      <c r="W177" s="76"/>
    </row>
    <row r="178" spans="1:24" ht="13.5" customHeight="1" x14ac:dyDescent="0.3">
      <c r="A178" s="28">
        <v>2025</v>
      </c>
      <c r="B178" s="28" t="s">
        <v>35</v>
      </c>
      <c r="C178" s="28" t="s">
        <v>14</v>
      </c>
      <c r="D178" s="28" t="s">
        <v>64</v>
      </c>
      <c r="E178" s="28" t="s">
        <v>16</v>
      </c>
      <c r="F178" s="35" t="s">
        <v>155</v>
      </c>
      <c r="G178" s="36">
        <v>46</v>
      </c>
      <c r="H178" s="65">
        <v>33721.438645980255</v>
      </c>
      <c r="I178" s="30">
        <v>0</v>
      </c>
      <c r="J178" s="65">
        <v>688.08911614317014</v>
      </c>
      <c r="K178" s="92">
        <v>0</v>
      </c>
      <c r="L178" s="93"/>
      <c r="M178" s="93">
        <f t="shared" si="3"/>
        <v>0</v>
      </c>
      <c r="N178" s="67">
        <v>47817000</v>
      </c>
      <c r="O178" s="67">
        <v>941994</v>
      </c>
      <c r="P178" s="85"/>
      <c r="Q178" s="85"/>
      <c r="R178" s="85"/>
      <c r="U178" s="73">
        <v>2.35E-2</v>
      </c>
      <c r="V178" s="73"/>
      <c r="W178" s="76"/>
    </row>
    <row r="179" spans="1:24" ht="13.5" customHeight="1" x14ac:dyDescent="0.3">
      <c r="A179" s="28">
        <v>2025</v>
      </c>
      <c r="B179" s="28" t="s">
        <v>35</v>
      </c>
      <c r="C179" s="28" t="s">
        <v>14</v>
      </c>
      <c r="D179" s="28" t="s">
        <v>64</v>
      </c>
      <c r="E179" s="28" t="s">
        <v>16</v>
      </c>
      <c r="F179" s="35" t="s">
        <v>23</v>
      </c>
      <c r="G179" s="36">
        <v>6168</v>
      </c>
      <c r="H179" s="65">
        <v>2830409</v>
      </c>
      <c r="I179" s="30">
        <v>0</v>
      </c>
      <c r="J179" s="65">
        <v>88192</v>
      </c>
      <c r="K179" s="92">
        <v>0</v>
      </c>
      <c r="L179" s="92"/>
      <c r="M179" s="93">
        <f t="shared" si="3"/>
        <v>0</v>
      </c>
      <c r="N179" s="67">
        <v>2961631825</v>
      </c>
      <c r="O179" s="67">
        <v>91630401.689999998</v>
      </c>
      <c r="P179" s="91"/>
      <c r="Q179" s="91"/>
      <c r="R179" s="91"/>
      <c r="S179" s="81"/>
      <c r="T179" s="81"/>
      <c r="U179" s="73">
        <v>2.5000000000000001E-2</v>
      </c>
      <c r="V179" s="73"/>
      <c r="W179" s="76"/>
    </row>
    <row r="180" spans="1:24" ht="13.5" customHeight="1" x14ac:dyDescent="0.3">
      <c r="A180" s="28">
        <v>2025</v>
      </c>
      <c r="B180" s="28" t="s">
        <v>35</v>
      </c>
      <c r="C180" s="28" t="s">
        <v>14</v>
      </c>
      <c r="D180" s="28" t="s">
        <v>64</v>
      </c>
      <c r="E180" s="28" t="s">
        <v>16</v>
      </c>
      <c r="F180" s="35" t="s">
        <v>539</v>
      </c>
      <c r="G180" s="36">
        <v>701</v>
      </c>
      <c r="H180" s="65">
        <v>249734.73201692523</v>
      </c>
      <c r="I180" s="30">
        <v>0</v>
      </c>
      <c r="J180" s="65">
        <v>4475.0653469685894</v>
      </c>
      <c r="K180" s="92">
        <v>0</v>
      </c>
      <c r="L180" s="93"/>
      <c r="M180" s="93">
        <f t="shared" si="3"/>
        <v>2600.1089703808179</v>
      </c>
      <c r="N180" s="67">
        <v>354123850</v>
      </c>
      <c r="O180" s="67">
        <v>6126364.459999999</v>
      </c>
      <c r="P180" s="85"/>
      <c r="Q180" s="85"/>
      <c r="R180" s="84">
        <v>3686954.52</v>
      </c>
      <c r="U180" s="73">
        <v>2.35E-2</v>
      </c>
      <c r="V180" s="73"/>
      <c r="W180" s="76"/>
    </row>
    <row r="181" spans="1:24" ht="13.5" customHeight="1" x14ac:dyDescent="0.3">
      <c r="A181" s="28">
        <v>2025</v>
      </c>
      <c r="B181" s="28" t="s">
        <v>35</v>
      </c>
      <c r="C181" s="28" t="s">
        <v>14</v>
      </c>
      <c r="D181" s="28" t="s">
        <v>64</v>
      </c>
      <c r="E181" s="28" t="s">
        <v>16</v>
      </c>
      <c r="F181" s="35" t="s">
        <v>24</v>
      </c>
      <c r="G181" s="36">
        <v>4779</v>
      </c>
      <c r="H181" s="65">
        <v>1889452</v>
      </c>
      <c r="I181" s="30">
        <v>0</v>
      </c>
      <c r="J181" s="65">
        <v>41990</v>
      </c>
      <c r="K181" s="92">
        <v>0</v>
      </c>
      <c r="L181" s="93"/>
      <c r="M181" s="93">
        <f t="shared" si="3"/>
        <v>0</v>
      </c>
      <c r="N181" s="67">
        <v>2679242936</v>
      </c>
      <c r="O181" s="67">
        <v>59541820</v>
      </c>
      <c r="P181" s="85"/>
      <c r="Q181" s="85"/>
      <c r="R181" s="85"/>
      <c r="U181" s="73">
        <v>2.35E-2</v>
      </c>
      <c r="V181" s="73"/>
      <c r="W181" s="76"/>
    </row>
    <row r="182" spans="1:24" ht="13.5" customHeight="1" x14ac:dyDescent="0.3">
      <c r="A182" s="28">
        <v>2025</v>
      </c>
      <c r="B182" s="28" t="s">
        <v>35</v>
      </c>
      <c r="C182" s="28" t="s">
        <v>14</v>
      </c>
      <c r="D182" s="28" t="s">
        <v>64</v>
      </c>
      <c r="E182" s="28" t="s">
        <v>16</v>
      </c>
      <c r="F182" s="35" t="s">
        <v>25</v>
      </c>
      <c r="G182" s="36">
        <v>557.71</v>
      </c>
      <c r="H182" s="65">
        <v>398381.14174894214</v>
      </c>
      <c r="I182" s="30">
        <v>0</v>
      </c>
      <c r="J182" s="65">
        <v>8170.2756902848796</v>
      </c>
      <c r="K182" s="92">
        <v>0</v>
      </c>
      <c r="L182" s="93"/>
      <c r="M182" s="93">
        <f t="shared" si="3"/>
        <v>0</v>
      </c>
      <c r="N182" s="67">
        <v>564904459</v>
      </c>
      <c r="O182" s="67">
        <v>11185107.42</v>
      </c>
      <c r="P182" s="85"/>
      <c r="Q182" s="85"/>
      <c r="R182" s="85"/>
      <c r="U182" s="73">
        <v>2.5000000000000001E-2</v>
      </c>
      <c r="V182" s="73"/>
      <c r="W182" s="76"/>
    </row>
    <row r="183" spans="1:24" ht="13.5" customHeight="1" x14ac:dyDescent="0.3">
      <c r="A183" s="28">
        <v>2025</v>
      </c>
      <c r="B183" s="28" t="s">
        <v>35</v>
      </c>
      <c r="C183" s="28" t="s">
        <v>14</v>
      </c>
      <c r="D183" s="28" t="s">
        <v>64</v>
      </c>
      <c r="E183" s="28" t="s">
        <v>16</v>
      </c>
      <c r="F183" s="35" t="s">
        <v>42</v>
      </c>
      <c r="G183" s="36">
        <v>160</v>
      </c>
      <c r="H183" s="65">
        <v>60944.992947813822</v>
      </c>
      <c r="I183" s="30">
        <v>0</v>
      </c>
      <c r="J183" s="65">
        <v>1199.4010226442658</v>
      </c>
      <c r="K183" s="92">
        <v>0</v>
      </c>
      <c r="L183" s="93"/>
      <c r="M183" s="93">
        <f t="shared" si="3"/>
        <v>0</v>
      </c>
      <c r="N183" s="67">
        <v>86420000</v>
      </c>
      <c r="O183" s="67">
        <v>1641980</v>
      </c>
      <c r="P183" s="85"/>
      <c r="Q183" s="85"/>
      <c r="R183" s="85"/>
      <c r="U183" s="73">
        <v>2.5999999999999999E-2</v>
      </c>
      <c r="V183" s="73"/>
      <c r="W183" s="76"/>
    </row>
    <row r="184" spans="1:24" ht="13.5" customHeight="1" x14ac:dyDescent="0.3">
      <c r="A184" s="28">
        <v>2025</v>
      </c>
      <c r="B184" s="28" t="s">
        <v>35</v>
      </c>
      <c r="C184" s="28" t="s">
        <v>14</v>
      </c>
      <c r="D184" s="28" t="s">
        <v>64</v>
      </c>
      <c r="E184" s="28" t="s">
        <v>16</v>
      </c>
      <c r="F184" s="35" t="s">
        <v>43</v>
      </c>
      <c r="G184" s="36">
        <v>263</v>
      </c>
      <c r="H184" s="65">
        <v>165255.99435825105</v>
      </c>
      <c r="I184" s="30">
        <v>0</v>
      </c>
      <c r="J184" s="65">
        <v>4313.5507669831995</v>
      </c>
      <c r="K184" s="92">
        <v>0</v>
      </c>
      <c r="L184" s="93"/>
      <c r="M184" s="93">
        <f t="shared" si="3"/>
        <v>0</v>
      </c>
      <c r="N184" s="67">
        <v>234333000</v>
      </c>
      <c r="O184" s="67">
        <v>5905251</v>
      </c>
      <c r="P184" s="85"/>
      <c r="Q184" s="85"/>
      <c r="R184" s="85"/>
      <c r="U184" s="73">
        <v>2.35E-2</v>
      </c>
      <c r="V184" s="73"/>
      <c r="W184" s="76"/>
    </row>
    <row r="185" spans="1:24" ht="13.5" customHeight="1" x14ac:dyDescent="0.3">
      <c r="A185" s="28">
        <v>2025</v>
      </c>
      <c r="B185" s="28" t="s">
        <v>35</v>
      </c>
      <c r="C185" s="28" t="s">
        <v>14</v>
      </c>
      <c r="D185" s="28" t="s">
        <v>64</v>
      </c>
      <c r="E185" s="28" t="s">
        <v>16</v>
      </c>
      <c r="F185" s="35" t="s">
        <v>45</v>
      </c>
      <c r="G185" s="36">
        <v>57</v>
      </c>
      <c r="H185" s="65">
        <v>34561.777150916787</v>
      </c>
      <c r="I185" s="30">
        <v>0</v>
      </c>
      <c r="J185" s="65">
        <v>930.76961285609946</v>
      </c>
      <c r="K185" s="92">
        <v>0</v>
      </c>
      <c r="L185" s="93"/>
      <c r="M185" s="93">
        <f t="shared" si="3"/>
        <v>0</v>
      </c>
      <c r="N185" s="67">
        <v>49008600</v>
      </c>
      <c r="O185" s="67">
        <v>1274223.6000000001</v>
      </c>
      <c r="P185" s="85"/>
      <c r="Q185" s="85"/>
      <c r="R185" s="85"/>
      <c r="U185" s="73">
        <v>2.5999999999999999E-2</v>
      </c>
      <c r="V185" s="73"/>
      <c r="W185" s="76"/>
    </row>
    <row r="186" spans="1:24" ht="13.5" customHeight="1" x14ac:dyDescent="0.3">
      <c r="A186" s="28">
        <v>2025</v>
      </c>
      <c r="B186" s="28" t="s">
        <v>35</v>
      </c>
      <c r="C186" s="28" t="s">
        <v>1903</v>
      </c>
      <c r="D186" s="28" t="s">
        <v>64</v>
      </c>
      <c r="E186" s="28" t="s">
        <v>16</v>
      </c>
      <c r="F186" s="35" t="s">
        <v>23</v>
      </c>
      <c r="G186" s="36">
        <v>983</v>
      </c>
      <c r="H186" s="65">
        <v>118611.63610719323</v>
      </c>
      <c r="I186" s="30">
        <v>71166.981664315943</v>
      </c>
      <c r="J186" s="65">
        <v>4521.1402483564643</v>
      </c>
      <c r="K186" s="92">
        <v>0</v>
      </c>
      <c r="L186" s="93"/>
      <c r="M186" s="93">
        <f t="shared" si="3"/>
        <v>0</v>
      </c>
      <c r="N186" s="67">
        <v>168191300</v>
      </c>
      <c r="O186" s="67">
        <v>6189441</v>
      </c>
      <c r="P186" s="85"/>
      <c r="Q186" s="85"/>
      <c r="R186" s="85"/>
      <c r="U186" s="73">
        <v>3.6999999999999998E-2</v>
      </c>
      <c r="V186" s="73"/>
      <c r="W186" s="76"/>
    </row>
    <row r="187" spans="1:24" ht="13.5" customHeight="1" x14ac:dyDescent="0.3">
      <c r="A187" s="28">
        <v>2025</v>
      </c>
      <c r="B187" s="28" t="s">
        <v>35</v>
      </c>
      <c r="C187" s="28" t="s">
        <v>14</v>
      </c>
      <c r="D187" s="28" t="s">
        <v>64</v>
      </c>
      <c r="E187" s="28" t="s">
        <v>32</v>
      </c>
      <c r="F187" s="35" t="s">
        <v>68</v>
      </c>
      <c r="G187" s="36">
        <v>1464</v>
      </c>
      <c r="H187" s="65">
        <v>353615.30324400566</v>
      </c>
      <c r="I187" s="30">
        <v>0</v>
      </c>
      <c r="J187" s="65">
        <v>12271.14150474799</v>
      </c>
      <c r="K187" s="92">
        <v>0</v>
      </c>
      <c r="L187" s="93"/>
      <c r="M187" s="93">
        <f t="shared" si="3"/>
        <v>0</v>
      </c>
      <c r="N187" s="67">
        <v>501426500</v>
      </c>
      <c r="O187" s="67">
        <v>21799192.719999999</v>
      </c>
      <c r="P187" s="85"/>
      <c r="Q187" s="84">
        <v>5297370</v>
      </c>
      <c r="R187" s="85"/>
      <c r="T187" s="73"/>
      <c r="U187" s="73">
        <v>5.1999999999999998E-2</v>
      </c>
      <c r="V187" s="73"/>
      <c r="W187" s="76"/>
      <c r="X187" s="2" t="s">
        <v>1935</v>
      </c>
    </row>
    <row r="188" spans="1:24" ht="13.5" customHeight="1" x14ac:dyDescent="0.3">
      <c r="A188" s="28">
        <v>2025</v>
      </c>
      <c r="B188" s="28" t="s">
        <v>35</v>
      </c>
      <c r="C188" s="28" t="s">
        <v>14</v>
      </c>
      <c r="D188" s="28" t="s">
        <v>64</v>
      </c>
      <c r="E188" s="28" t="s">
        <v>32</v>
      </c>
      <c r="F188" s="35" t="s">
        <v>69</v>
      </c>
      <c r="G188" s="36">
        <v>326</v>
      </c>
      <c r="H188" s="65">
        <v>136561.35401974613</v>
      </c>
      <c r="I188" s="30">
        <v>0</v>
      </c>
      <c r="J188" s="65">
        <v>7638.2585829072314</v>
      </c>
      <c r="K188" s="92">
        <v>0</v>
      </c>
      <c r="L188" s="93"/>
      <c r="M188" s="93">
        <f t="shared" si="3"/>
        <v>0</v>
      </c>
      <c r="N188" s="67">
        <v>193644000</v>
      </c>
      <c r="O188" s="67">
        <v>10456776</v>
      </c>
      <c r="P188" s="85"/>
      <c r="Q188" s="84"/>
      <c r="R188" s="85"/>
      <c r="T188" s="73"/>
      <c r="U188" s="73">
        <v>4.1500000000000002E-2</v>
      </c>
      <c r="V188" s="73"/>
      <c r="W188" s="76"/>
    </row>
    <row r="189" spans="1:24" ht="13.5" customHeight="1" x14ac:dyDescent="0.3">
      <c r="A189" s="28">
        <v>2025</v>
      </c>
      <c r="B189" s="28" t="s">
        <v>35</v>
      </c>
      <c r="C189" s="28" t="s">
        <v>14</v>
      </c>
      <c r="D189" s="28" t="s">
        <v>64</v>
      </c>
      <c r="E189" s="28" t="s">
        <v>32</v>
      </c>
      <c r="F189" s="35" t="s">
        <v>47</v>
      </c>
      <c r="G189" s="36">
        <v>2669</v>
      </c>
      <c r="H189" s="65">
        <v>1121616.2905500706</v>
      </c>
      <c r="I189" s="30">
        <v>0</v>
      </c>
      <c r="J189" s="65">
        <v>44185.676785975164</v>
      </c>
      <c r="K189" s="92">
        <v>0</v>
      </c>
      <c r="L189" s="93"/>
      <c r="M189" s="93">
        <f t="shared" si="3"/>
        <v>0</v>
      </c>
      <c r="N189" s="67">
        <v>1590451900</v>
      </c>
      <c r="O189" s="67">
        <v>60490191.519999996</v>
      </c>
      <c r="P189" s="85"/>
      <c r="Q189" s="84"/>
      <c r="R189" s="85"/>
      <c r="T189" s="73"/>
      <c r="U189" s="73">
        <v>4.1500000000000002E-2</v>
      </c>
      <c r="V189" s="73"/>
      <c r="W189" s="76"/>
    </row>
    <row r="190" spans="1:24" ht="13.5" customHeight="1" x14ac:dyDescent="0.3">
      <c r="A190" s="28">
        <v>2025</v>
      </c>
      <c r="B190" s="28" t="s">
        <v>35</v>
      </c>
      <c r="C190" s="28" t="s">
        <v>14</v>
      </c>
      <c r="D190" s="28" t="s">
        <v>64</v>
      </c>
      <c r="E190" s="28" t="s">
        <v>32</v>
      </c>
      <c r="F190" s="35" t="s">
        <v>1934</v>
      </c>
      <c r="G190" s="36">
        <v>5400.5</v>
      </c>
      <c r="H190" s="65">
        <v>3095177.1579689705</v>
      </c>
      <c r="I190" s="30">
        <v>0</v>
      </c>
      <c r="J190" s="65">
        <v>93804</v>
      </c>
      <c r="K190" s="92">
        <v>0</v>
      </c>
      <c r="L190" s="93"/>
      <c r="M190" s="93">
        <f t="shared" si="3"/>
        <v>0</v>
      </c>
      <c r="N190" s="67">
        <v>4388961210</v>
      </c>
      <c r="O190" s="67">
        <v>162593769.45000002</v>
      </c>
      <c r="P190" s="85"/>
      <c r="Q190" s="84"/>
      <c r="R190" s="85"/>
      <c r="T190" s="73"/>
      <c r="U190" s="73">
        <v>0.03</v>
      </c>
      <c r="V190" s="73"/>
      <c r="W190" s="76"/>
    </row>
    <row r="191" spans="1:24" ht="13.5" customHeight="1" x14ac:dyDescent="0.3">
      <c r="A191" s="28">
        <v>2025</v>
      </c>
      <c r="B191" s="28" t="s">
        <v>35</v>
      </c>
      <c r="C191" s="28" t="s">
        <v>14</v>
      </c>
      <c r="D191" s="28" t="s">
        <v>64</v>
      </c>
      <c r="E191" s="28" t="s">
        <v>32</v>
      </c>
      <c r="F191" s="35" t="s">
        <v>49</v>
      </c>
      <c r="G191" s="36">
        <v>3648.92</v>
      </c>
      <c r="H191" s="65">
        <v>1310362.1121297602</v>
      </c>
      <c r="I191" s="30">
        <v>0</v>
      </c>
      <c r="J191" s="65">
        <v>86293.66891891892</v>
      </c>
      <c r="K191" s="92">
        <v>0</v>
      </c>
      <c r="L191" s="92"/>
      <c r="M191" s="93">
        <f t="shared" si="3"/>
        <v>4101.0509732016917</v>
      </c>
      <c r="N191" s="67">
        <v>1858093475</v>
      </c>
      <c r="O191" s="67">
        <v>118136032.75</v>
      </c>
      <c r="P191" s="91"/>
      <c r="Q191" s="84">
        <v>35675290.280000001</v>
      </c>
      <c r="R191" s="88">
        <v>5815290.2799999993</v>
      </c>
      <c r="S191" s="82"/>
      <c r="T191" s="80"/>
      <c r="U191" s="73">
        <v>6.2E-2</v>
      </c>
      <c r="V191" s="73"/>
      <c r="W191" s="76"/>
    </row>
    <row r="192" spans="1:24" ht="13.5" customHeight="1" x14ac:dyDescent="0.3">
      <c r="A192" s="28">
        <v>2025</v>
      </c>
      <c r="B192" s="28" t="s">
        <v>35</v>
      </c>
      <c r="C192" s="28" t="s">
        <v>14</v>
      </c>
      <c r="D192" s="28" t="s">
        <v>64</v>
      </c>
      <c r="E192" s="28" t="s">
        <v>32</v>
      </c>
      <c r="F192" s="35" t="s">
        <v>266</v>
      </c>
      <c r="G192" s="36">
        <v>150</v>
      </c>
      <c r="H192" s="65">
        <v>62834.978843441466</v>
      </c>
      <c r="I192" s="30">
        <v>0</v>
      </c>
      <c r="J192" s="65">
        <v>2414.6165084002923</v>
      </c>
      <c r="K192" s="92">
        <v>0</v>
      </c>
      <c r="L192" s="93"/>
      <c r="M192" s="93">
        <f t="shared" si="3"/>
        <v>799.03635401974611</v>
      </c>
      <c r="N192" s="67">
        <v>89100000</v>
      </c>
      <c r="O192" s="67">
        <v>3305610</v>
      </c>
      <c r="P192" s="85"/>
      <c r="Q192" s="84"/>
      <c r="R192" s="84">
        <v>1133033.55</v>
      </c>
      <c r="T192" s="73"/>
      <c r="U192" s="73">
        <v>3.5000000000000003E-2</v>
      </c>
      <c r="V192" s="73"/>
      <c r="W192" s="76"/>
    </row>
    <row r="193" spans="1:23" ht="13.5" customHeight="1" x14ac:dyDescent="0.3">
      <c r="A193" s="28">
        <v>2025</v>
      </c>
      <c r="B193" s="28" t="s">
        <v>35</v>
      </c>
      <c r="C193" s="28" t="s">
        <v>14</v>
      </c>
      <c r="D193" s="28" t="s">
        <v>64</v>
      </c>
      <c r="E193" s="28" t="s">
        <v>32</v>
      </c>
      <c r="F193" s="35" t="s">
        <v>1895</v>
      </c>
      <c r="G193" s="36">
        <v>528</v>
      </c>
      <c r="H193" s="65">
        <v>38673.728631875885</v>
      </c>
      <c r="I193" s="30">
        <v>0</v>
      </c>
      <c r="J193" s="65">
        <v>1862.6963623082545</v>
      </c>
      <c r="K193" s="92">
        <v>0</v>
      </c>
      <c r="L193" s="93"/>
      <c r="M193" s="93">
        <f t="shared" si="3"/>
        <v>0</v>
      </c>
      <c r="N193" s="67">
        <v>54839347.200000003</v>
      </c>
      <c r="O193" s="67">
        <v>2550031.3200000003</v>
      </c>
      <c r="P193" s="85"/>
      <c r="Q193" s="84"/>
      <c r="R193" s="85"/>
      <c r="T193" s="73"/>
      <c r="U193" s="73">
        <v>0.06</v>
      </c>
      <c r="V193" s="73"/>
      <c r="W193" s="76"/>
    </row>
    <row r="194" spans="1:23" ht="13.5" customHeight="1" x14ac:dyDescent="0.3">
      <c r="A194" s="28">
        <v>2025</v>
      </c>
      <c r="B194" s="28" t="s">
        <v>35</v>
      </c>
      <c r="C194" s="28" t="s">
        <v>14</v>
      </c>
      <c r="D194" s="28" t="s">
        <v>64</v>
      </c>
      <c r="E194" s="28" t="s">
        <v>32</v>
      </c>
      <c r="F194" s="35" t="s">
        <v>70</v>
      </c>
      <c r="G194" s="36">
        <v>128</v>
      </c>
      <c r="H194" s="65">
        <v>40214.386459802539</v>
      </c>
      <c r="I194" s="30">
        <v>0</v>
      </c>
      <c r="J194" s="65">
        <v>1728.6311176040906</v>
      </c>
      <c r="K194" s="92">
        <v>0</v>
      </c>
      <c r="L194" s="93"/>
      <c r="M194" s="93">
        <f t="shared" si="3"/>
        <v>755.97019746121293</v>
      </c>
      <c r="N194" s="67">
        <v>57024000</v>
      </c>
      <c r="O194" s="67">
        <v>2366496</v>
      </c>
      <c r="P194" s="85"/>
      <c r="Q194" s="84">
        <v>6331965.7400000002</v>
      </c>
      <c r="R194" s="84">
        <v>1071965.74</v>
      </c>
      <c r="S194" s="62"/>
      <c r="T194" s="73"/>
      <c r="U194" s="73">
        <v>4.1500000000000002E-2</v>
      </c>
      <c r="V194" s="73"/>
      <c r="W194" s="76"/>
    </row>
    <row r="195" spans="1:23" ht="13.5" customHeight="1" x14ac:dyDescent="0.3">
      <c r="A195" s="28">
        <v>2025</v>
      </c>
      <c r="B195" s="28" t="s">
        <v>35</v>
      </c>
      <c r="C195" s="28" t="s">
        <v>14</v>
      </c>
      <c r="D195" s="28" t="s">
        <v>64</v>
      </c>
      <c r="E195" s="28" t="s">
        <v>32</v>
      </c>
      <c r="F195" s="35" t="s">
        <v>50</v>
      </c>
      <c r="G195" s="36">
        <v>1525</v>
      </c>
      <c r="H195" s="65">
        <v>571756.41748942167</v>
      </c>
      <c r="I195" s="30">
        <v>0</v>
      </c>
      <c r="J195" s="65">
        <v>13096.349883126368</v>
      </c>
      <c r="K195" s="92">
        <v>0</v>
      </c>
      <c r="L195" s="93"/>
      <c r="M195" s="93">
        <f t="shared" si="3"/>
        <v>0</v>
      </c>
      <c r="N195" s="67">
        <v>810750600</v>
      </c>
      <c r="O195" s="67">
        <v>17928902.989999998</v>
      </c>
      <c r="P195" s="85"/>
      <c r="Q195" s="84"/>
      <c r="R195" s="85"/>
      <c r="T195" s="73"/>
      <c r="U195" s="73">
        <v>2.4E-2</v>
      </c>
      <c r="V195" s="73"/>
      <c r="W195" s="76"/>
    </row>
    <row r="196" spans="1:23" ht="13.5" customHeight="1" x14ac:dyDescent="0.3">
      <c r="A196" s="28">
        <v>2025</v>
      </c>
      <c r="B196" s="28" t="s">
        <v>35</v>
      </c>
      <c r="C196" s="28" t="s">
        <v>14</v>
      </c>
      <c r="D196" s="28" t="s">
        <v>64</v>
      </c>
      <c r="E196" s="28" t="s">
        <v>32</v>
      </c>
      <c r="F196" s="35" t="s">
        <v>1338</v>
      </c>
      <c r="G196" s="36">
        <v>530</v>
      </c>
      <c r="H196" s="65">
        <v>77906.822990126937</v>
      </c>
      <c r="I196" s="30">
        <v>0</v>
      </c>
      <c r="J196" s="65">
        <v>3752.3370270270266</v>
      </c>
      <c r="K196" s="92">
        <v>0</v>
      </c>
      <c r="L196" s="93"/>
      <c r="M196" s="93">
        <f t="shared" si="3"/>
        <v>0</v>
      </c>
      <c r="N196" s="67">
        <v>110471875</v>
      </c>
      <c r="O196" s="67">
        <v>5136949.3899999997</v>
      </c>
      <c r="P196" s="85"/>
      <c r="Q196" s="84"/>
      <c r="R196" s="85"/>
      <c r="T196" s="73"/>
      <c r="U196" s="73">
        <v>0.06</v>
      </c>
      <c r="V196" s="73"/>
      <c r="W196" s="76"/>
    </row>
    <row r="197" spans="1:23" ht="13.5" customHeight="1" x14ac:dyDescent="0.3">
      <c r="A197" s="28">
        <v>2025</v>
      </c>
      <c r="B197" s="28" t="s">
        <v>35</v>
      </c>
      <c r="C197" s="28" t="s">
        <v>14</v>
      </c>
      <c r="D197" s="28" t="s">
        <v>64</v>
      </c>
      <c r="E197" s="28" t="s">
        <v>32</v>
      </c>
      <c r="F197" s="35" t="s">
        <v>51</v>
      </c>
      <c r="G197" s="36">
        <v>3801</v>
      </c>
      <c r="H197" s="65">
        <v>1405092.1368124119</v>
      </c>
      <c r="I197" s="30">
        <v>0</v>
      </c>
      <c r="J197" s="65">
        <v>78156.539517896264</v>
      </c>
      <c r="K197" s="92">
        <v>3095.7487216946674</v>
      </c>
      <c r="L197" s="92">
        <v>5215.7321402483567</v>
      </c>
      <c r="M197" s="93">
        <f t="shared" si="3"/>
        <v>5035.4988011283504</v>
      </c>
      <c r="N197" s="67">
        <v>1992420650</v>
      </c>
      <c r="O197" s="67">
        <v>106996302.59999999</v>
      </c>
      <c r="P197" s="91">
        <v>4238080</v>
      </c>
      <c r="Q197" s="84">
        <v>22290162</v>
      </c>
      <c r="R197" s="88">
        <v>7140337.3000000007</v>
      </c>
      <c r="S197" s="82"/>
      <c r="T197" s="80"/>
      <c r="U197" s="73">
        <v>4.1500000000000002E-2</v>
      </c>
      <c r="V197" s="73"/>
      <c r="W197" s="76"/>
    </row>
    <row r="198" spans="1:23" ht="13.5" customHeight="1" x14ac:dyDescent="0.3">
      <c r="A198" s="28">
        <v>2025</v>
      </c>
      <c r="B198" s="28" t="s">
        <v>35</v>
      </c>
      <c r="C198" s="28" t="s">
        <v>14</v>
      </c>
      <c r="D198" s="28" t="s">
        <v>64</v>
      </c>
      <c r="E198" s="28" t="s">
        <v>32</v>
      </c>
      <c r="F198" s="35" t="s">
        <v>52</v>
      </c>
      <c r="G198" s="36">
        <v>195</v>
      </c>
      <c r="H198" s="65">
        <v>79067.348377997172</v>
      </c>
      <c r="I198" s="30">
        <v>0</v>
      </c>
      <c r="J198" s="65">
        <v>2107.2030679327977</v>
      </c>
      <c r="K198" s="92">
        <v>0</v>
      </c>
      <c r="L198" s="93"/>
      <c r="M198" s="93">
        <f t="shared" si="3"/>
        <v>0</v>
      </c>
      <c r="N198" s="67">
        <v>112117500</v>
      </c>
      <c r="O198" s="67">
        <v>2884761</v>
      </c>
      <c r="P198" s="85"/>
      <c r="Q198" s="84"/>
      <c r="R198" s="85"/>
      <c r="T198" s="73"/>
      <c r="U198" s="73">
        <v>2.5999999999999999E-2</v>
      </c>
      <c r="V198" s="73"/>
      <c r="W198" s="76"/>
    </row>
    <row r="199" spans="1:23" ht="13.5" customHeight="1" x14ac:dyDescent="0.3">
      <c r="A199" s="28">
        <v>2025</v>
      </c>
      <c r="B199" s="28" t="s">
        <v>35</v>
      </c>
      <c r="C199" s="28" t="s">
        <v>14</v>
      </c>
      <c r="D199" s="28" t="s">
        <v>64</v>
      </c>
      <c r="E199" s="28" t="s">
        <v>33</v>
      </c>
      <c r="F199" s="35" t="s">
        <v>1062</v>
      </c>
      <c r="G199" s="36">
        <v>254</v>
      </c>
      <c r="H199" s="65">
        <v>64798.660084626237</v>
      </c>
      <c r="I199" s="30">
        <v>0</v>
      </c>
      <c r="J199" s="65">
        <v>1724.9423813002193</v>
      </c>
      <c r="K199" s="92">
        <v>0</v>
      </c>
      <c r="L199" s="93"/>
      <c r="M199" s="93">
        <f t="shared" ref="M199:M215" si="4">R199/$P$3</f>
        <v>0</v>
      </c>
      <c r="N199" s="67">
        <v>91884500</v>
      </c>
      <c r="O199" s="67">
        <v>2361446.12</v>
      </c>
      <c r="P199" s="85"/>
      <c r="Q199" s="84"/>
      <c r="R199" s="85"/>
      <c r="T199" s="73"/>
      <c r="U199" s="73">
        <v>2.9000000000000001E-2</v>
      </c>
      <c r="V199" s="73"/>
      <c r="W199" s="76"/>
    </row>
    <row r="200" spans="1:23" ht="13.5" customHeight="1" x14ac:dyDescent="0.3">
      <c r="A200" s="95">
        <v>2025</v>
      </c>
      <c r="B200" s="95" t="s">
        <v>35</v>
      </c>
      <c r="C200" s="95" t="s">
        <v>14</v>
      </c>
      <c r="D200" s="95" t="s">
        <v>64</v>
      </c>
      <c r="E200" s="95" t="s">
        <v>33</v>
      </c>
      <c r="F200" s="96" t="s">
        <v>55</v>
      </c>
      <c r="G200" s="97">
        <v>3520</v>
      </c>
      <c r="H200" s="98">
        <v>1730892</v>
      </c>
      <c r="I200" s="99">
        <v>0</v>
      </c>
      <c r="J200" s="98">
        <v>58940</v>
      </c>
      <c r="K200" s="100">
        <v>0</v>
      </c>
      <c r="L200" s="100"/>
      <c r="M200" s="100">
        <f t="shared" si="4"/>
        <v>477.88389280677006</v>
      </c>
      <c r="N200" s="101">
        <v>3506294050</v>
      </c>
      <c r="O200" s="101">
        <v>124855203.21999998</v>
      </c>
      <c r="P200" s="102"/>
      <c r="Q200" s="103">
        <v>678000</v>
      </c>
      <c r="R200" s="103">
        <v>677639.36</v>
      </c>
      <c r="S200" s="81"/>
      <c r="T200" s="80"/>
      <c r="U200" s="104">
        <v>3.2000000000000001E-2</v>
      </c>
      <c r="V200" s="76">
        <f>+H200/G200</f>
        <v>491.73068181818184</v>
      </c>
      <c r="W200" s="76"/>
    </row>
    <row r="201" spans="1:23" ht="13.5" customHeight="1" x14ac:dyDescent="0.3">
      <c r="A201" s="28">
        <v>2025</v>
      </c>
      <c r="B201" s="28" t="s">
        <v>35</v>
      </c>
      <c r="C201" s="28" t="s">
        <v>14</v>
      </c>
      <c r="D201" s="28" t="s">
        <v>64</v>
      </c>
      <c r="E201" s="28" t="s">
        <v>33</v>
      </c>
      <c r="F201" s="35" t="s">
        <v>56</v>
      </c>
      <c r="G201" s="36">
        <v>3715</v>
      </c>
      <c r="H201" s="65">
        <v>1235797.9019746121</v>
      </c>
      <c r="I201" s="30">
        <v>0</v>
      </c>
      <c r="J201" s="65">
        <v>41111.032856099344</v>
      </c>
      <c r="K201" s="92">
        <v>0</v>
      </c>
      <c r="L201" s="93"/>
      <c r="M201" s="93">
        <f t="shared" si="4"/>
        <v>955.76778561354013</v>
      </c>
      <c r="N201" s="67">
        <v>1752361425</v>
      </c>
      <c r="O201" s="67">
        <v>56281003.980000004</v>
      </c>
      <c r="P201" s="85"/>
      <c r="Q201" s="84">
        <v>35775225</v>
      </c>
      <c r="R201" s="84">
        <v>1355278.72</v>
      </c>
      <c r="T201" s="73"/>
      <c r="U201" s="73">
        <v>3.2000000000000001E-2</v>
      </c>
      <c r="V201" s="73"/>
      <c r="W201" s="76"/>
    </row>
    <row r="202" spans="1:23" ht="13.5" customHeight="1" x14ac:dyDescent="0.3">
      <c r="A202" s="95">
        <v>2025</v>
      </c>
      <c r="B202" s="95" t="s">
        <v>35</v>
      </c>
      <c r="C202" s="95" t="s">
        <v>14</v>
      </c>
      <c r="D202" s="95" t="s">
        <v>64</v>
      </c>
      <c r="E202" s="95" t="s">
        <v>33</v>
      </c>
      <c r="F202" s="96" t="s">
        <v>57</v>
      </c>
      <c r="G202" s="97">
        <v>3592</v>
      </c>
      <c r="H202" s="98">
        <v>1485907</v>
      </c>
      <c r="I202" s="99">
        <v>0</v>
      </c>
      <c r="J202" s="98">
        <v>41025</v>
      </c>
      <c r="K202" s="100">
        <v>0</v>
      </c>
      <c r="L202" s="100"/>
      <c r="M202" s="100">
        <f t="shared" si="4"/>
        <v>0</v>
      </c>
      <c r="N202" s="101">
        <f>+H202*P3</f>
        <v>2107016126</v>
      </c>
      <c r="O202" s="101">
        <f>+J202*P3</f>
        <v>58173450</v>
      </c>
      <c r="P202" s="102"/>
      <c r="Q202" s="103"/>
      <c r="R202" s="102"/>
      <c r="T202" s="73"/>
      <c r="U202" s="104">
        <v>2.9000000000000001E-2</v>
      </c>
      <c r="V202" s="73"/>
      <c r="W202" s="76"/>
    </row>
    <row r="203" spans="1:23" ht="13.5" customHeight="1" x14ac:dyDescent="0.3">
      <c r="A203" s="28">
        <v>2025</v>
      </c>
      <c r="B203" s="28" t="s">
        <v>35</v>
      </c>
      <c r="C203" s="28" t="s">
        <v>14</v>
      </c>
      <c r="D203" s="28" t="s">
        <v>64</v>
      </c>
      <c r="E203" s="28" t="s">
        <v>33</v>
      </c>
      <c r="F203" s="35" t="s">
        <v>58</v>
      </c>
      <c r="G203" s="36">
        <v>2578</v>
      </c>
      <c r="H203" s="65">
        <v>940095.92383638932</v>
      </c>
      <c r="I203" s="30">
        <v>0</v>
      </c>
      <c r="J203" s="65">
        <v>27539.626932067204</v>
      </c>
      <c r="K203" s="92">
        <v>3536.1911541271002</v>
      </c>
      <c r="L203" s="93">
        <v>1339.1431701972242</v>
      </c>
      <c r="M203" s="93">
        <f t="shared" si="4"/>
        <v>1292.8681241184768</v>
      </c>
      <c r="N203" s="67">
        <v>1333056020</v>
      </c>
      <c r="O203" s="67">
        <v>37701749.270000003</v>
      </c>
      <c r="P203" s="85">
        <v>4841045.6900000004</v>
      </c>
      <c r="Q203" s="84">
        <v>5262400</v>
      </c>
      <c r="R203" s="84">
        <v>1833287</v>
      </c>
      <c r="T203" s="73"/>
      <c r="U203" s="73">
        <v>2.9000000000000001E-2</v>
      </c>
      <c r="V203" s="73"/>
      <c r="W203" s="76"/>
    </row>
    <row r="204" spans="1:23" ht="13.5" customHeight="1" x14ac:dyDescent="0.3">
      <c r="A204" s="28">
        <v>2025</v>
      </c>
      <c r="B204" s="28" t="s">
        <v>35</v>
      </c>
      <c r="C204" s="28" t="s">
        <v>14</v>
      </c>
      <c r="D204" s="28" t="s">
        <v>64</v>
      </c>
      <c r="E204" s="28" t="s">
        <v>33</v>
      </c>
      <c r="F204" s="35" t="s">
        <v>1637</v>
      </c>
      <c r="G204" s="36">
        <v>1236</v>
      </c>
      <c r="H204" s="65">
        <v>157659.73201692523</v>
      </c>
      <c r="I204" s="30">
        <v>0</v>
      </c>
      <c r="J204" s="65">
        <v>4196.891906501095</v>
      </c>
      <c r="K204" s="92">
        <v>0</v>
      </c>
      <c r="L204" s="93"/>
      <c r="M204" s="93">
        <f t="shared" si="4"/>
        <v>0</v>
      </c>
      <c r="N204" s="67">
        <v>223561500</v>
      </c>
      <c r="O204" s="67">
        <v>5745545.0199999996</v>
      </c>
      <c r="P204" s="85"/>
      <c r="Q204" s="84"/>
      <c r="R204" s="85"/>
      <c r="T204" s="73"/>
      <c r="U204" s="73">
        <v>3.85E-2</v>
      </c>
      <c r="V204" s="73"/>
      <c r="W204" s="76"/>
    </row>
    <row r="205" spans="1:23" ht="13.5" customHeight="1" x14ac:dyDescent="0.3">
      <c r="A205" s="28">
        <v>2025</v>
      </c>
      <c r="B205" s="28" t="s">
        <v>35</v>
      </c>
      <c r="C205" s="28" t="s">
        <v>14</v>
      </c>
      <c r="D205" s="28" t="s">
        <v>64</v>
      </c>
      <c r="E205" s="28" t="s">
        <v>33</v>
      </c>
      <c r="F205" s="35" t="s">
        <v>412</v>
      </c>
      <c r="G205" s="36">
        <v>100</v>
      </c>
      <c r="H205" s="65">
        <v>49365.303244005641</v>
      </c>
      <c r="I205" s="30">
        <v>0</v>
      </c>
      <c r="J205" s="65">
        <v>2019.7224251278305</v>
      </c>
      <c r="K205" s="92">
        <v>0</v>
      </c>
      <c r="L205" s="93"/>
      <c r="M205" s="93">
        <f t="shared" si="4"/>
        <v>0</v>
      </c>
      <c r="N205" s="67">
        <v>70000000</v>
      </c>
      <c r="O205" s="67">
        <v>2765000</v>
      </c>
      <c r="P205" s="85"/>
      <c r="Q205" s="84"/>
      <c r="R205" s="85"/>
      <c r="T205" s="73"/>
      <c r="U205" s="73">
        <v>3.85E-2</v>
      </c>
      <c r="V205" s="73"/>
      <c r="W205" s="76"/>
    </row>
    <row r="206" spans="1:23" ht="13.5" customHeight="1" x14ac:dyDescent="0.3">
      <c r="A206" s="28">
        <v>2025</v>
      </c>
      <c r="B206" s="28" t="s">
        <v>35</v>
      </c>
      <c r="C206" s="28" t="s">
        <v>31</v>
      </c>
      <c r="D206" s="28" t="s">
        <v>64</v>
      </c>
      <c r="E206" s="28" t="s">
        <v>33</v>
      </c>
      <c r="F206" s="35" t="s">
        <v>58</v>
      </c>
      <c r="G206" s="36">
        <v>73</v>
      </c>
      <c r="H206" s="65">
        <v>44788.434414668547</v>
      </c>
      <c r="I206" s="30">
        <v>0</v>
      </c>
      <c r="J206" s="65">
        <v>1489.1680058436816</v>
      </c>
      <c r="K206" s="92">
        <v>0</v>
      </c>
      <c r="L206" s="93"/>
      <c r="M206" s="93">
        <f t="shared" si="4"/>
        <v>0</v>
      </c>
      <c r="N206" s="67">
        <v>63510000</v>
      </c>
      <c r="O206" s="67">
        <v>2038671</v>
      </c>
      <c r="P206" s="85"/>
      <c r="Q206" s="84"/>
      <c r="R206" s="85"/>
      <c r="T206" s="73"/>
      <c r="U206" s="73">
        <v>4.9000000000000002E-2</v>
      </c>
      <c r="V206" s="73"/>
      <c r="W206" s="76"/>
    </row>
    <row r="207" spans="1:23" ht="13.5" customHeight="1" x14ac:dyDescent="0.3">
      <c r="A207" s="28">
        <v>2025</v>
      </c>
      <c r="B207" s="28" t="s">
        <v>35</v>
      </c>
      <c r="C207" s="28" t="s">
        <v>14</v>
      </c>
      <c r="D207" s="28" t="s">
        <v>64</v>
      </c>
      <c r="E207" s="28" t="s">
        <v>37</v>
      </c>
      <c r="F207" s="35" t="s">
        <v>37</v>
      </c>
      <c r="G207" s="36">
        <v>440</v>
      </c>
      <c r="H207" s="65">
        <v>64510.57827926657</v>
      </c>
      <c r="I207" s="30">
        <v>0</v>
      </c>
      <c r="J207" s="65">
        <v>5512.6150474799124</v>
      </c>
      <c r="K207" s="92">
        <v>0</v>
      </c>
      <c r="L207" s="93"/>
      <c r="M207" s="93">
        <f t="shared" si="4"/>
        <v>0</v>
      </c>
      <c r="N207" s="67">
        <v>91476000</v>
      </c>
      <c r="O207" s="67">
        <v>7546770</v>
      </c>
      <c r="P207" s="85"/>
      <c r="Q207" s="84"/>
      <c r="R207" s="85"/>
      <c r="T207" s="73"/>
      <c r="U207" s="73">
        <v>0.06</v>
      </c>
      <c r="V207" s="73"/>
      <c r="W207" s="76"/>
    </row>
    <row r="208" spans="1:23" ht="13.5" customHeight="1" x14ac:dyDescent="0.3">
      <c r="A208" s="28">
        <v>2025</v>
      </c>
      <c r="B208" s="28" t="s">
        <v>35</v>
      </c>
      <c r="C208" s="28" t="s">
        <v>14</v>
      </c>
      <c r="D208" s="28" t="s">
        <v>64</v>
      </c>
      <c r="E208" s="28" t="s">
        <v>34</v>
      </c>
      <c r="F208" s="35" t="s">
        <v>71</v>
      </c>
      <c r="G208" s="36">
        <v>44</v>
      </c>
      <c r="H208" s="65">
        <v>25343.441466854725</v>
      </c>
      <c r="I208" s="30">
        <v>0</v>
      </c>
      <c r="J208" s="65">
        <v>648.45361577794006</v>
      </c>
      <c r="K208" s="92">
        <v>0</v>
      </c>
      <c r="L208" s="93"/>
      <c r="M208" s="93">
        <f t="shared" si="4"/>
        <v>0</v>
      </c>
      <c r="N208" s="67">
        <v>35937000</v>
      </c>
      <c r="O208" s="67">
        <v>887733</v>
      </c>
      <c r="P208" s="85"/>
      <c r="Q208" s="84"/>
      <c r="R208" s="85"/>
      <c r="T208" s="73"/>
      <c r="U208" s="73">
        <v>2.4E-2</v>
      </c>
      <c r="V208" s="73"/>
      <c r="W208" s="76"/>
    </row>
    <row r="209" spans="1:23" ht="13.5" customHeight="1" x14ac:dyDescent="0.3">
      <c r="A209" s="28">
        <v>2025</v>
      </c>
      <c r="B209" s="28" t="s">
        <v>35</v>
      </c>
      <c r="C209" s="28" t="s">
        <v>14</v>
      </c>
      <c r="D209" s="28" t="s">
        <v>64</v>
      </c>
      <c r="E209" s="28" t="s">
        <v>34</v>
      </c>
      <c r="F209" s="35" t="s">
        <v>60</v>
      </c>
      <c r="G209" s="36">
        <v>20</v>
      </c>
      <c r="H209" s="65">
        <v>7052.1861777150916</v>
      </c>
      <c r="I209" s="30">
        <v>0</v>
      </c>
      <c r="J209" s="65">
        <v>198.64864864864865</v>
      </c>
      <c r="K209" s="92">
        <v>0</v>
      </c>
      <c r="L209" s="93"/>
      <c r="M209" s="93">
        <f t="shared" si="4"/>
        <v>0</v>
      </c>
      <c r="N209" s="67">
        <v>10000000</v>
      </c>
      <c r="O209" s="67">
        <v>271950</v>
      </c>
      <c r="P209" s="85"/>
      <c r="Q209" s="84"/>
      <c r="R209" s="85"/>
      <c r="T209" s="73"/>
      <c r="U209" s="73">
        <v>2.7E-2</v>
      </c>
      <c r="V209" s="73"/>
      <c r="W209" s="76"/>
    </row>
    <row r="210" spans="1:23" ht="13.5" customHeight="1" x14ac:dyDescent="0.3">
      <c r="A210" s="28">
        <v>2025</v>
      </c>
      <c r="B210" s="28" t="s">
        <v>35</v>
      </c>
      <c r="C210" s="28" t="s">
        <v>14</v>
      </c>
      <c r="D210" s="28" t="s">
        <v>64</v>
      </c>
      <c r="E210" s="28" t="s">
        <v>34</v>
      </c>
      <c r="F210" s="35" t="s">
        <v>61</v>
      </c>
      <c r="G210" s="36">
        <v>505.5</v>
      </c>
      <c r="H210" s="65">
        <v>216393.86459802539</v>
      </c>
      <c r="I210" s="30">
        <v>0</v>
      </c>
      <c r="J210" s="65">
        <v>5114.4959824689558</v>
      </c>
      <c r="K210" s="92">
        <v>0</v>
      </c>
      <c r="L210" s="93"/>
      <c r="M210" s="93">
        <f t="shared" si="4"/>
        <v>0</v>
      </c>
      <c r="N210" s="67">
        <v>306846500</v>
      </c>
      <c r="O210" s="67">
        <v>7001745</v>
      </c>
      <c r="P210" s="85"/>
      <c r="Q210" s="84"/>
      <c r="R210" s="85"/>
      <c r="T210" s="73"/>
      <c r="U210" s="73">
        <v>2.8000000000000001E-2</v>
      </c>
      <c r="V210" s="73"/>
      <c r="W210" s="76"/>
    </row>
    <row r="211" spans="1:23" ht="13.5" customHeight="1" x14ac:dyDescent="0.3">
      <c r="A211" s="28">
        <v>2025</v>
      </c>
      <c r="B211" s="28" t="s">
        <v>35</v>
      </c>
      <c r="C211" s="28" t="s">
        <v>14</v>
      </c>
      <c r="D211" s="28" t="s">
        <v>64</v>
      </c>
      <c r="E211" s="28" t="s">
        <v>34</v>
      </c>
      <c r="F211" s="35" t="s">
        <v>297</v>
      </c>
      <c r="G211" s="36">
        <v>1170</v>
      </c>
      <c r="H211" s="65">
        <v>462360.7193229901</v>
      </c>
      <c r="I211" s="30">
        <v>0</v>
      </c>
      <c r="J211" s="65">
        <v>12501.834258582909</v>
      </c>
      <c r="K211" s="92">
        <v>538.83396639883119</v>
      </c>
      <c r="L211" s="93">
        <v>538.83396639883119</v>
      </c>
      <c r="M211" s="93">
        <f t="shared" si="4"/>
        <v>520.21417489421719</v>
      </c>
      <c r="N211" s="67">
        <v>655627500</v>
      </c>
      <c r="O211" s="67">
        <v>17115011.100000001</v>
      </c>
      <c r="P211" s="85">
        <v>737663.7</v>
      </c>
      <c r="Q211" s="84">
        <v>10568680.699999999</v>
      </c>
      <c r="R211" s="84">
        <v>737663.7</v>
      </c>
      <c r="T211" s="73"/>
      <c r="U211" s="73">
        <v>2.7E-2</v>
      </c>
      <c r="V211" s="73"/>
      <c r="W211" s="76"/>
    </row>
    <row r="212" spans="1:23" ht="13.5" customHeight="1" x14ac:dyDescent="0.3">
      <c r="A212" s="28">
        <v>2025</v>
      </c>
      <c r="B212" s="28" t="s">
        <v>35</v>
      </c>
      <c r="C212" s="28" t="s">
        <v>14</v>
      </c>
      <c r="D212" s="28" t="s">
        <v>64</v>
      </c>
      <c r="E212" s="28" t="s">
        <v>34</v>
      </c>
      <c r="F212" s="35" t="s">
        <v>63</v>
      </c>
      <c r="G212" s="36">
        <v>2427</v>
      </c>
      <c r="H212" s="65">
        <v>1286252.9619181945</v>
      </c>
      <c r="I212" s="30">
        <v>0</v>
      </c>
      <c r="J212" s="65">
        <v>27525.02366691015</v>
      </c>
      <c r="K212" s="92">
        <v>0</v>
      </c>
      <c r="L212" s="93"/>
      <c r="M212" s="93">
        <f t="shared" si="4"/>
        <v>0</v>
      </c>
      <c r="N212" s="67">
        <v>1823906700</v>
      </c>
      <c r="O212" s="67">
        <v>37681757.399999999</v>
      </c>
      <c r="P212" s="85"/>
      <c r="Q212" s="84"/>
      <c r="R212" s="85"/>
      <c r="T212" s="73"/>
      <c r="U212" s="73">
        <v>2.4E-2</v>
      </c>
      <c r="V212" s="73"/>
      <c r="W212" s="76"/>
    </row>
    <row r="213" spans="1:23" ht="13.5" customHeight="1" x14ac:dyDescent="0.3">
      <c r="A213" s="28">
        <v>2025</v>
      </c>
      <c r="B213" s="28" t="s">
        <v>35</v>
      </c>
      <c r="C213" s="28" t="s">
        <v>14</v>
      </c>
      <c r="D213" s="28" t="s">
        <v>1904</v>
      </c>
      <c r="E213" s="28" t="s">
        <v>16</v>
      </c>
      <c r="F213" s="35" t="s">
        <v>23</v>
      </c>
      <c r="G213" s="36">
        <v>147</v>
      </c>
      <c r="H213" s="65">
        <v>112958.95627644569</v>
      </c>
      <c r="I213" s="30">
        <v>0</v>
      </c>
      <c r="J213" s="65">
        <v>2685.1337910883858</v>
      </c>
      <c r="K213" s="92">
        <v>0</v>
      </c>
      <c r="L213" s="93"/>
      <c r="M213" s="93">
        <f t="shared" si="4"/>
        <v>0</v>
      </c>
      <c r="N213" s="67">
        <v>160175800</v>
      </c>
      <c r="O213" s="67">
        <v>3675948.16</v>
      </c>
      <c r="P213" s="85"/>
      <c r="Q213" s="84"/>
      <c r="R213" s="85"/>
      <c r="U213" s="73">
        <v>2.5000000000000001E-2</v>
      </c>
      <c r="V213" s="73"/>
      <c r="W213" s="76"/>
    </row>
    <row r="214" spans="1:23" ht="13.5" customHeight="1" x14ac:dyDescent="0.3">
      <c r="A214" s="28">
        <v>2025</v>
      </c>
      <c r="B214" s="28" t="s">
        <v>35</v>
      </c>
      <c r="C214" s="28" t="s">
        <v>14</v>
      </c>
      <c r="D214" s="28" t="s">
        <v>1904</v>
      </c>
      <c r="E214" s="28" t="s">
        <v>32</v>
      </c>
      <c r="F214" s="35" t="s">
        <v>70</v>
      </c>
      <c r="G214" s="36">
        <v>50</v>
      </c>
      <c r="H214" s="65">
        <v>18203.455571227081</v>
      </c>
      <c r="I214" s="30">
        <v>0</v>
      </c>
      <c r="J214" s="65">
        <v>782.48265157048945</v>
      </c>
      <c r="K214" s="92">
        <v>0</v>
      </c>
      <c r="L214" s="93"/>
      <c r="M214" s="93">
        <f t="shared" si="4"/>
        <v>0</v>
      </c>
      <c r="N214" s="67">
        <v>25812500</v>
      </c>
      <c r="O214" s="67">
        <v>1071218.75</v>
      </c>
      <c r="P214" s="85"/>
      <c r="Q214" s="84"/>
      <c r="R214" s="85"/>
      <c r="T214" s="73"/>
      <c r="U214" s="73">
        <v>4.1500000000000002E-2</v>
      </c>
      <c r="V214" s="73"/>
      <c r="W214" s="76"/>
    </row>
    <row r="215" spans="1:23" ht="13.5" customHeight="1" x14ac:dyDescent="0.3">
      <c r="A215" s="28">
        <v>2025</v>
      </c>
      <c r="B215" s="28" t="s">
        <v>35</v>
      </c>
      <c r="C215" s="28" t="s">
        <v>14</v>
      </c>
      <c r="D215" s="28" t="s">
        <v>1904</v>
      </c>
      <c r="E215" s="28" t="s">
        <v>32</v>
      </c>
      <c r="F215" s="35" t="s">
        <v>51</v>
      </c>
      <c r="G215" s="36">
        <v>80</v>
      </c>
      <c r="H215" s="65">
        <v>42318.406205923835</v>
      </c>
      <c r="I215" s="30">
        <v>0</v>
      </c>
      <c r="J215" s="65">
        <v>1648.1241782322863</v>
      </c>
      <c r="K215" s="92">
        <v>0</v>
      </c>
      <c r="L215" s="93"/>
      <c r="M215" s="93">
        <f t="shared" si="4"/>
        <v>0</v>
      </c>
      <c r="N215" s="67">
        <v>60007500</v>
      </c>
      <c r="O215" s="67">
        <v>2256282</v>
      </c>
      <c r="P215" s="85"/>
      <c r="Q215" s="84"/>
      <c r="R215" s="85"/>
      <c r="T215" s="73"/>
      <c r="U215" s="73">
        <v>4.1500000000000002E-2</v>
      </c>
      <c r="V215" s="73"/>
      <c r="W215" s="76"/>
    </row>
    <row r="216" spans="1:23" ht="13.5" hidden="1" customHeight="1" x14ac:dyDescent="0.3">
      <c r="A216" s="28"/>
      <c r="B216" s="28"/>
      <c r="C216" s="28"/>
      <c r="D216" s="28"/>
      <c r="E216" s="28"/>
      <c r="F216" s="29"/>
      <c r="G216" s="30"/>
      <c r="H216" s="30"/>
      <c r="I216" s="30" t="s">
        <v>1</v>
      </c>
      <c r="J216" s="30"/>
      <c r="K216" s="15"/>
      <c r="L216" s="15"/>
      <c r="M216" s="15"/>
      <c r="N216" s="30"/>
      <c r="O216" s="30"/>
      <c r="Q216" s="67"/>
      <c r="T216" s="73"/>
    </row>
    <row r="217" spans="1:23" ht="13.5" customHeight="1" x14ac:dyDescent="0.3">
      <c r="A217" s="28"/>
      <c r="B217" s="28"/>
      <c r="C217" s="28"/>
      <c r="D217" s="28"/>
      <c r="E217" s="28"/>
      <c r="F217" s="29"/>
      <c r="G217" s="30"/>
      <c r="H217" s="30"/>
      <c r="I217" s="30"/>
      <c r="J217" s="30"/>
      <c r="K217" s="15"/>
      <c r="L217" s="15"/>
      <c r="M217" s="15"/>
      <c r="N217" s="29"/>
      <c r="O217" s="29"/>
      <c r="T217" s="73"/>
    </row>
    <row r="218" spans="1:23" ht="13.5" customHeight="1" x14ac:dyDescent="0.3">
      <c r="A218" s="28"/>
      <c r="B218" s="28"/>
      <c r="C218" s="28"/>
      <c r="D218" s="28"/>
      <c r="E218" s="28"/>
      <c r="F218" s="29"/>
      <c r="G218" s="30"/>
      <c r="H218" s="30"/>
      <c r="I218" s="30"/>
      <c r="J218" s="30"/>
      <c r="K218" s="15"/>
      <c r="L218" s="15"/>
      <c r="M218" s="15"/>
      <c r="N218" s="29"/>
      <c r="O218" s="29"/>
      <c r="T218" s="73"/>
    </row>
    <row r="219" spans="1:23" ht="13.5" customHeight="1" x14ac:dyDescent="0.3">
      <c r="A219" s="28"/>
      <c r="B219" s="28"/>
      <c r="C219" s="28"/>
      <c r="D219" s="28"/>
      <c r="E219" s="28"/>
      <c r="F219" s="29"/>
      <c r="G219" s="30"/>
      <c r="H219" s="30"/>
      <c r="I219" s="30"/>
      <c r="J219" s="30"/>
      <c r="K219" s="15"/>
      <c r="L219" s="15"/>
      <c r="M219" s="15"/>
      <c r="N219" s="29"/>
      <c r="O219" s="29"/>
      <c r="T219" s="73"/>
    </row>
    <row r="220" spans="1:23" ht="13.5" customHeight="1" x14ac:dyDescent="0.3">
      <c r="A220" s="28"/>
      <c r="B220" s="28"/>
      <c r="C220" s="28"/>
      <c r="D220" s="28"/>
      <c r="E220" s="28"/>
      <c r="F220" s="29"/>
      <c r="G220" s="30" t="s">
        <v>1</v>
      </c>
      <c r="H220" s="30"/>
      <c r="I220" s="30"/>
      <c r="J220" s="30"/>
      <c r="K220" s="15" t="s">
        <v>1</v>
      </c>
      <c r="L220" s="15"/>
      <c r="M220" s="15"/>
      <c r="N220" s="29"/>
      <c r="O220" s="29"/>
      <c r="T220" s="73"/>
    </row>
    <row r="221" spans="1:23" ht="13.5" customHeight="1" x14ac:dyDescent="0.3">
      <c r="A221" s="28"/>
      <c r="B221" s="28"/>
      <c r="C221" s="28"/>
      <c r="D221" s="28"/>
      <c r="E221" s="28"/>
      <c r="F221" s="29"/>
      <c r="G221" s="30"/>
      <c r="H221" s="30"/>
      <c r="I221" s="30"/>
      <c r="J221" s="30"/>
      <c r="K221" s="15"/>
      <c r="L221" s="15"/>
      <c r="M221" s="15"/>
      <c r="N221" s="29"/>
      <c r="O221" s="29"/>
      <c r="T221" s="73"/>
    </row>
    <row r="222" spans="1:23" ht="13.5" customHeight="1" x14ac:dyDescent="0.3">
      <c r="A222" s="28"/>
      <c r="B222" s="28"/>
      <c r="C222" s="28"/>
      <c r="D222" s="28"/>
      <c r="E222" s="28"/>
      <c r="F222" s="29"/>
      <c r="G222" s="30"/>
      <c r="H222" s="30"/>
      <c r="I222" s="30"/>
      <c r="J222" s="30"/>
      <c r="K222" s="15"/>
      <c r="L222" s="15"/>
      <c r="M222" s="15"/>
      <c r="N222" s="29"/>
      <c r="O222" s="29"/>
      <c r="T222" s="73"/>
    </row>
    <row r="223" spans="1:23" ht="13.5" customHeight="1" x14ac:dyDescent="0.3">
      <c r="A223" s="28"/>
      <c r="B223" s="28"/>
      <c r="C223" s="28"/>
      <c r="D223" s="28"/>
      <c r="E223" s="28" t="s">
        <v>1</v>
      </c>
      <c r="F223" s="29"/>
      <c r="G223" s="29"/>
      <c r="H223" s="30"/>
      <c r="I223" s="30"/>
      <c r="J223" s="30"/>
      <c r="K223" s="15"/>
      <c r="L223" s="15"/>
      <c r="M223" s="15"/>
      <c r="N223" s="29"/>
      <c r="O223" s="29"/>
      <c r="T223" s="73"/>
    </row>
    <row r="224" spans="1:23" ht="13.5" customHeight="1" x14ac:dyDescent="0.3">
      <c r="A224" s="28"/>
      <c r="B224" s="28"/>
      <c r="C224" s="28"/>
      <c r="D224" s="28"/>
      <c r="E224" s="28"/>
      <c r="F224" s="29"/>
      <c r="G224" s="29"/>
      <c r="H224" s="30"/>
      <c r="I224" s="30"/>
      <c r="J224" s="30"/>
      <c r="K224" s="15"/>
      <c r="L224" s="15"/>
      <c r="M224" s="15"/>
      <c r="N224" s="29"/>
      <c r="O224" s="29"/>
      <c r="T224" s="73"/>
    </row>
    <row r="225" spans="1:20" ht="13.5" customHeight="1" x14ac:dyDescent="0.3">
      <c r="A225" s="28"/>
      <c r="B225" s="28"/>
      <c r="C225" s="28"/>
      <c r="D225" s="28"/>
      <c r="E225" s="28"/>
      <c r="F225" s="29"/>
      <c r="G225" s="29"/>
      <c r="H225" s="30"/>
      <c r="I225" s="30"/>
      <c r="J225" s="30"/>
      <c r="K225" s="15"/>
      <c r="L225" s="15"/>
      <c r="M225" s="15"/>
      <c r="N225" s="29"/>
      <c r="O225" s="29"/>
      <c r="T225" s="73"/>
    </row>
    <row r="226" spans="1:20" ht="13.5" customHeight="1" x14ac:dyDescent="0.3">
      <c r="A226" s="28"/>
      <c r="B226" s="28"/>
      <c r="C226" s="28"/>
      <c r="D226" s="28"/>
      <c r="E226" s="28"/>
      <c r="F226" s="29"/>
      <c r="G226" s="29"/>
      <c r="H226" s="30"/>
      <c r="I226" s="30"/>
      <c r="J226" s="30"/>
      <c r="K226" s="15"/>
      <c r="L226" s="15"/>
      <c r="M226" s="15"/>
      <c r="N226" s="29"/>
      <c r="O226" s="29"/>
      <c r="T226" s="73"/>
    </row>
    <row r="227" spans="1:20" ht="13.5" customHeight="1" x14ac:dyDescent="0.3">
      <c r="A227" s="28"/>
      <c r="B227" s="28"/>
      <c r="C227" s="28"/>
      <c r="D227" s="28"/>
      <c r="E227" s="28"/>
      <c r="F227" s="29"/>
      <c r="G227" s="29"/>
      <c r="H227" s="30"/>
      <c r="I227" s="30"/>
      <c r="J227" s="30"/>
      <c r="K227" s="15"/>
      <c r="L227" s="15"/>
      <c r="M227" s="15"/>
      <c r="N227" s="29"/>
      <c r="O227" s="29"/>
      <c r="T227" s="73"/>
    </row>
    <row r="228" spans="1:20" ht="13.5" customHeight="1" x14ac:dyDescent="0.3">
      <c r="A228" s="28"/>
      <c r="B228" s="28"/>
      <c r="C228" s="28"/>
      <c r="D228" s="28"/>
      <c r="E228" s="28"/>
      <c r="F228" s="29"/>
      <c r="G228" s="29"/>
      <c r="H228" s="30"/>
      <c r="I228" s="30"/>
      <c r="J228" s="30"/>
      <c r="K228" s="15"/>
      <c r="L228" s="15"/>
      <c r="M228" s="15"/>
      <c r="N228" s="29"/>
      <c r="O228" s="29"/>
      <c r="T228" s="73"/>
    </row>
    <row r="229" spans="1:20" ht="13.5" customHeight="1" x14ac:dyDescent="0.3">
      <c r="A229" s="28"/>
      <c r="B229" s="28"/>
      <c r="C229" s="28"/>
      <c r="D229" s="28"/>
      <c r="E229" s="28"/>
      <c r="F229" s="29"/>
      <c r="G229" s="29"/>
      <c r="H229" s="30"/>
      <c r="I229" s="30"/>
      <c r="J229" s="30"/>
      <c r="K229" s="15"/>
      <c r="L229" s="15"/>
      <c r="M229" s="15"/>
      <c r="N229" s="29"/>
      <c r="O229" s="29"/>
      <c r="T229" s="73"/>
    </row>
    <row r="230" spans="1:20" ht="13.5" customHeight="1" x14ac:dyDescent="0.3">
      <c r="A230" s="28"/>
      <c r="B230" s="28"/>
      <c r="C230" s="28"/>
      <c r="D230" s="28"/>
      <c r="E230" s="28"/>
      <c r="F230" s="29"/>
      <c r="G230" s="29" t="s">
        <v>1</v>
      </c>
      <c r="H230" s="30"/>
      <c r="I230" s="30"/>
      <c r="J230" s="30"/>
      <c r="K230" s="15"/>
      <c r="L230" s="15"/>
      <c r="M230" s="15"/>
      <c r="N230" s="29"/>
      <c r="O230" s="29"/>
      <c r="T230" s="73"/>
    </row>
    <row r="231" spans="1:20" ht="13.5" customHeight="1" x14ac:dyDescent="0.3">
      <c r="A231" s="28"/>
      <c r="B231" s="28"/>
      <c r="C231" s="28"/>
      <c r="D231" s="28"/>
      <c r="E231" s="28"/>
      <c r="F231" s="29"/>
      <c r="G231" s="29"/>
      <c r="H231" s="30"/>
      <c r="I231" s="30"/>
      <c r="J231" s="30"/>
      <c r="K231" s="15"/>
      <c r="L231" s="15"/>
      <c r="M231" s="15"/>
      <c r="N231" s="29"/>
      <c r="O231" s="29"/>
      <c r="T231" s="73"/>
    </row>
    <row r="232" spans="1:20" ht="13.5" customHeight="1" x14ac:dyDescent="0.3">
      <c r="A232" s="28"/>
      <c r="B232" s="28"/>
      <c r="C232" s="28"/>
      <c r="D232" s="28" t="s">
        <v>1</v>
      </c>
      <c r="E232" s="28"/>
      <c r="F232" s="29"/>
      <c r="G232" s="29"/>
      <c r="H232" s="30"/>
      <c r="I232" s="30"/>
      <c r="J232" s="30"/>
      <c r="K232" s="15"/>
      <c r="L232" s="15"/>
      <c r="M232" s="15"/>
      <c r="N232" s="29"/>
      <c r="O232" s="29"/>
      <c r="T232" s="73"/>
    </row>
    <row r="233" spans="1:20" ht="13.5" customHeight="1" x14ac:dyDescent="0.3">
      <c r="A233" s="28"/>
      <c r="B233" s="28"/>
      <c r="C233" s="28"/>
      <c r="D233" s="28"/>
      <c r="E233" s="28"/>
      <c r="F233" s="29"/>
      <c r="G233" s="29"/>
      <c r="H233" s="31"/>
      <c r="I233" s="31"/>
      <c r="J233" s="31"/>
      <c r="K233" s="15"/>
      <c r="L233" s="15"/>
      <c r="M233" s="15"/>
      <c r="N233" s="29"/>
      <c r="O233" s="29"/>
      <c r="T233" s="73"/>
    </row>
    <row r="234" spans="1:20" ht="13.5" customHeight="1" x14ac:dyDescent="0.3">
      <c r="A234" s="28"/>
      <c r="B234" s="28"/>
      <c r="C234" s="28"/>
      <c r="D234" s="28"/>
      <c r="E234" s="28"/>
      <c r="F234" s="29"/>
      <c r="G234" s="29"/>
      <c r="H234" s="31"/>
      <c r="I234" s="31"/>
      <c r="J234" s="31"/>
      <c r="K234" s="15"/>
      <c r="L234" s="15"/>
      <c r="M234" s="15"/>
      <c r="N234" s="29"/>
      <c r="O234" s="29"/>
      <c r="T234" s="73"/>
    </row>
    <row r="235" spans="1:20" ht="13.5" customHeight="1" x14ac:dyDescent="0.3">
      <c r="A235" s="28"/>
      <c r="B235" s="28"/>
      <c r="C235" s="28"/>
      <c r="D235" s="28"/>
      <c r="E235" s="28"/>
      <c r="F235" s="29"/>
      <c r="G235" s="29"/>
      <c r="H235" s="31"/>
      <c r="I235" s="31"/>
      <c r="J235" s="31"/>
      <c r="K235" s="15"/>
      <c r="L235" s="15"/>
      <c r="M235" s="15"/>
      <c r="N235" s="29"/>
      <c r="O235" s="29"/>
      <c r="T235" s="73"/>
    </row>
    <row r="236" spans="1:20" ht="13.5" customHeight="1" x14ac:dyDescent="0.3">
      <c r="A236" s="28"/>
      <c r="B236" s="28"/>
      <c r="C236" s="28"/>
      <c r="D236" s="28"/>
      <c r="E236" s="28"/>
      <c r="F236" s="29"/>
      <c r="G236" s="29"/>
      <c r="H236" s="31"/>
      <c r="I236" s="31"/>
      <c r="J236" s="31"/>
      <c r="K236" s="15"/>
      <c r="L236" s="15"/>
      <c r="M236" s="15"/>
      <c r="N236" s="29"/>
      <c r="O236" s="29"/>
      <c r="T236" s="73"/>
    </row>
    <row r="237" spans="1:20" ht="13.5" customHeight="1" x14ac:dyDescent="0.3">
      <c r="A237" s="28"/>
      <c r="B237" s="28"/>
      <c r="C237" s="28"/>
      <c r="D237" s="28"/>
      <c r="E237" s="28"/>
      <c r="F237" s="29"/>
      <c r="G237" s="29"/>
      <c r="H237" s="31"/>
      <c r="I237" s="31"/>
      <c r="J237" s="31"/>
      <c r="K237" s="15"/>
      <c r="L237" s="15"/>
      <c r="M237" s="15"/>
      <c r="N237" s="29"/>
      <c r="O237" s="29"/>
      <c r="T237" s="73"/>
    </row>
    <row r="238" spans="1:20" ht="13.5" customHeight="1" x14ac:dyDescent="0.3">
      <c r="A238" s="28"/>
      <c r="B238" s="28"/>
      <c r="C238" s="28"/>
      <c r="D238" s="28"/>
      <c r="E238" s="28"/>
      <c r="F238" s="29"/>
      <c r="G238" s="29"/>
      <c r="H238" s="31"/>
      <c r="I238" s="31"/>
      <c r="J238" s="31"/>
      <c r="K238" s="15"/>
      <c r="L238" s="15"/>
      <c r="M238" s="15"/>
      <c r="N238" s="29"/>
      <c r="O238" s="29"/>
      <c r="T238" s="73"/>
    </row>
    <row r="239" spans="1:20" ht="13.5" customHeight="1" x14ac:dyDescent="0.3">
      <c r="A239" s="28"/>
      <c r="B239" s="28"/>
      <c r="C239" s="28"/>
      <c r="D239" s="28"/>
      <c r="E239" s="28"/>
      <c r="F239" s="29"/>
      <c r="G239" s="29"/>
      <c r="H239" s="31"/>
      <c r="I239" s="31"/>
      <c r="J239" s="31"/>
      <c r="K239" s="15"/>
      <c r="L239" s="15"/>
      <c r="M239" s="15"/>
      <c r="N239" s="29"/>
      <c r="O239" s="29"/>
      <c r="T239" s="73"/>
    </row>
    <row r="240" spans="1:20" ht="13.5" customHeight="1" x14ac:dyDescent="0.3">
      <c r="A240" s="28"/>
      <c r="B240" s="28"/>
      <c r="C240" s="28"/>
      <c r="D240" s="28"/>
      <c r="E240" s="28"/>
      <c r="F240" s="29"/>
      <c r="G240" s="29"/>
      <c r="H240" s="31"/>
      <c r="I240" s="31"/>
      <c r="J240" s="31"/>
      <c r="K240" s="15"/>
      <c r="L240" s="15"/>
      <c r="M240" s="15"/>
      <c r="N240" s="29"/>
      <c r="O240" s="29"/>
      <c r="T240" s="73"/>
    </row>
    <row r="241" spans="1:20" ht="13.5" customHeight="1" x14ac:dyDescent="0.3">
      <c r="A241" s="28"/>
      <c r="B241" s="28"/>
      <c r="C241" s="28"/>
      <c r="D241" s="28"/>
      <c r="E241" s="28"/>
      <c r="F241" s="29"/>
      <c r="G241" s="29"/>
      <c r="H241" s="31"/>
      <c r="I241" s="31"/>
      <c r="J241" s="31"/>
      <c r="K241" s="15"/>
      <c r="L241" s="15"/>
      <c r="M241" s="15"/>
      <c r="N241" s="29"/>
      <c r="O241" s="29"/>
      <c r="T241" s="73"/>
    </row>
    <row r="242" spans="1:20" ht="13.5" customHeight="1" x14ac:dyDescent="0.3">
      <c r="A242" s="28"/>
      <c r="B242" s="28"/>
      <c r="C242" s="28"/>
      <c r="D242" s="28"/>
      <c r="E242" s="28"/>
      <c r="F242" s="29"/>
      <c r="G242" s="29"/>
      <c r="H242" s="31"/>
      <c r="I242" s="31"/>
      <c r="J242" s="31"/>
      <c r="K242" s="15"/>
      <c r="L242" s="15"/>
      <c r="M242" s="15"/>
      <c r="N242" s="29"/>
      <c r="O242" s="29"/>
      <c r="T242" s="73"/>
    </row>
    <row r="243" spans="1:20" ht="13.5" customHeight="1" x14ac:dyDescent="0.3">
      <c r="A243" s="28"/>
      <c r="B243" s="28"/>
      <c r="C243" s="28"/>
      <c r="D243" s="28"/>
      <c r="E243" s="28"/>
      <c r="F243" s="29"/>
      <c r="G243" s="29"/>
      <c r="H243" s="31"/>
      <c r="I243" s="31"/>
      <c r="J243" s="31"/>
      <c r="K243" s="15"/>
      <c r="L243" s="15"/>
      <c r="M243" s="15"/>
      <c r="N243" s="29"/>
      <c r="O243" s="29"/>
      <c r="T243" s="73"/>
    </row>
    <row r="244" spans="1:20" ht="13.5" customHeight="1" x14ac:dyDescent="0.3">
      <c r="A244" s="28"/>
      <c r="B244" s="28"/>
      <c r="C244" s="28"/>
      <c r="D244" s="28"/>
      <c r="E244" s="28"/>
      <c r="F244" s="29"/>
      <c r="G244" s="29"/>
      <c r="H244" s="31"/>
      <c r="I244" s="31"/>
      <c r="J244" s="31"/>
      <c r="K244" s="15"/>
      <c r="L244" s="15"/>
      <c r="M244" s="15"/>
      <c r="N244" s="29"/>
      <c r="O244" s="29"/>
      <c r="T244" s="73"/>
    </row>
    <row r="245" spans="1:20" ht="13.5" customHeight="1" x14ac:dyDescent="0.3">
      <c r="A245" s="28"/>
      <c r="B245" s="28"/>
      <c r="C245" s="28"/>
      <c r="D245" s="28"/>
      <c r="E245" s="28"/>
      <c r="F245" s="29"/>
      <c r="G245" s="29"/>
      <c r="H245" s="31"/>
      <c r="I245" s="31"/>
      <c r="J245" s="31"/>
      <c r="K245" s="15"/>
      <c r="L245" s="15"/>
      <c r="M245" s="15"/>
      <c r="N245" s="29"/>
      <c r="O245" s="29"/>
      <c r="T245" s="73"/>
    </row>
    <row r="246" spans="1:20" ht="13.5" customHeight="1" x14ac:dyDescent="0.3">
      <c r="A246" s="28"/>
      <c r="B246" s="28"/>
      <c r="C246" s="28"/>
      <c r="D246" s="28"/>
      <c r="E246" s="28"/>
      <c r="F246" s="29"/>
      <c r="G246" s="29"/>
      <c r="H246" s="31"/>
      <c r="I246" s="31"/>
      <c r="J246" s="31"/>
      <c r="K246" s="15"/>
      <c r="L246" s="15"/>
      <c r="M246" s="15"/>
      <c r="N246" s="29"/>
      <c r="O246" s="29"/>
      <c r="T246" s="73"/>
    </row>
    <row r="247" spans="1:20" ht="13.5" customHeight="1" x14ac:dyDescent="0.3">
      <c r="A247" s="28"/>
      <c r="B247" s="28"/>
      <c r="C247" s="28"/>
      <c r="D247" s="28"/>
      <c r="E247" s="28"/>
      <c r="F247" s="29"/>
      <c r="G247" s="29"/>
      <c r="H247" s="31"/>
      <c r="I247" s="31"/>
      <c r="J247" s="31"/>
      <c r="K247" s="15"/>
      <c r="L247" s="15"/>
      <c r="M247" s="15"/>
      <c r="N247" s="29"/>
      <c r="O247" s="29"/>
      <c r="T247" s="73"/>
    </row>
    <row r="248" spans="1:20" ht="13.5" customHeight="1" x14ac:dyDescent="0.3">
      <c r="A248" s="28"/>
      <c r="B248" s="28"/>
      <c r="C248" s="28"/>
      <c r="D248" s="28"/>
      <c r="E248" s="28"/>
      <c r="F248" s="29"/>
      <c r="G248" s="29"/>
      <c r="H248" s="31"/>
      <c r="I248" s="31"/>
      <c r="J248" s="31"/>
      <c r="K248" s="15"/>
      <c r="L248" s="15"/>
      <c r="M248" s="15"/>
      <c r="N248" s="29"/>
      <c r="O248" s="29"/>
      <c r="T248" s="73"/>
    </row>
    <row r="249" spans="1:20" ht="13.5" customHeight="1" x14ac:dyDescent="0.3">
      <c r="A249" s="28"/>
      <c r="B249" s="28"/>
      <c r="C249" s="28"/>
      <c r="D249" s="28"/>
      <c r="E249" s="28"/>
      <c r="F249" s="29"/>
      <c r="G249" s="15"/>
      <c r="H249" s="15"/>
      <c r="I249" s="15"/>
      <c r="J249" s="15"/>
      <c r="K249" s="15"/>
      <c r="L249" s="15"/>
      <c r="M249" s="15"/>
      <c r="N249" s="15"/>
      <c r="O249" s="15"/>
      <c r="T249" s="73"/>
    </row>
    <row r="250" spans="1:20" ht="13.5" customHeight="1" x14ac:dyDescent="0.3">
      <c r="A250" s="28"/>
      <c r="B250" s="28"/>
      <c r="C250" s="28"/>
      <c r="D250" s="28"/>
      <c r="E250" s="28"/>
      <c r="F250" s="29"/>
      <c r="G250" s="15"/>
      <c r="H250" s="15"/>
      <c r="I250" s="15"/>
      <c r="J250" s="15"/>
      <c r="K250" s="15"/>
      <c r="L250" s="15"/>
      <c r="M250" s="15"/>
      <c r="N250" s="15"/>
      <c r="O250" s="15"/>
      <c r="T250" s="73"/>
    </row>
    <row r="251" spans="1:20" ht="13.5" customHeight="1" x14ac:dyDescent="0.3">
      <c r="A251" s="28"/>
      <c r="B251" s="28"/>
      <c r="C251" s="28"/>
      <c r="D251" s="28"/>
      <c r="E251" s="28"/>
      <c r="F251" s="29"/>
      <c r="G251" s="15"/>
      <c r="H251" s="15"/>
      <c r="I251" s="15"/>
      <c r="J251" s="15"/>
      <c r="K251" s="15"/>
      <c r="L251" s="15"/>
      <c r="M251" s="15"/>
      <c r="N251" s="15"/>
      <c r="O251" s="15"/>
      <c r="T251" s="73"/>
    </row>
    <row r="252" spans="1:20" ht="13.5" customHeight="1" x14ac:dyDescent="0.3">
      <c r="A252" s="28"/>
      <c r="B252" s="28"/>
      <c r="C252" s="28"/>
      <c r="D252" s="28"/>
      <c r="E252" s="28"/>
      <c r="F252" s="29"/>
      <c r="G252" s="15"/>
      <c r="H252" s="15"/>
      <c r="I252" s="15"/>
      <c r="J252" s="15"/>
      <c r="K252" s="15"/>
      <c r="L252" s="15"/>
      <c r="M252" s="15"/>
      <c r="N252" s="15"/>
      <c r="O252" s="15"/>
      <c r="T252" s="73"/>
    </row>
    <row r="253" spans="1:20" ht="13.5" customHeight="1" x14ac:dyDescent="0.3">
      <c r="A253" s="28"/>
      <c r="B253" s="28"/>
      <c r="C253" s="28"/>
      <c r="D253" s="28"/>
      <c r="E253" s="28"/>
      <c r="F253" s="29"/>
      <c r="G253" s="15"/>
      <c r="H253" s="15"/>
      <c r="I253" s="15"/>
      <c r="J253" s="15"/>
      <c r="K253" s="15"/>
      <c r="L253" s="15"/>
      <c r="M253" s="15"/>
      <c r="N253" s="15"/>
      <c r="O253" s="15"/>
      <c r="T253" s="73"/>
    </row>
    <row r="254" spans="1:20" ht="13.5" customHeight="1" x14ac:dyDescent="0.3">
      <c r="A254" s="32"/>
      <c r="B254" s="28"/>
      <c r="C254" s="28"/>
      <c r="D254" s="28"/>
      <c r="E254" s="28"/>
      <c r="F254" s="29"/>
      <c r="G254" s="15"/>
      <c r="H254" s="15"/>
      <c r="I254" s="15"/>
      <c r="J254" s="15"/>
      <c r="K254" s="15"/>
      <c r="L254" s="15"/>
      <c r="M254" s="15"/>
      <c r="N254" s="15"/>
      <c r="O254" s="15"/>
      <c r="T254" s="73"/>
    </row>
    <row r="255" spans="1:20" ht="13.5" customHeight="1" x14ac:dyDescent="0.3">
      <c r="A255" s="32"/>
      <c r="B255" s="28"/>
      <c r="C255" s="28"/>
      <c r="D255" s="28"/>
      <c r="E255" s="28"/>
      <c r="F255" s="29"/>
      <c r="G255" s="15"/>
      <c r="H255" s="15"/>
      <c r="I255" s="15"/>
      <c r="J255" s="15"/>
      <c r="K255" s="15"/>
      <c r="L255" s="15"/>
      <c r="M255" s="15"/>
      <c r="N255" s="15"/>
      <c r="O255" s="15"/>
      <c r="T255" s="73"/>
    </row>
    <row r="256" spans="1:20" ht="13.5" customHeight="1" x14ac:dyDescent="0.3">
      <c r="A256" s="32"/>
      <c r="B256" s="28"/>
      <c r="C256" s="28"/>
      <c r="D256" s="28"/>
      <c r="E256" s="28"/>
      <c r="F256" s="29"/>
      <c r="G256" s="15"/>
      <c r="H256" s="15"/>
      <c r="I256" s="15"/>
      <c r="J256" s="15"/>
      <c r="K256" s="15"/>
      <c r="L256" s="15"/>
      <c r="M256" s="15"/>
      <c r="N256" s="15"/>
      <c r="O256" s="15"/>
      <c r="T256" s="73"/>
    </row>
    <row r="257" spans="1:20" ht="13.5" customHeight="1" x14ac:dyDescent="0.3">
      <c r="A257" s="32"/>
      <c r="B257" s="28"/>
      <c r="C257" s="28"/>
      <c r="D257" s="28"/>
      <c r="E257" s="28"/>
      <c r="F257" s="29"/>
      <c r="G257" s="15"/>
      <c r="H257" s="15"/>
      <c r="I257" s="15"/>
      <c r="J257" s="15"/>
      <c r="K257" s="15"/>
      <c r="L257" s="15"/>
      <c r="M257" s="15"/>
      <c r="N257" s="15"/>
      <c r="O257" s="15"/>
      <c r="T257" s="73"/>
    </row>
    <row r="258" spans="1:20" ht="13.5" customHeight="1" x14ac:dyDescent="0.3">
      <c r="A258" s="32"/>
      <c r="B258" s="28"/>
      <c r="C258" s="28"/>
      <c r="D258" s="28"/>
      <c r="E258" s="28"/>
      <c r="F258" s="29"/>
      <c r="G258" s="15"/>
      <c r="H258" s="15"/>
      <c r="I258" s="15"/>
      <c r="J258" s="15"/>
      <c r="K258" s="15"/>
      <c r="L258" s="15"/>
      <c r="M258" s="15"/>
      <c r="N258" s="15"/>
      <c r="O258" s="15"/>
      <c r="T258" s="73"/>
    </row>
    <row r="259" spans="1:20" ht="13.5" customHeight="1" x14ac:dyDescent="0.3">
      <c r="A259" s="32"/>
      <c r="B259" s="28"/>
      <c r="C259" s="28"/>
      <c r="D259" s="28"/>
      <c r="E259" s="28"/>
      <c r="F259" s="29"/>
      <c r="G259" s="15"/>
      <c r="H259" s="15"/>
      <c r="I259" s="15"/>
      <c r="J259" s="15"/>
      <c r="K259" s="15"/>
      <c r="L259" s="15"/>
      <c r="M259" s="15"/>
      <c r="N259" s="15"/>
      <c r="O259" s="15"/>
      <c r="T259" s="73"/>
    </row>
    <row r="260" spans="1:20" ht="13.5" customHeight="1" x14ac:dyDescent="0.3">
      <c r="A260" s="32"/>
      <c r="B260" s="28"/>
      <c r="C260" s="28"/>
      <c r="D260" s="28"/>
      <c r="E260" s="28"/>
      <c r="F260" s="29"/>
      <c r="G260" s="15"/>
      <c r="H260" s="15"/>
      <c r="I260" s="15"/>
      <c r="J260" s="15"/>
      <c r="K260" s="15"/>
      <c r="L260" s="15"/>
      <c r="M260" s="15"/>
      <c r="N260" s="15"/>
      <c r="O260" s="15"/>
      <c r="T260" s="73"/>
    </row>
    <row r="261" spans="1:20" ht="13.5" customHeight="1" x14ac:dyDescent="0.3">
      <c r="A261" s="32"/>
      <c r="B261" s="28"/>
      <c r="C261" s="28"/>
      <c r="D261" s="28"/>
      <c r="E261" s="28"/>
      <c r="F261" s="29"/>
      <c r="G261" s="15"/>
      <c r="H261" s="15"/>
      <c r="I261" s="15"/>
      <c r="J261" s="15"/>
      <c r="K261" s="15"/>
      <c r="L261" s="15"/>
      <c r="M261" s="15"/>
      <c r="N261" s="15"/>
      <c r="O261" s="15"/>
      <c r="T261" s="73"/>
    </row>
    <row r="262" spans="1:20" ht="13.5" customHeight="1" x14ac:dyDescent="0.3">
      <c r="A262" s="32"/>
      <c r="B262" s="28"/>
      <c r="C262" s="28"/>
      <c r="D262" s="28"/>
      <c r="E262" s="28"/>
      <c r="F262" s="29"/>
      <c r="G262" s="15"/>
      <c r="H262" s="15"/>
      <c r="I262" s="15"/>
      <c r="J262" s="15"/>
      <c r="K262" s="15"/>
      <c r="L262" s="15"/>
      <c r="M262" s="15"/>
      <c r="N262" s="15"/>
      <c r="O262" s="15"/>
      <c r="T262" s="73"/>
    </row>
    <row r="263" spans="1:20" ht="13.5" customHeight="1" x14ac:dyDescent="0.3">
      <c r="A263" s="32"/>
      <c r="B263" s="28"/>
      <c r="C263" s="28"/>
      <c r="D263" s="28"/>
      <c r="E263" s="28"/>
      <c r="F263" s="29"/>
      <c r="G263" s="15"/>
      <c r="H263" s="15"/>
      <c r="I263" s="15"/>
      <c r="J263" s="15"/>
      <c r="K263" s="15"/>
      <c r="L263" s="15"/>
      <c r="M263" s="15"/>
      <c r="N263" s="15"/>
      <c r="O263" s="15"/>
      <c r="T263" s="73"/>
    </row>
    <row r="264" spans="1:20" ht="13.5" customHeight="1" x14ac:dyDescent="0.3">
      <c r="A264" s="32"/>
      <c r="B264" s="28"/>
      <c r="C264" s="28"/>
      <c r="D264" s="28"/>
      <c r="E264" s="28"/>
      <c r="F264" s="29"/>
      <c r="G264" s="15"/>
      <c r="H264" s="15"/>
      <c r="I264" s="15"/>
      <c r="J264" s="15"/>
      <c r="K264" s="15"/>
      <c r="L264" s="15"/>
      <c r="M264" s="15"/>
      <c r="N264" s="15"/>
      <c r="O264" s="15"/>
      <c r="T264" s="73"/>
    </row>
    <row r="265" spans="1:20" ht="13.5" customHeight="1" x14ac:dyDescent="0.3">
      <c r="A265" s="32"/>
      <c r="B265" s="28"/>
      <c r="C265" s="28"/>
      <c r="D265" s="28"/>
      <c r="E265" s="28"/>
      <c r="F265" s="29"/>
      <c r="G265" s="15"/>
      <c r="H265" s="15"/>
      <c r="I265" s="15"/>
      <c r="J265" s="15"/>
      <c r="K265" s="15"/>
      <c r="L265" s="15"/>
      <c r="M265" s="15"/>
      <c r="N265" s="15"/>
      <c r="O265" s="15"/>
      <c r="T265" s="73"/>
    </row>
    <row r="266" spans="1:20" ht="13.5" customHeight="1" x14ac:dyDescent="0.3">
      <c r="A266" s="32"/>
      <c r="B266" s="28"/>
      <c r="C266" s="28"/>
      <c r="D266" s="28"/>
      <c r="E266" s="28"/>
      <c r="F266" s="29"/>
      <c r="G266" s="15"/>
      <c r="H266" s="15"/>
      <c r="I266" s="15"/>
      <c r="J266" s="15"/>
      <c r="K266" s="15"/>
      <c r="L266" s="15"/>
      <c r="M266" s="15"/>
      <c r="N266" s="15"/>
      <c r="O266" s="15"/>
      <c r="T266" s="73"/>
    </row>
    <row r="267" spans="1:20" ht="13.5" customHeight="1" x14ac:dyDescent="0.3">
      <c r="A267" s="32"/>
      <c r="B267" s="28"/>
      <c r="C267" s="28"/>
      <c r="D267" s="28"/>
      <c r="E267" s="28"/>
      <c r="F267" s="29"/>
      <c r="G267" s="15"/>
      <c r="H267" s="15"/>
      <c r="I267" s="15"/>
      <c r="J267" s="15"/>
      <c r="K267" s="15"/>
      <c r="L267" s="15"/>
      <c r="M267" s="15"/>
      <c r="N267" s="15"/>
      <c r="O267" s="15"/>
      <c r="T267" s="73"/>
    </row>
    <row r="268" spans="1:20" ht="13.5" customHeight="1" x14ac:dyDescent="0.3">
      <c r="A268" s="32"/>
      <c r="B268" s="28"/>
      <c r="C268" s="28"/>
      <c r="D268" s="28"/>
      <c r="E268" s="28"/>
      <c r="F268" s="29"/>
      <c r="G268" s="15"/>
      <c r="H268" s="15"/>
      <c r="I268" s="15"/>
      <c r="J268" s="15"/>
      <c r="K268" s="15"/>
      <c r="L268" s="15"/>
      <c r="M268" s="15"/>
      <c r="N268" s="15"/>
      <c r="O268" s="15"/>
      <c r="T268" s="73"/>
    </row>
    <row r="269" spans="1:20" ht="13.5" customHeight="1" x14ac:dyDescent="0.3">
      <c r="A269" s="32"/>
      <c r="B269" s="28"/>
      <c r="C269" s="28"/>
      <c r="D269" s="28"/>
      <c r="E269" s="28"/>
      <c r="F269" s="29"/>
      <c r="G269" s="15"/>
      <c r="H269" s="15"/>
      <c r="I269" s="15"/>
      <c r="J269" s="15"/>
      <c r="K269" s="15"/>
      <c r="L269" s="15"/>
      <c r="M269" s="15"/>
      <c r="N269" s="15"/>
      <c r="O269" s="15"/>
      <c r="T269" s="73"/>
    </row>
    <row r="270" spans="1:20" ht="13.5" customHeight="1" x14ac:dyDescent="0.3">
      <c r="A270" s="32"/>
      <c r="B270" s="28"/>
      <c r="C270" s="28"/>
      <c r="D270" s="28"/>
      <c r="E270" s="28"/>
      <c r="F270" s="29"/>
      <c r="G270" s="15"/>
      <c r="H270" s="15"/>
      <c r="I270" s="15"/>
      <c r="J270" s="15"/>
      <c r="K270" s="15"/>
      <c r="L270" s="15"/>
      <c r="M270" s="15"/>
      <c r="N270" s="15"/>
      <c r="O270" s="15"/>
      <c r="T270" s="73"/>
    </row>
    <row r="271" spans="1:20" ht="13.5" customHeight="1" x14ac:dyDescent="0.3">
      <c r="A271" s="32"/>
      <c r="B271" s="28"/>
      <c r="C271" s="28"/>
      <c r="D271" s="28"/>
      <c r="E271" s="28"/>
      <c r="F271" s="29"/>
      <c r="G271" s="15"/>
      <c r="H271" s="15"/>
      <c r="I271" s="15"/>
      <c r="J271" s="15"/>
      <c r="K271" s="15"/>
      <c r="L271" s="15"/>
      <c r="M271" s="15"/>
      <c r="N271" s="15"/>
      <c r="O271" s="15"/>
      <c r="T271" s="73"/>
    </row>
    <row r="272" spans="1:20" ht="13.5" customHeight="1" x14ac:dyDescent="0.3">
      <c r="A272" s="32"/>
      <c r="B272" s="28"/>
      <c r="C272" s="28"/>
      <c r="D272" s="28"/>
      <c r="E272" s="28"/>
      <c r="F272" s="29"/>
      <c r="G272" s="15"/>
      <c r="H272" s="15"/>
      <c r="I272" s="15"/>
      <c r="J272" s="15"/>
      <c r="K272" s="15"/>
      <c r="L272" s="15"/>
      <c r="M272" s="15"/>
      <c r="N272" s="15"/>
      <c r="O272" s="15"/>
      <c r="T272" s="73"/>
    </row>
    <row r="273" spans="1:20" ht="13.5" customHeight="1" x14ac:dyDescent="0.3">
      <c r="A273" s="32"/>
      <c r="B273" s="28"/>
      <c r="C273" s="28"/>
      <c r="D273" s="28"/>
      <c r="E273" s="28"/>
      <c r="F273" s="29"/>
      <c r="G273" s="15"/>
      <c r="H273" s="15"/>
      <c r="I273" s="15"/>
      <c r="J273" s="15"/>
      <c r="K273" s="15"/>
      <c r="L273" s="15"/>
      <c r="M273" s="15"/>
      <c r="N273" s="15"/>
      <c r="O273" s="15"/>
      <c r="T273" s="73"/>
    </row>
    <row r="274" spans="1:20" ht="13.5" customHeight="1" x14ac:dyDescent="0.3">
      <c r="A274" s="32"/>
      <c r="B274" s="28"/>
      <c r="C274" s="28"/>
      <c r="D274" s="28"/>
      <c r="E274" s="28"/>
      <c r="F274" s="29"/>
      <c r="G274" s="15"/>
      <c r="H274" s="15"/>
      <c r="I274" s="15"/>
      <c r="J274" s="15"/>
      <c r="K274" s="15"/>
      <c r="L274" s="15"/>
      <c r="M274" s="15"/>
      <c r="N274" s="15"/>
      <c r="O274" s="15"/>
      <c r="T274" s="73"/>
    </row>
    <row r="275" spans="1:20" ht="13.5" customHeight="1" x14ac:dyDescent="0.3">
      <c r="A275" s="32"/>
      <c r="B275" s="28"/>
      <c r="C275" s="28"/>
      <c r="D275" s="28"/>
      <c r="E275" s="28"/>
      <c r="F275" s="29"/>
      <c r="G275" s="15"/>
      <c r="H275" s="15"/>
      <c r="I275" s="15"/>
      <c r="J275" s="15"/>
      <c r="K275" s="15"/>
      <c r="L275" s="15"/>
      <c r="M275" s="15"/>
      <c r="N275" s="15"/>
      <c r="O275" s="15"/>
      <c r="T275" s="73"/>
    </row>
    <row r="276" spans="1:20" ht="13.5" customHeight="1" x14ac:dyDescent="0.3">
      <c r="A276" s="32"/>
      <c r="B276" s="28"/>
      <c r="C276" s="28"/>
      <c r="D276" s="28"/>
      <c r="E276" s="28"/>
      <c r="F276" s="29"/>
      <c r="G276" s="15"/>
      <c r="H276" s="15"/>
      <c r="I276" s="15"/>
      <c r="J276" s="15"/>
      <c r="K276" s="15"/>
      <c r="L276" s="15"/>
      <c r="M276" s="15"/>
      <c r="N276" s="15"/>
      <c r="O276" s="15"/>
      <c r="T276" s="73"/>
    </row>
    <row r="277" spans="1:20" ht="13.5" customHeight="1" x14ac:dyDescent="0.3">
      <c r="A277" s="32"/>
      <c r="B277" s="28"/>
      <c r="C277" s="28"/>
      <c r="D277" s="28"/>
      <c r="E277" s="28"/>
      <c r="F277" s="29"/>
      <c r="G277" s="15"/>
      <c r="H277" s="15"/>
      <c r="I277" s="15"/>
      <c r="J277" s="15"/>
      <c r="K277" s="15"/>
      <c r="L277" s="15"/>
      <c r="M277" s="15"/>
      <c r="N277" s="15"/>
      <c r="O277" s="15"/>
      <c r="T277" s="73"/>
    </row>
    <row r="278" spans="1:20" ht="13.5" customHeight="1" x14ac:dyDescent="0.3">
      <c r="A278" s="32"/>
      <c r="B278" s="28"/>
      <c r="C278" s="28"/>
      <c r="D278" s="28"/>
      <c r="E278" s="28"/>
      <c r="F278" s="29"/>
      <c r="G278" s="15"/>
      <c r="H278" s="15"/>
      <c r="I278" s="15"/>
      <c r="J278" s="15"/>
      <c r="K278" s="15"/>
      <c r="L278" s="15"/>
      <c r="M278" s="15"/>
      <c r="N278" s="15"/>
      <c r="O278" s="15"/>
      <c r="T278" s="73"/>
    </row>
    <row r="279" spans="1:20" ht="13.5" customHeight="1" x14ac:dyDescent="0.3">
      <c r="A279" s="32"/>
      <c r="B279" s="28"/>
      <c r="C279" s="28"/>
      <c r="D279" s="28"/>
      <c r="E279" s="28"/>
      <c r="F279" s="29"/>
      <c r="G279" s="15"/>
      <c r="H279" s="15"/>
      <c r="I279" s="15"/>
      <c r="J279" s="15"/>
      <c r="K279" s="15"/>
      <c r="L279" s="15"/>
      <c r="M279" s="15"/>
      <c r="N279" s="15"/>
      <c r="O279" s="15"/>
      <c r="T279" s="73"/>
    </row>
    <row r="280" spans="1:20" ht="13.5" customHeight="1" x14ac:dyDescent="0.3">
      <c r="A280" s="32"/>
      <c r="B280" s="28"/>
      <c r="C280" s="28"/>
      <c r="D280" s="28"/>
      <c r="E280" s="28"/>
      <c r="F280" s="29"/>
      <c r="G280" s="15"/>
      <c r="H280" s="15"/>
      <c r="I280" s="15"/>
      <c r="J280" s="15"/>
      <c r="K280" s="15"/>
      <c r="L280" s="15"/>
      <c r="M280" s="15"/>
      <c r="N280" s="15"/>
      <c r="O280" s="15"/>
      <c r="T280" s="73"/>
    </row>
    <row r="281" spans="1:20" ht="13.5" customHeight="1" x14ac:dyDescent="0.3">
      <c r="A281" s="32"/>
      <c r="B281" s="28"/>
      <c r="C281" s="28"/>
      <c r="D281" s="28"/>
      <c r="E281" s="28"/>
      <c r="F281" s="29"/>
      <c r="G281" s="15"/>
      <c r="H281" s="15"/>
      <c r="I281" s="15"/>
      <c r="J281" s="15"/>
      <c r="K281" s="15"/>
      <c r="L281" s="15"/>
      <c r="M281" s="15"/>
      <c r="N281" s="15"/>
      <c r="O281" s="15"/>
      <c r="T281" s="73"/>
    </row>
    <row r="282" spans="1:20" ht="13.5" customHeight="1" x14ac:dyDescent="0.3">
      <c r="A282" s="32"/>
      <c r="B282" s="28"/>
      <c r="C282" s="28"/>
      <c r="D282" s="28"/>
      <c r="E282" s="28"/>
      <c r="F282" s="29"/>
      <c r="G282" s="15"/>
      <c r="H282" s="15"/>
      <c r="I282" s="15"/>
      <c r="J282" s="15"/>
      <c r="K282" s="15"/>
      <c r="L282" s="15"/>
      <c r="M282" s="15"/>
      <c r="N282" s="15"/>
      <c r="O282" s="15"/>
      <c r="T282" s="73"/>
    </row>
    <row r="283" spans="1:20" ht="13.5" customHeight="1" x14ac:dyDescent="0.3">
      <c r="A283" s="32"/>
      <c r="B283" s="28"/>
      <c r="C283" s="28"/>
      <c r="D283" s="28"/>
      <c r="E283" s="28"/>
      <c r="F283" s="29"/>
      <c r="G283" s="15"/>
      <c r="H283" s="15"/>
      <c r="I283" s="15"/>
      <c r="J283" s="15"/>
      <c r="K283" s="15"/>
      <c r="L283" s="15"/>
      <c r="M283" s="15"/>
      <c r="N283" s="15"/>
      <c r="O283" s="15"/>
      <c r="T283" s="73"/>
    </row>
    <row r="284" spans="1:20" ht="15" customHeight="1" x14ac:dyDescent="0.3">
      <c r="A284" s="32"/>
      <c r="B284" s="28"/>
      <c r="C284" s="28"/>
      <c r="D284" s="28"/>
      <c r="E284" s="28"/>
      <c r="F284" s="29"/>
      <c r="G284" s="15"/>
      <c r="H284" s="15"/>
      <c r="I284" s="15"/>
      <c r="J284" s="15"/>
      <c r="K284" s="15"/>
      <c r="L284" s="15"/>
      <c r="M284" s="15"/>
      <c r="N284" s="15"/>
      <c r="O284" s="15"/>
      <c r="T284" s="73"/>
    </row>
    <row r="285" spans="1:20" ht="15" customHeight="1" x14ac:dyDescent="0.3">
      <c r="A285" s="32"/>
      <c r="B285" s="28"/>
      <c r="C285" s="28"/>
      <c r="D285" s="28"/>
      <c r="E285" s="28"/>
      <c r="F285" s="29"/>
      <c r="G285" s="15"/>
      <c r="H285" s="15"/>
      <c r="I285" s="15"/>
      <c r="J285" s="15"/>
      <c r="K285" s="15"/>
      <c r="L285" s="15"/>
      <c r="M285" s="15"/>
      <c r="N285" s="15"/>
      <c r="O285" s="15"/>
      <c r="T285" s="73"/>
    </row>
    <row r="286" spans="1:20" ht="15" customHeight="1" x14ac:dyDescent="0.3">
      <c r="A286" s="32"/>
      <c r="B286" s="28"/>
      <c r="C286" s="28"/>
      <c r="D286" s="28"/>
      <c r="E286" s="28"/>
      <c r="F286" s="29"/>
      <c r="G286" s="15"/>
      <c r="H286" s="15"/>
      <c r="I286" s="15"/>
      <c r="J286" s="15"/>
      <c r="K286" s="15"/>
      <c r="L286" s="15"/>
      <c r="M286" s="15"/>
      <c r="N286" s="15"/>
      <c r="O286" s="15"/>
      <c r="T286" s="73"/>
    </row>
    <row r="287" spans="1:20" ht="15" customHeight="1" x14ac:dyDescent="0.3">
      <c r="A287" s="32"/>
      <c r="B287" s="28"/>
      <c r="C287" s="28"/>
      <c r="D287" s="28"/>
      <c r="E287" s="28"/>
      <c r="F287" s="29"/>
      <c r="G287" s="15"/>
      <c r="H287" s="15"/>
      <c r="I287" s="15"/>
      <c r="J287" s="15"/>
      <c r="K287" s="15"/>
      <c r="L287" s="15"/>
      <c r="M287" s="15"/>
      <c r="N287" s="15"/>
      <c r="O287" s="15"/>
      <c r="T287" s="73"/>
    </row>
    <row r="288" spans="1:20" ht="15" customHeight="1" x14ac:dyDescent="0.3">
      <c r="A288" s="32"/>
      <c r="B288" s="28"/>
      <c r="C288" s="28"/>
      <c r="D288" s="28"/>
      <c r="E288" s="28"/>
      <c r="F288" s="29"/>
      <c r="G288" s="15"/>
      <c r="H288" s="15"/>
      <c r="I288" s="15"/>
      <c r="J288" s="15"/>
      <c r="K288" s="15"/>
      <c r="L288" s="15"/>
      <c r="M288" s="15"/>
      <c r="N288" s="15"/>
      <c r="O288" s="15"/>
      <c r="T288" s="73"/>
    </row>
    <row r="289" spans="1:20" ht="15" customHeight="1" x14ac:dyDescent="0.3">
      <c r="A289" s="32"/>
      <c r="B289" s="28"/>
      <c r="C289" s="28"/>
      <c r="D289" s="28"/>
      <c r="E289" s="28"/>
      <c r="F289" s="29"/>
      <c r="G289" s="15"/>
      <c r="H289" s="15"/>
      <c r="I289" s="15"/>
      <c r="J289" s="15"/>
      <c r="K289" s="15"/>
      <c r="L289" s="15"/>
      <c r="M289" s="15"/>
      <c r="N289" s="15"/>
      <c r="O289" s="15"/>
      <c r="T289" s="73"/>
    </row>
    <row r="290" spans="1:20" ht="15" customHeight="1" x14ac:dyDescent="0.3">
      <c r="A290" s="32"/>
      <c r="B290" s="28"/>
      <c r="C290" s="28"/>
      <c r="D290" s="28"/>
      <c r="E290" s="28"/>
      <c r="F290" s="29"/>
      <c r="G290" s="15"/>
      <c r="H290" s="15"/>
      <c r="I290" s="15"/>
      <c r="J290" s="15"/>
      <c r="K290" s="15"/>
      <c r="L290" s="15"/>
      <c r="M290" s="15"/>
      <c r="N290" s="15"/>
      <c r="O290" s="15"/>
      <c r="T290" s="73"/>
    </row>
    <row r="291" spans="1:20" ht="15" customHeight="1" x14ac:dyDescent="0.3">
      <c r="A291" s="32"/>
      <c r="B291" s="28"/>
      <c r="C291" s="28"/>
      <c r="D291" s="28"/>
      <c r="E291" s="28"/>
      <c r="F291" s="29"/>
      <c r="G291" s="15"/>
      <c r="H291" s="15"/>
      <c r="I291" s="15"/>
      <c r="J291" s="15"/>
      <c r="K291" s="15"/>
      <c r="L291" s="15"/>
      <c r="M291" s="15"/>
      <c r="N291" s="15"/>
      <c r="O291" s="15"/>
      <c r="T291" s="73"/>
    </row>
    <row r="292" spans="1:20" ht="15" customHeight="1" x14ac:dyDescent="0.3">
      <c r="A292" s="32"/>
      <c r="B292" s="28"/>
      <c r="C292" s="28"/>
      <c r="D292" s="28"/>
      <c r="E292" s="28"/>
      <c r="F292" s="29"/>
      <c r="G292" s="15"/>
      <c r="H292" s="15"/>
      <c r="I292" s="15"/>
      <c r="J292" s="15"/>
      <c r="K292" s="15"/>
      <c r="L292" s="15"/>
      <c r="M292" s="15"/>
      <c r="N292" s="15"/>
      <c r="O292" s="15"/>
      <c r="T292" s="73"/>
    </row>
    <row r="293" spans="1:20" x14ac:dyDescent="0.3">
      <c r="A293" s="32"/>
      <c r="B293" s="28"/>
      <c r="C293" s="28"/>
      <c r="D293" s="28"/>
      <c r="E293" s="28"/>
      <c r="F293" s="29"/>
      <c r="G293" s="15"/>
      <c r="H293" s="15"/>
      <c r="I293" s="15"/>
      <c r="J293" s="15"/>
      <c r="K293" s="15"/>
      <c r="L293" s="15"/>
      <c r="M293" s="15"/>
      <c r="N293" s="15"/>
      <c r="O293" s="15"/>
      <c r="T293" s="73"/>
    </row>
    <row r="294" spans="1:20" x14ac:dyDescent="0.3">
      <c r="A294" s="32"/>
      <c r="B294" s="28"/>
      <c r="C294" s="28"/>
      <c r="D294" s="28"/>
      <c r="E294" s="28"/>
      <c r="F294" s="29"/>
      <c r="G294" s="15"/>
      <c r="H294" s="15"/>
      <c r="I294" s="15"/>
      <c r="J294" s="15"/>
      <c r="K294" s="15"/>
      <c r="L294" s="15"/>
      <c r="M294" s="15"/>
      <c r="N294" s="15"/>
      <c r="O294" s="15"/>
      <c r="T294" s="73"/>
    </row>
    <row r="295" spans="1:20" x14ac:dyDescent="0.3">
      <c r="A295" s="32"/>
      <c r="B295" s="28"/>
      <c r="C295" s="28"/>
      <c r="D295" s="28"/>
      <c r="E295" s="28"/>
      <c r="F295" s="29"/>
      <c r="G295" s="15"/>
      <c r="H295" s="15"/>
      <c r="I295" s="15"/>
      <c r="J295" s="15"/>
      <c r="K295" s="15"/>
      <c r="L295" s="15"/>
      <c r="M295" s="15"/>
      <c r="N295" s="15"/>
      <c r="O295" s="15"/>
      <c r="T295" s="73"/>
    </row>
    <row r="296" spans="1:20" ht="15" customHeight="1" x14ac:dyDescent="0.3">
      <c r="A296" s="32"/>
      <c r="B296" s="28"/>
      <c r="C296" s="28"/>
      <c r="D296" s="28"/>
      <c r="E296" s="28"/>
      <c r="F296" s="29"/>
      <c r="G296" s="15"/>
      <c r="H296" s="15"/>
      <c r="I296" s="15"/>
      <c r="J296" s="15"/>
      <c r="K296" s="15"/>
      <c r="L296" s="15"/>
      <c r="M296" s="15"/>
      <c r="N296" s="15"/>
      <c r="O296" s="15"/>
      <c r="T296" s="73"/>
    </row>
    <row r="297" spans="1:20" ht="15" customHeight="1" x14ac:dyDescent="0.3">
      <c r="A297" s="32"/>
      <c r="B297" s="28"/>
      <c r="C297" s="28"/>
      <c r="D297" s="28"/>
      <c r="E297" s="28"/>
      <c r="F297" s="29"/>
      <c r="G297" s="15"/>
      <c r="H297" s="15"/>
      <c r="I297" s="15"/>
      <c r="J297" s="15"/>
      <c r="K297" s="15"/>
      <c r="L297" s="15"/>
      <c r="M297" s="15"/>
      <c r="N297" s="15"/>
      <c r="O297" s="15"/>
      <c r="T297" s="73"/>
    </row>
    <row r="298" spans="1:20" ht="15" customHeight="1" x14ac:dyDescent="0.3">
      <c r="A298" s="32"/>
      <c r="B298" s="28"/>
      <c r="C298" s="28"/>
      <c r="D298" s="28"/>
      <c r="E298" s="28"/>
      <c r="F298" s="29"/>
      <c r="G298" s="15"/>
      <c r="H298" s="15"/>
      <c r="I298" s="15"/>
      <c r="J298" s="15"/>
      <c r="K298" s="15"/>
      <c r="L298" s="15"/>
      <c r="M298" s="15"/>
      <c r="N298" s="15"/>
      <c r="O298" s="15"/>
      <c r="T298" s="73"/>
    </row>
    <row r="299" spans="1:20" ht="15" customHeight="1" x14ac:dyDescent="0.3">
      <c r="A299" s="32"/>
      <c r="B299" s="28"/>
      <c r="C299" s="28"/>
      <c r="D299" s="28"/>
      <c r="E299" s="28"/>
      <c r="F299" s="29"/>
      <c r="G299" s="15"/>
      <c r="H299" s="15"/>
      <c r="I299" s="15"/>
      <c r="J299" s="15"/>
      <c r="K299" s="15"/>
      <c r="L299" s="15"/>
      <c r="M299" s="15"/>
      <c r="N299" s="15"/>
      <c r="O299" s="15"/>
      <c r="T299" s="73"/>
    </row>
    <row r="300" spans="1:20" ht="15" customHeight="1" x14ac:dyDescent="0.3">
      <c r="A300" s="32"/>
      <c r="B300" s="28"/>
      <c r="C300" s="28"/>
      <c r="D300" s="28"/>
      <c r="E300" s="28"/>
      <c r="F300" s="29"/>
      <c r="G300" s="15"/>
      <c r="H300" s="15"/>
      <c r="I300" s="15"/>
      <c r="J300" s="15"/>
      <c r="K300" s="15"/>
      <c r="L300" s="15"/>
      <c r="M300" s="15"/>
      <c r="N300" s="15"/>
      <c r="O300" s="15"/>
      <c r="T300" s="73"/>
    </row>
    <row r="301" spans="1:20" ht="15" customHeight="1" x14ac:dyDescent="0.3">
      <c r="A301" s="32"/>
      <c r="B301" s="28"/>
      <c r="C301" s="28"/>
      <c r="D301" s="28"/>
      <c r="E301" s="28"/>
      <c r="F301" s="29"/>
      <c r="G301" s="15"/>
      <c r="H301" s="15"/>
      <c r="I301" s="15"/>
      <c r="J301" s="15"/>
      <c r="K301" s="15"/>
      <c r="L301" s="15"/>
      <c r="M301" s="15"/>
      <c r="N301" s="15"/>
      <c r="O301" s="15"/>
      <c r="T301" s="73"/>
    </row>
    <row r="302" spans="1:20" ht="15" customHeight="1" x14ac:dyDescent="0.3">
      <c r="A302" s="32"/>
      <c r="B302" s="28"/>
      <c r="C302" s="28"/>
      <c r="D302" s="28"/>
      <c r="E302" s="28"/>
      <c r="F302" s="29"/>
      <c r="G302" s="15"/>
      <c r="H302" s="15"/>
      <c r="I302" s="15"/>
      <c r="J302" s="15"/>
      <c r="K302" s="15"/>
      <c r="L302" s="15"/>
      <c r="M302" s="15"/>
      <c r="N302" s="15"/>
      <c r="O302" s="15"/>
      <c r="T302" s="73"/>
    </row>
    <row r="303" spans="1:20" ht="15" customHeight="1" x14ac:dyDescent="0.3">
      <c r="A303" s="32"/>
      <c r="B303" s="28"/>
      <c r="C303" s="28"/>
      <c r="D303" s="28"/>
      <c r="E303" s="28"/>
      <c r="F303" s="29"/>
      <c r="G303" s="15"/>
      <c r="H303" s="15"/>
      <c r="I303" s="15"/>
      <c r="J303" s="15"/>
      <c r="K303" s="15"/>
      <c r="L303" s="15"/>
      <c r="M303" s="15"/>
      <c r="N303" s="15"/>
      <c r="O303" s="15"/>
      <c r="T303" s="73"/>
    </row>
    <row r="304" spans="1:20" ht="15" customHeight="1" x14ac:dyDescent="0.3">
      <c r="A304" s="26"/>
      <c r="B304" s="24"/>
      <c r="C304" s="24"/>
      <c r="D304" s="24"/>
      <c r="E304" s="24"/>
      <c r="H304" s="25"/>
      <c r="I304" s="25"/>
      <c r="J304" s="25"/>
      <c r="K304" s="25"/>
      <c r="L304" s="25"/>
      <c r="M304" s="25"/>
      <c r="T304" s="73"/>
    </row>
    <row r="305" spans="1:20" ht="15" customHeight="1" x14ac:dyDescent="0.3">
      <c r="A305" s="26"/>
      <c r="B305" s="24"/>
      <c r="C305" s="24"/>
      <c r="D305" s="24"/>
      <c r="E305" s="24"/>
      <c r="H305" s="25"/>
      <c r="I305" s="25"/>
      <c r="J305" s="25"/>
      <c r="K305" s="25"/>
      <c r="L305" s="25"/>
      <c r="M305" s="25"/>
      <c r="T305" s="73"/>
    </row>
    <row r="306" spans="1:20" ht="15" customHeight="1" x14ac:dyDescent="0.3">
      <c r="A306" s="26"/>
      <c r="B306" s="24"/>
      <c r="C306" s="24"/>
      <c r="D306" s="24"/>
      <c r="E306" s="24"/>
      <c r="H306" s="25"/>
      <c r="I306" s="25"/>
      <c r="J306" s="25"/>
      <c r="K306" s="25"/>
      <c r="L306" s="25"/>
      <c r="M306" s="25"/>
      <c r="T306" s="73"/>
    </row>
    <row r="307" spans="1:20" ht="15" customHeight="1" x14ac:dyDescent="0.3">
      <c r="A307" s="26"/>
      <c r="B307" s="24"/>
      <c r="C307" s="24"/>
      <c r="D307" s="24"/>
      <c r="E307" s="24"/>
      <c r="H307" s="25"/>
      <c r="I307" s="25"/>
      <c r="J307" s="25"/>
      <c r="K307" s="25"/>
      <c r="L307" s="25"/>
      <c r="M307" s="25"/>
      <c r="T307" s="73"/>
    </row>
    <row r="308" spans="1:20" ht="15" customHeight="1" x14ac:dyDescent="0.3">
      <c r="A308" s="26"/>
      <c r="B308" s="24"/>
      <c r="C308" s="24"/>
      <c r="D308" s="24"/>
      <c r="E308" s="24"/>
      <c r="H308" s="25"/>
      <c r="I308" s="25"/>
      <c r="J308" s="25"/>
      <c r="K308" s="25"/>
      <c r="L308" s="25"/>
      <c r="M308" s="25"/>
      <c r="T308" s="73"/>
    </row>
    <row r="309" spans="1:20" ht="15" customHeight="1" x14ac:dyDescent="0.3">
      <c r="A309" s="26"/>
      <c r="B309" s="24"/>
      <c r="H309" s="25"/>
      <c r="I309" s="25"/>
      <c r="J309" s="25"/>
      <c r="K309" s="25"/>
      <c r="L309" s="25"/>
      <c r="M309" s="25"/>
      <c r="T309" s="73"/>
    </row>
    <row r="310" spans="1:20" ht="15" customHeight="1" x14ac:dyDescent="0.3">
      <c r="A310" s="26"/>
      <c r="B310" s="24"/>
      <c r="H310" s="25"/>
      <c r="I310" s="25"/>
      <c r="J310" s="25"/>
      <c r="K310" s="25"/>
      <c r="L310" s="25"/>
      <c r="M310" s="25"/>
      <c r="T310" s="73"/>
    </row>
    <row r="311" spans="1:20" ht="15" customHeight="1" x14ac:dyDescent="0.3">
      <c r="A311" s="26"/>
      <c r="B311" s="24"/>
      <c r="H311" s="25"/>
      <c r="I311" s="25"/>
      <c r="J311" s="25"/>
      <c r="K311" s="25"/>
      <c r="L311" s="25"/>
      <c r="M311" s="25"/>
      <c r="T311" s="73"/>
    </row>
    <row r="312" spans="1:20" ht="15" customHeight="1" x14ac:dyDescent="0.3">
      <c r="A312" s="26"/>
      <c r="B312" s="24"/>
      <c r="H312" s="25"/>
      <c r="I312" s="25"/>
      <c r="J312" s="25"/>
      <c r="K312" s="25"/>
      <c r="L312" s="25"/>
      <c r="M312" s="25"/>
      <c r="T312" s="73"/>
    </row>
    <row r="313" spans="1:20" ht="15" customHeight="1" x14ac:dyDescent="0.3">
      <c r="A313" s="26"/>
      <c r="B313" s="24"/>
      <c r="H313" s="25"/>
      <c r="I313" s="25"/>
      <c r="J313" s="25"/>
      <c r="K313" s="25"/>
      <c r="L313" s="25"/>
      <c r="M313" s="25"/>
      <c r="T313" s="73"/>
    </row>
    <row r="314" spans="1:20" ht="15" customHeight="1" x14ac:dyDescent="0.3">
      <c r="A314" s="26"/>
      <c r="B314" s="24"/>
      <c r="H314" s="25"/>
      <c r="I314" s="25"/>
      <c r="J314" s="25"/>
      <c r="K314" s="25"/>
      <c r="L314" s="25"/>
      <c r="M314" s="25"/>
      <c r="T314" s="73"/>
    </row>
    <row r="315" spans="1:20" ht="15" customHeight="1" x14ac:dyDescent="0.3">
      <c r="A315" s="26"/>
      <c r="B315" s="24"/>
      <c r="H315" s="25"/>
      <c r="I315" s="25"/>
      <c r="J315" s="25"/>
      <c r="K315" s="25"/>
      <c r="L315" s="25"/>
      <c r="M315" s="25"/>
      <c r="T315" s="73"/>
    </row>
    <row r="316" spans="1:20" ht="15" customHeight="1" x14ac:dyDescent="0.3">
      <c r="A316" s="26"/>
      <c r="B316" s="24"/>
      <c r="H316" s="25"/>
      <c r="I316" s="25"/>
      <c r="J316" s="25"/>
      <c r="K316" s="25"/>
      <c r="L316" s="25"/>
      <c r="M316" s="25"/>
      <c r="T316" s="73"/>
    </row>
    <row r="317" spans="1:20" ht="15" customHeight="1" x14ac:dyDescent="0.3">
      <c r="A317" s="26"/>
      <c r="B317" s="24"/>
      <c r="H317" s="25"/>
      <c r="I317" s="25"/>
      <c r="J317" s="25"/>
      <c r="K317" s="25"/>
      <c r="L317" s="25"/>
      <c r="M317" s="25"/>
      <c r="T317" s="73"/>
    </row>
    <row r="318" spans="1:20" x14ac:dyDescent="0.3">
      <c r="A318" s="26"/>
      <c r="B318" s="24"/>
      <c r="H318" s="25"/>
      <c r="I318" s="25"/>
      <c r="J318" s="25"/>
      <c r="K318" s="25"/>
      <c r="L318" s="25"/>
      <c r="M318" s="25"/>
      <c r="T318" s="73"/>
    </row>
    <row r="319" spans="1:20" x14ac:dyDescent="0.3">
      <c r="A319" s="26"/>
      <c r="B319" s="24"/>
      <c r="H319" s="25"/>
      <c r="I319" s="25"/>
      <c r="J319" s="25"/>
      <c r="K319" s="25"/>
      <c r="L319" s="25"/>
      <c r="M319" s="25"/>
      <c r="T319" s="73"/>
    </row>
    <row r="320" spans="1:20" x14ac:dyDescent="0.3">
      <c r="A320" s="26"/>
      <c r="B320" s="24"/>
      <c r="H320" s="25"/>
      <c r="I320" s="25"/>
      <c r="J320" s="25"/>
      <c r="K320" s="25"/>
      <c r="L320" s="25"/>
      <c r="M320" s="25"/>
      <c r="T320" s="73"/>
    </row>
    <row r="321" spans="1:20" x14ac:dyDescent="0.3">
      <c r="A321" s="26"/>
      <c r="B321" s="24"/>
      <c r="H321" s="25"/>
      <c r="I321" s="25"/>
      <c r="J321" s="25"/>
      <c r="K321" s="25"/>
      <c r="L321" s="25"/>
      <c r="M321" s="25"/>
      <c r="T321" s="73"/>
    </row>
    <row r="322" spans="1:20" x14ac:dyDescent="0.3">
      <c r="A322" s="26"/>
      <c r="B322" s="24"/>
      <c r="H322" s="25"/>
      <c r="I322" s="25"/>
      <c r="J322" s="25"/>
      <c r="K322" s="25"/>
      <c r="L322" s="25"/>
      <c r="M322" s="25"/>
      <c r="T322" s="73"/>
    </row>
    <row r="323" spans="1:20" x14ac:dyDescent="0.3">
      <c r="A323" s="26"/>
      <c r="B323" s="24"/>
      <c r="H323" s="25"/>
      <c r="I323" s="25"/>
      <c r="J323" s="25"/>
      <c r="K323" s="25"/>
      <c r="L323" s="25"/>
      <c r="M323" s="25"/>
      <c r="T323" s="73"/>
    </row>
    <row r="324" spans="1:20" x14ac:dyDescent="0.3">
      <c r="A324" s="26"/>
      <c r="B324" s="24"/>
      <c r="H324" s="25"/>
      <c r="I324" s="25"/>
      <c r="J324" s="25"/>
      <c r="K324" s="25"/>
      <c r="L324" s="25"/>
      <c r="M324" s="25"/>
      <c r="T324" s="73"/>
    </row>
    <row r="325" spans="1:20" ht="15" customHeight="1" x14ac:dyDescent="0.3">
      <c r="A325" s="26"/>
      <c r="B325" s="24"/>
      <c r="H325" s="25"/>
      <c r="I325" s="25"/>
      <c r="J325" s="25"/>
      <c r="K325" s="25"/>
      <c r="L325" s="25"/>
      <c r="M325" s="25"/>
      <c r="T325" s="73"/>
    </row>
    <row r="326" spans="1:20" ht="15" customHeight="1" x14ac:dyDescent="0.3">
      <c r="A326" s="26"/>
      <c r="B326" s="24"/>
      <c r="H326" s="25"/>
      <c r="I326" s="25"/>
      <c r="J326" s="25"/>
      <c r="K326" s="25"/>
      <c r="L326" s="25"/>
      <c r="M326" s="25"/>
      <c r="T326" s="73"/>
    </row>
    <row r="327" spans="1:20" ht="15" customHeight="1" x14ac:dyDescent="0.3">
      <c r="A327" s="26"/>
      <c r="B327" s="24"/>
      <c r="H327" s="25"/>
      <c r="I327" s="25"/>
      <c r="J327" s="25"/>
      <c r="K327" s="25"/>
      <c r="L327" s="25"/>
      <c r="M327" s="25"/>
      <c r="T327" s="73"/>
    </row>
    <row r="328" spans="1:20" ht="15" customHeight="1" x14ac:dyDescent="0.3">
      <c r="A328" s="26"/>
      <c r="B328" s="24"/>
      <c r="H328" s="25"/>
      <c r="I328" s="25"/>
      <c r="J328" s="25"/>
      <c r="K328" s="25"/>
      <c r="L328" s="25"/>
      <c r="M328" s="25"/>
      <c r="T328" s="73"/>
    </row>
    <row r="329" spans="1:20" ht="15" customHeight="1" x14ac:dyDescent="0.3">
      <c r="A329" s="26"/>
      <c r="B329" s="24"/>
      <c r="H329" s="25"/>
      <c r="I329" s="25"/>
      <c r="J329" s="25"/>
      <c r="K329" s="25"/>
      <c r="L329" s="25"/>
      <c r="M329" s="25"/>
      <c r="T329" s="73"/>
    </row>
    <row r="330" spans="1:20" ht="15" customHeight="1" x14ac:dyDescent="0.3">
      <c r="A330" s="26"/>
      <c r="B330" s="24"/>
      <c r="H330" s="25"/>
      <c r="I330" s="25"/>
      <c r="J330" s="25"/>
      <c r="K330" s="25"/>
      <c r="L330" s="25"/>
      <c r="M330" s="25"/>
      <c r="T330" s="73"/>
    </row>
    <row r="331" spans="1:20" ht="15" customHeight="1" x14ac:dyDescent="0.3">
      <c r="A331" s="26"/>
      <c r="B331" s="24"/>
      <c r="H331" s="25"/>
      <c r="I331" s="25"/>
      <c r="J331" s="25"/>
      <c r="K331" s="25"/>
      <c r="L331" s="25"/>
      <c r="M331" s="25"/>
      <c r="T331" s="73"/>
    </row>
    <row r="332" spans="1:20" ht="15" customHeight="1" x14ac:dyDescent="0.3">
      <c r="A332" s="26"/>
      <c r="B332" s="24"/>
      <c r="H332" s="25"/>
      <c r="I332" s="25"/>
      <c r="J332" s="25"/>
      <c r="K332" s="25"/>
      <c r="L332" s="25"/>
      <c r="M332" s="25"/>
      <c r="T332" s="73"/>
    </row>
    <row r="333" spans="1:20" x14ac:dyDescent="0.3">
      <c r="A333" s="26"/>
      <c r="B333" s="24"/>
      <c r="G333" s="2"/>
      <c r="H333" s="25"/>
      <c r="I333" s="25"/>
      <c r="J333" s="25"/>
      <c r="K333" s="25"/>
      <c r="L333" s="25"/>
      <c r="M333" s="25"/>
      <c r="N333" s="2"/>
      <c r="O333" s="2"/>
      <c r="T333" s="73"/>
    </row>
    <row r="334" spans="1:20" x14ac:dyDescent="0.3">
      <c r="A334" s="26"/>
      <c r="B334" s="24"/>
      <c r="G334" s="2"/>
      <c r="H334" s="25"/>
      <c r="I334" s="25"/>
      <c r="J334" s="25"/>
      <c r="K334" s="25"/>
      <c r="L334" s="25"/>
      <c r="M334" s="25"/>
      <c r="N334" s="2"/>
      <c r="O334" s="2"/>
      <c r="T334" s="73"/>
    </row>
    <row r="335" spans="1:20" ht="15" customHeight="1" x14ac:dyDescent="0.3">
      <c r="A335" s="26"/>
      <c r="B335" s="24"/>
      <c r="G335" s="2"/>
      <c r="H335" s="25"/>
      <c r="I335" s="25"/>
      <c r="J335" s="25"/>
      <c r="K335" s="25"/>
      <c r="L335" s="25"/>
      <c r="M335" s="25"/>
      <c r="N335" s="2"/>
      <c r="O335" s="2"/>
      <c r="T335" s="73"/>
    </row>
    <row r="336" spans="1:20" ht="15" customHeight="1" x14ac:dyDescent="0.3">
      <c r="A336" s="26"/>
      <c r="B336" s="24"/>
      <c r="G336" s="2"/>
      <c r="H336" s="25"/>
      <c r="I336" s="25"/>
      <c r="J336" s="25"/>
      <c r="K336" s="25"/>
      <c r="L336" s="25"/>
      <c r="M336" s="25"/>
      <c r="N336" s="2"/>
      <c r="O336" s="2"/>
      <c r="T336" s="73"/>
    </row>
    <row r="337" spans="1:20" ht="15" customHeight="1" x14ac:dyDescent="0.3">
      <c r="A337" s="26"/>
      <c r="G337" s="2"/>
      <c r="H337" s="25"/>
      <c r="I337" s="25"/>
      <c r="J337" s="25"/>
      <c r="K337" s="25"/>
      <c r="L337" s="25"/>
      <c r="M337" s="25"/>
      <c r="N337" s="2"/>
      <c r="O337" s="2"/>
      <c r="T337" s="73"/>
    </row>
    <row r="338" spans="1:20" ht="15" customHeight="1" x14ac:dyDescent="0.3">
      <c r="A338" s="26"/>
      <c r="G338" s="2"/>
      <c r="H338" s="25"/>
      <c r="I338" s="25"/>
      <c r="J338" s="25"/>
      <c r="K338" s="25"/>
      <c r="L338" s="25"/>
      <c r="M338" s="25"/>
      <c r="N338" s="2"/>
      <c r="O338" s="2"/>
      <c r="T338" s="73"/>
    </row>
    <row r="339" spans="1:20" ht="15" customHeight="1" x14ac:dyDescent="0.3">
      <c r="A339" s="26"/>
      <c r="G339" s="2"/>
      <c r="H339" s="25"/>
      <c r="I339" s="25"/>
      <c r="J339" s="25"/>
      <c r="K339" s="25"/>
      <c r="L339" s="25"/>
      <c r="M339" s="25"/>
      <c r="N339" s="2"/>
      <c r="O339" s="2"/>
      <c r="T339" s="73"/>
    </row>
    <row r="340" spans="1:20" ht="15" customHeight="1" x14ac:dyDescent="0.3">
      <c r="A340" s="27"/>
      <c r="G340" s="2"/>
      <c r="H340" s="25"/>
      <c r="I340" s="25"/>
      <c r="J340" s="25"/>
      <c r="K340" s="25"/>
      <c r="L340" s="25"/>
      <c r="M340" s="25"/>
      <c r="N340" s="2"/>
      <c r="O340" s="2"/>
      <c r="T340" s="73"/>
    </row>
    <row r="341" spans="1:20" ht="15" customHeight="1" x14ac:dyDescent="0.3">
      <c r="B341" s="24"/>
      <c r="G341" s="2"/>
      <c r="H341" s="25"/>
      <c r="I341" s="25"/>
      <c r="J341" s="25"/>
      <c r="K341" s="25"/>
      <c r="L341" s="25"/>
      <c r="M341" s="25"/>
      <c r="N341" s="2"/>
      <c r="O341" s="2"/>
      <c r="T341" s="73"/>
    </row>
    <row r="342" spans="1:20" x14ac:dyDescent="0.3">
      <c r="G342" s="2"/>
      <c r="H342" s="25"/>
      <c r="I342" s="25"/>
      <c r="J342" s="25"/>
      <c r="K342" s="25"/>
      <c r="L342" s="25"/>
      <c r="M342" s="25"/>
      <c r="N342" s="2"/>
      <c r="O342" s="2"/>
      <c r="T342" s="73"/>
    </row>
    <row r="343" spans="1:20" x14ac:dyDescent="0.3">
      <c r="G343" s="2"/>
      <c r="H343" s="25"/>
      <c r="I343" s="25"/>
      <c r="J343" s="25"/>
      <c r="K343" s="25"/>
      <c r="L343" s="25"/>
      <c r="M343" s="25"/>
      <c r="N343" s="2"/>
      <c r="O343" s="2"/>
      <c r="T343" s="73"/>
    </row>
    <row r="344" spans="1:20" x14ac:dyDescent="0.3">
      <c r="G344" s="2"/>
      <c r="H344" s="25"/>
      <c r="I344" s="25"/>
      <c r="J344" s="25"/>
      <c r="K344" s="25"/>
      <c r="L344" s="25"/>
      <c r="M344" s="25"/>
      <c r="N344" s="2"/>
      <c r="O344" s="2"/>
      <c r="T344" s="73"/>
    </row>
    <row r="345" spans="1:20" x14ac:dyDescent="0.3">
      <c r="G345" s="2"/>
      <c r="H345" s="25"/>
      <c r="I345" s="25"/>
      <c r="J345" s="25"/>
      <c r="K345" s="25"/>
      <c r="L345" s="25"/>
      <c r="M345" s="25"/>
      <c r="N345" s="2"/>
      <c r="O345" s="2"/>
      <c r="T345" s="73"/>
    </row>
    <row r="346" spans="1:20" x14ac:dyDescent="0.3">
      <c r="G346" s="2"/>
      <c r="H346" s="25"/>
      <c r="I346" s="25"/>
      <c r="J346" s="25"/>
      <c r="K346" s="25"/>
      <c r="L346" s="25"/>
      <c r="M346" s="25"/>
      <c r="N346" s="2"/>
      <c r="O346" s="2"/>
      <c r="T346" s="73"/>
    </row>
    <row r="347" spans="1:20" x14ac:dyDescent="0.3">
      <c r="G347" s="2"/>
      <c r="H347" s="25"/>
      <c r="I347" s="25"/>
      <c r="J347" s="25"/>
      <c r="K347" s="25"/>
      <c r="L347" s="25"/>
      <c r="M347" s="25"/>
      <c r="N347" s="2"/>
      <c r="O347" s="2"/>
      <c r="T347" s="73"/>
    </row>
    <row r="348" spans="1:20" x14ac:dyDescent="0.3">
      <c r="G348" s="2"/>
      <c r="H348" s="25"/>
      <c r="I348" s="25"/>
      <c r="J348" s="25"/>
      <c r="K348" s="25"/>
      <c r="L348" s="25"/>
      <c r="M348" s="25"/>
      <c r="N348" s="2"/>
      <c r="O348" s="2"/>
      <c r="T348" s="73"/>
    </row>
    <row r="349" spans="1:20" ht="15" customHeight="1" x14ac:dyDescent="0.3">
      <c r="G349" s="2"/>
      <c r="H349" s="25"/>
      <c r="I349" s="25"/>
      <c r="J349" s="25"/>
      <c r="K349" s="25"/>
      <c r="L349" s="25"/>
      <c r="M349" s="25"/>
      <c r="N349" s="2"/>
      <c r="O349" s="2"/>
      <c r="T349" s="73"/>
    </row>
    <row r="350" spans="1:20" ht="15" customHeight="1" x14ac:dyDescent="0.3">
      <c r="G350" s="2"/>
      <c r="H350" s="25"/>
      <c r="I350" s="25"/>
      <c r="J350" s="25"/>
      <c r="K350" s="25"/>
      <c r="L350" s="25"/>
      <c r="M350" s="25"/>
      <c r="N350" s="2"/>
      <c r="O350" s="2"/>
      <c r="T350" s="73"/>
    </row>
    <row r="351" spans="1:20" ht="15" customHeight="1" x14ac:dyDescent="0.3">
      <c r="G351" s="2"/>
      <c r="H351" s="25"/>
      <c r="I351" s="25"/>
      <c r="J351" s="25"/>
      <c r="K351" s="25"/>
      <c r="L351" s="25"/>
      <c r="M351" s="25"/>
      <c r="N351" s="2"/>
      <c r="O351" s="2"/>
      <c r="T351" s="73"/>
    </row>
    <row r="352" spans="1:20" ht="15" customHeight="1" x14ac:dyDescent="0.3">
      <c r="H352" s="25"/>
      <c r="I352" s="25"/>
      <c r="J352" s="25"/>
      <c r="K352" s="25"/>
      <c r="L352" s="25"/>
      <c r="M352" s="25"/>
      <c r="T352" s="73"/>
    </row>
    <row r="353" spans="7:15" ht="15" customHeight="1" x14ac:dyDescent="0.3">
      <c r="G353" s="2"/>
      <c r="H353" s="25"/>
      <c r="I353" s="25"/>
      <c r="J353" s="25"/>
      <c r="K353" s="25"/>
      <c r="L353" s="25"/>
      <c r="M353" s="25"/>
      <c r="N353" s="2"/>
      <c r="O353" s="2"/>
    </row>
    <row r="354" spans="7:15" ht="15" customHeight="1" x14ac:dyDescent="0.3">
      <c r="G354" s="2"/>
      <c r="H354" s="25"/>
      <c r="I354" s="25"/>
      <c r="J354" s="25"/>
      <c r="K354" s="25"/>
      <c r="L354" s="25"/>
      <c r="M354" s="25"/>
      <c r="N354" s="2"/>
      <c r="O354" s="2"/>
    </row>
    <row r="355" spans="7:15" ht="15" customHeight="1" x14ac:dyDescent="0.3">
      <c r="G355" s="2"/>
      <c r="H355" s="25"/>
      <c r="I355" s="25"/>
      <c r="J355" s="25"/>
      <c r="K355" s="25"/>
      <c r="L355" s="25"/>
      <c r="M355" s="25"/>
      <c r="N355" s="2"/>
      <c r="O355" s="2"/>
    </row>
    <row r="356" spans="7:15" ht="15" customHeight="1" x14ac:dyDescent="0.3">
      <c r="G356" s="2"/>
      <c r="H356" s="25"/>
      <c r="I356" s="25"/>
      <c r="J356" s="25"/>
      <c r="K356" s="25"/>
      <c r="L356" s="25"/>
      <c r="M356" s="25"/>
      <c r="N356" s="2"/>
      <c r="O356" s="2"/>
    </row>
    <row r="357" spans="7:15" ht="15" customHeight="1" x14ac:dyDescent="0.3">
      <c r="G357" s="2"/>
      <c r="H357" s="25"/>
      <c r="I357" s="25"/>
      <c r="J357" s="25"/>
      <c r="K357" s="25"/>
      <c r="L357" s="25"/>
      <c r="M357" s="25"/>
      <c r="N357" s="2"/>
      <c r="O357" s="2"/>
    </row>
    <row r="358" spans="7:15" ht="15" customHeight="1" x14ac:dyDescent="0.3">
      <c r="G358" s="2"/>
      <c r="H358" s="25"/>
      <c r="I358" s="25"/>
      <c r="J358" s="25"/>
      <c r="K358" s="25"/>
      <c r="L358" s="25"/>
      <c r="M358" s="25"/>
      <c r="N358" s="2"/>
      <c r="O358" s="2"/>
    </row>
    <row r="362" spans="7:15" x14ac:dyDescent="0.3">
      <c r="H362" s="16"/>
      <c r="I362" s="16"/>
    </row>
  </sheetData>
  <autoFilter ref="A5:X216" xr:uid="{5CFD0242-990C-4C5C-A85B-E454057398F2}">
    <filterColumn colId="1">
      <filters>
        <filter val="GRUESA"/>
      </filters>
    </filterColumn>
  </autoFilter>
  <conditionalFormatting sqref="V6:V215">
    <cfRule type="top10" dxfId="3" priority="3" bottom="1" rank="15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E3AD9-0C2C-4455-90B3-C575E3F52BC9}">
  <sheetPr filterMode="1"/>
  <dimension ref="A1:AW1365"/>
  <sheetViews>
    <sheetView topLeftCell="O1" workbookViewId="0">
      <selection activeCell="P1372" sqref="P1372"/>
    </sheetView>
  </sheetViews>
  <sheetFormatPr baseColWidth="10" defaultRowHeight="14.5" x14ac:dyDescent="0.35"/>
  <cols>
    <col min="3" max="3" width="7.1796875" customWidth="1"/>
    <col min="4" max="4" width="14.81640625" bestFit="1" customWidth="1"/>
    <col min="5" max="5" width="22.81640625" customWidth="1"/>
    <col min="8" max="8" width="17.36328125" customWidth="1"/>
    <col min="13" max="13" width="15.7265625" customWidth="1"/>
    <col min="18" max="18" width="13.453125" bestFit="1" customWidth="1"/>
    <col min="25" max="25" width="11.453125" bestFit="1" customWidth="1"/>
    <col min="26" max="26" width="14.7265625" bestFit="1" customWidth="1"/>
  </cols>
  <sheetData>
    <row r="1" spans="1:49" s="33" customFormat="1" x14ac:dyDescent="0.35">
      <c r="A1" s="33" t="s">
        <v>74</v>
      </c>
      <c r="B1" s="33" t="s">
        <v>75</v>
      </c>
      <c r="C1" s="33" t="s">
        <v>76</v>
      </c>
      <c r="D1" s="33" t="s">
        <v>77</v>
      </c>
      <c r="E1" s="33" t="s">
        <v>78</v>
      </c>
      <c r="F1" s="33" t="s">
        <v>7</v>
      </c>
      <c r="G1" s="33" t="s">
        <v>79</v>
      </c>
      <c r="H1" s="33" t="s">
        <v>80</v>
      </c>
      <c r="I1" s="33" t="s">
        <v>81</v>
      </c>
      <c r="J1" s="33" t="s">
        <v>6</v>
      </c>
      <c r="K1" s="33" t="s">
        <v>82</v>
      </c>
      <c r="L1" s="33" t="s">
        <v>83</v>
      </c>
      <c r="M1" s="33" t="s">
        <v>84</v>
      </c>
      <c r="N1" s="33" t="s">
        <v>85</v>
      </c>
      <c r="O1" s="33" t="s">
        <v>3</v>
      </c>
      <c r="P1" s="33" t="s">
        <v>5</v>
      </c>
      <c r="Q1" s="33" t="s">
        <v>86</v>
      </c>
      <c r="R1" s="33" t="s">
        <v>87</v>
      </c>
      <c r="S1" s="33" t="s">
        <v>88</v>
      </c>
      <c r="T1" s="33" t="s">
        <v>89</v>
      </c>
      <c r="U1" s="33" t="s">
        <v>90</v>
      </c>
      <c r="V1" s="33" t="s">
        <v>91</v>
      </c>
      <c r="W1" s="33" t="s">
        <v>92</v>
      </c>
      <c r="X1" s="33" t="s">
        <v>93</v>
      </c>
      <c r="Y1" s="33" t="s">
        <v>9</v>
      </c>
      <c r="Z1" s="77" t="s">
        <v>94</v>
      </c>
      <c r="AA1" s="33" t="s">
        <v>95</v>
      </c>
      <c r="AB1" s="33" t="s">
        <v>96</v>
      </c>
      <c r="AC1" s="33" t="s">
        <v>97</v>
      </c>
      <c r="AD1" s="33" t="s">
        <v>98</v>
      </c>
      <c r="AE1" s="33" t="s">
        <v>4</v>
      </c>
      <c r="AF1" s="33" t="s">
        <v>99</v>
      </c>
      <c r="AG1" s="33" t="s">
        <v>100</v>
      </c>
      <c r="AH1" s="33" t="s">
        <v>101</v>
      </c>
      <c r="AI1" s="33" t="s">
        <v>102</v>
      </c>
      <c r="AJ1" s="33" t="s">
        <v>103</v>
      </c>
      <c r="AK1" s="33" t="s">
        <v>104</v>
      </c>
      <c r="AL1" s="33" t="s">
        <v>105</v>
      </c>
      <c r="AM1" s="33" t="s">
        <v>106</v>
      </c>
      <c r="AN1" s="33" t="s">
        <v>107</v>
      </c>
      <c r="AO1" s="33" t="s">
        <v>108</v>
      </c>
      <c r="AP1" s="33" t="s">
        <v>109</v>
      </c>
      <c r="AQ1" s="33" t="s">
        <v>110</v>
      </c>
      <c r="AR1" s="33" t="s">
        <v>111</v>
      </c>
      <c r="AS1" s="33" t="s">
        <v>112</v>
      </c>
      <c r="AT1" s="33" t="s">
        <v>113</v>
      </c>
      <c r="AU1" s="33" t="s">
        <v>114</v>
      </c>
      <c r="AV1" s="33" t="s">
        <v>115</v>
      </c>
      <c r="AW1" s="33" t="s">
        <v>116</v>
      </c>
    </row>
    <row r="2" spans="1:49" hidden="1" x14ac:dyDescent="0.35">
      <c r="A2">
        <v>5788810</v>
      </c>
      <c r="B2">
        <v>1090005788801</v>
      </c>
      <c r="D2">
        <v>30713974400</v>
      </c>
      <c r="E2" t="s">
        <v>117</v>
      </c>
      <c r="F2" t="s">
        <v>1</v>
      </c>
      <c r="G2" t="s">
        <v>57</v>
      </c>
      <c r="H2" t="s">
        <v>57</v>
      </c>
      <c r="I2">
        <v>8200</v>
      </c>
      <c r="J2">
        <v>21</v>
      </c>
      <c r="K2" t="s">
        <v>33</v>
      </c>
      <c r="L2">
        <v>6127</v>
      </c>
      <c r="M2" t="s">
        <v>118</v>
      </c>
      <c r="N2">
        <v>1</v>
      </c>
      <c r="O2" t="s">
        <v>119</v>
      </c>
      <c r="P2" t="s">
        <v>120</v>
      </c>
      <c r="Q2">
        <v>1890</v>
      </c>
      <c r="R2">
        <v>67500</v>
      </c>
      <c r="S2">
        <v>135</v>
      </c>
      <c r="T2">
        <v>500</v>
      </c>
      <c r="U2">
        <v>26</v>
      </c>
      <c r="V2">
        <v>1280</v>
      </c>
      <c r="W2" t="s">
        <v>121</v>
      </c>
      <c r="X2" t="s">
        <v>1</v>
      </c>
      <c r="Y2">
        <v>2419200</v>
      </c>
      <c r="Z2">
        <v>86400000</v>
      </c>
      <c r="AA2">
        <v>640000</v>
      </c>
      <c r="AB2">
        <v>106</v>
      </c>
      <c r="AC2" s="34">
        <v>45652</v>
      </c>
      <c r="AD2" s="34">
        <v>45838</v>
      </c>
      <c r="AF2">
        <v>0</v>
      </c>
      <c r="AG2">
        <v>1890</v>
      </c>
      <c r="AH2">
        <v>0</v>
      </c>
      <c r="AI2">
        <v>2419200</v>
      </c>
      <c r="AJ2">
        <v>0</v>
      </c>
      <c r="AK2">
        <v>0</v>
      </c>
      <c r="AL2">
        <v>607219.19999999995</v>
      </c>
      <c r="AM2">
        <v>0</v>
      </c>
      <c r="AN2">
        <v>3026419.2</v>
      </c>
      <c r="AO2" t="s">
        <v>122</v>
      </c>
      <c r="AP2">
        <v>15</v>
      </c>
      <c r="AQ2">
        <v>283.5</v>
      </c>
      <c r="AR2">
        <v>362880</v>
      </c>
      <c r="AT2">
        <v>40500</v>
      </c>
      <c r="AU2">
        <v>1134</v>
      </c>
      <c r="AV2">
        <v>51840000</v>
      </c>
      <c r="AW2">
        <v>1451520</v>
      </c>
    </row>
    <row r="3" spans="1:49" hidden="1" x14ac:dyDescent="0.35">
      <c r="A3">
        <v>5788910</v>
      </c>
      <c r="B3">
        <v>5010005788901</v>
      </c>
      <c r="D3">
        <v>20290953228</v>
      </c>
      <c r="E3" t="s">
        <v>123</v>
      </c>
      <c r="F3" t="s">
        <v>1</v>
      </c>
      <c r="G3" t="s">
        <v>43</v>
      </c>
      <c r="H3" t="s">
        <v>43</v>
      </c>
      <c r="I3">
        <v>2705</v>
      </c>
      <c r="J3">
        <v>1</v>
      </c>
      <c r="K3" t="s">
        <v>16</v>
      </c>
      <c r="L3">
        <v>3620</v>
      </c>
      <c r="M3" t="s">
        <v>124</v>
      </c>
      <c r="N3">
        <v>1</v>
      </c>
      <c r="O3" t="s">
        <v>125</v>
      </c>
      <c r="P3" t="s">
        <v>126</v>
      </c>
      <c r="Q3">
        <v>760477.41</v>
      </c>
      <c r="R3">
        <v>28482300</v>
      </c>
      <c r="S3">
        <v>33</v>
      </c>
      <c r="T3">
        <v>863100</v>
      </c>
      <c r="U3">
        <v>1</v>
      </c>
      <c r="V3">
        <v>1</v>
      </c>
      <c r="W3" t="s">
        <v>127</v>
      </c>
      <c r="X3">
        <v>24660</v>
      </c>
      <c r="Y3">
        <v>760477.41</v>
      </c>
      <c r="Z3">
        <v>28482300</v>
      </c>
      <c r="AA3">
        <v>863100</v>
      </c>
      <c r="AB3">
        <v>214</v>
      </c>
      <c r="AC3" s="34">
        <v>45839</v>
      </c>
      <c r="AD3" s="34">
        <v>46022</v>
      </c>
      <c r="AF3">
        <v>0</v>
      </c>
      <c r="AG3">
        <v>760477.41</v>
      </c>
      <c r="AH3">
        <v>0</v>
      </c>
      <c r="AI3">
        <v>760477.41</v>
      </c>
      <c r="AJ3">
        <v>0</v>
      </c>
      <c r="AK3">
        <v>0</v>
      </c>
      <c r="AL3">
        <v>190879.83</v>
      </c>
      <c r="AM3">
        <v>0</v>
      </c>
      <c r="AN3">
        <v>951357.24</v>
      </c>
      <c r="AO3" t="s">
        <v>122</v>
      </c>
      <c r="AP3">
        <v>12</v>
      </c>
      <c r="AQ3">
        <v>91257.29</v>
      </c>
      <c r="AR3">
        <v>91257.29</v>
      </c>
      <c r="AT3">
        <v>17089380</v>
      </c>
      <c r="AU3">
        <v>456286.45</v>
      </c>
      <c r="AV3">
        <v>17089380</v>
      </c>
      <c r="AW3">
        <v>456286.45</v>
      </c>
    </row>
    <row r="4" spans="1:49" hidden="1" x14ac:dyDescent="0.35">
      <c r="A4">
        <v>5789010</v>
      </c>
      <c r="B4">
        <v>5010005789001</v>
      </c>
      <c r="D4">
        <v>30715192345</v>
      </c>
      <c r="E4" t="s">
        <v>128</v>
      </c>
      <c r="F4" t="s">
        <v>1</v>
      </c>
      <c r="G4" t="s">
        <v>43</v>
      </c>
      <c r="H4" t="s">
        <v>43</v>
      </c>
      <c r="I4">
        <v>2705</v>
      </c>
      <c r="J4">
        <v>1</v>
      </c>
      <c r="K4" t="s">
        <v>16</v>
      </c>
      <c r="L4">
        <v>3620</v>
      </c>
      <c r="M4" t="s">
        <v>124</v>
      </c>
      <c r="N4">
        <v>1</v>
      </c>
      <c r="O4" t="s">
        <v>125</v>
      </c>
      <c r="P4" t="s">
        <v>129</v>
      </c>
      <c r="Q4">
        <v>506984.94</v>
      </c>
      <c r="R4">
        <v>18988200</v>
      </c>
      <c r="S4">
        <v>22</v>
      </c>
      <c r="T4">
        <v>863100</v>
      </c>
      <c r="U4">
        <v>1</v>
      </c>
      <c r="V4">
        <v>1</v>
      </c>
      <c r="W4" t="s">
        <v>127</v>
      </c>
      <c r="X4">
        <v>24660</v>
      </c>
      <c r="Y4">
        <v>506984.94</v>
      </c>
      <c r="Z4">
        <v>18988200</v>
      </c>
      <c r="AA4">
        <v>863100</v>
      </c>
      <c r="AB4">
        <v>214</v>
      </c>
      <c r="AC4" s="34">
        <v>45839</v>
      </c>
      <c r="AD4" s="34">
        <v>46022</v>
      </c>
      <c r="AF4">
        <v>0</v>
      </c>
      <c r="AG4">
        <v>506984.94</v>
      </c>
      <c r="AH4">
        <v>0</v>
      </c>
      <c r="AI4">
        <v>506984.94</v>
      </c>
      <c r="AJ4">
        <v>0</v>
      </c>
      <c r="AK4">
        <v>0</v>
      </c>
      <c r="AL4">
        <v>127253.23</v>
      </c>
      <c r="AM4">
        <v>0</v>
      </c>
      <c r="AN4">
        <v>634238.17000000004</v>
      </c>
      <c r="AO4" t="s">
        <v>122</v>
      </c>
      <c r="AP4">
        <v>12</v>
      </c>
      <c r="AQ4">
        <v>60838.19</v>
      </c>
      <c r="AR4">
        <v>60838.19</v>
      </c>
      <c r="AT4">
        <v>11392920</v>
      </c>
      <c r="AU4">
        <v>304190.96000000002</v>
      </c>
      <c r="AV4">
        <v>11392920</v>
      </c>
      <c r="AW4">
        <v>304190.96000000002</v>
      </c>
    </row>
    <row r="5" spans="1:49" hidden="1" x14ac:dyDescent="0.35">
      <c r="A5">
        <v>5789110</v>
      </c>
      <c r="B5">
        <v>1250005789101</v>
      </c>
      <c r="D5">
        <v>20168087633</v>
      </c>
      <c r="E5" t="s">
        <v>130</v>
      </c>
      <c r="F5" t="s">
        <v>1</v>
      </c>
      <c r="G5" t="s">
        <v>131</v>
      </c>
      <c r="H5" t="s">
        <v>23</v>
      </c>
      <c r="I5">
        <v>6105</v>
      </c>
      <c r="J5">
        <v>1</v>
      </c>
      <c r="K5" t="s">
        <v>16</v>
      </c>
      <c r="L5">
        <v>4401</v>
      </c>
      <c r="M5" t="s">
        <v>132</v>
      </c>
      <c r="N5">
        <v>1</v>
      </c>
      <c r="O5" t="s">
        <v>125</v>
      </c>
      <c r="P5" t="s">
        <v>133</v>
      </c>
      <c r="Q5">
        <v>4684.7</v>
      </c>
      <c r="R5">
        <v>79000</v>
      </c>
      <c r="S5">
        <v>316</v>
      </c>
      <c r="T5">
        <v>250</v>
      </c>
      <c r="U5">
        <v>26</v>
      </c>
      <c r="V5">
        <v>1295</v>
      </c>
      <c r="W5" t="s">
        <v>121</v>
      </c>
      <c r="X5" t="s">
        <v>1</v>
      </c>
      <c r="Y5">
        <v>6066686.5</v>
      </c>
      <c r="Z5">
        <v>102305000</v>
      </c>
      <c r="AA5">
        <v>323750</v>
      </c>
      <c r="AB5">
        <v>214</v>
      </c>
      <c r="AC5" s="34">
        <v>45839</v>
      </c>
      <c r="AD5" s="34">
        <v>46022</v>
      </c>
      <c r="AE5" t="s">
        <v>134</v>
      </c>
      <c r="AF5">
        <v>1</v>
      </c>
      <c r="AG5">
        <v>4832.95</v>
      </c>
      <c r="AH5">
        <v>0</v>
      </c>
      <c r="AI5">
        <v>6258670.25</v>
      </c>
      <c r="AJ5">
        <v>0</v>
      </c>
      <c r="AK5">
        <v>0</v>
      </c>
      <c r="AL5">
        <v>1570925.65</v>
      </c>
      <c r="AM5">
        <v>0</v>
      </c>
      <c r="AN5">
        <v>7829595.9000000004</v>
      </c>
      <c r="AO5" t="s">
        <v>122</v>
      </c>
      <c r="AP5">
        <v>12</v>
      </c>
      <c r="AQ5">
        <v>579.95000000000005</v>
      </c>
      <c r="AR5">
        <v>751035.25</v>
      </c>
      <c r="AT5">
        <v>47400</v>
      </c>
      <c r="AU5">
        <v>2810.82</v>
      </c>
      <c r="AV5">
        <v>61383000</v>
      </c>
      <c r="AW5">
        <v>3640011.9</v>
      </c>
    </row>
    <row r="6" spans="1:49" hidden="1" x14ac:dyDescent="0.35">
      <c r="A6">
        <v>5789110</v>
      </c>
      <c r="B6">
        <v>1250005789101</v>
      </c>
      <c r="D6">
        <v>20168087633</v>
      </c>
      <c r="E6" t="s">
        <v>130</v>
      </c>
      <c r="F6" t="s">
        <v>1</v>
      </c>
      <c r="G6" t="s">
        <v>131</v>
      </c>
      <c r="H6" t="s">
        <v>23</v>
      </c>
      <c r="I6">
        <v>6105</v>
      </c>
      <c r="J6">
        <v>1</v>
      </c>
      <c r="K6" t="s">
        <v>16</v>
      </c>
      <c r="L6">
        <v>4401</v>
      </c>
      <c r="M6" t="s">
        <v>132</v>
      </c>
      <c r="N6">
        <v>2</v>
      </c>
      <c r="O6" t="s">
        <v>125</v>
      </c>
      <c r="P6" t="s">
        <v>135</v>
      </c>
      <c r="Q6">
        <v>148.25</v>
      </c>
      <c r="R6">
        <v>2500</v>
      </c>
      <c r="S6">
        <v>10</v>
      </c>
      <c r="T6">
        <v>250</v>
      </c>
      <c r="U6">
        <v>26</v>
      </c>
      <c r="V6">
        <v>1295</v>
      </c>
      <c r="W6" t="s">
        <v>121</v>
      </c>
      <c r="X6" t="s">
        <v>1</v>
      </c>
      <c r="Y6">
        <v>191983.75</v>
      </c>
      <c r="Z6">
        <v>3237500</v>
      </c>
      <c r="AA6">
        <v>323750</v>
      </c>
      <c r="AB6">
        <v>214</v>
      </c>
      <c r="AC6" s="34">
        <v>45839</v>
      </c>
      <c r="AD6" s="34">
        <v>46022</v>
      </c>
      <c r="AE6" t="s">
        <v>134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 t="s">
        <v>122</v>
      </c>
      <c r="AT6">
        <v>1500</v>
      </c>
      <c r="AU6">
        <v>88.95</v>
      </c>
      <c r="AV6">
        <v>1942500</v>
      </c>
      <c r="AW6">
        <v>115190.25</v>
      </c>
    </row>
    <row r="7" spans="1:49" hidden="1" x14ac:dyDescent="0.35">
      <c r="A7">
        <v>5789210</v>
      </c>
      <c r="B7">
        <v>1250005789201</v>
      </c>
      <c r="D7">
        <v>20117887201</v>
      </c>
      <c r="E7" t="s">
        <v>136</v>
      </c>
      <c r="F7" t="s">
        <v>1</v>
      </c>
      <c r="G7" t="s">
        <v>131</v>
      </c>
      <c r="H7" t="s">
        <v>23</v>
      </c>
      <c r="I7">
        <v>6105</v>
      </c>
      <c r="J7">
        <v>1</v>
      </c>
      <c r="K7" t="s">
        <v>16</v>
      </c>
      <c r="L7">
        <v>4401</v>
      </c>
      <c r="M7" t="s">
        <v>132</v>
      </c>
      <c r="N7">
        <v>1</v>
      </c>
      <c r="O7" t="s">
        <v>125</v>
      </c>
      <c r="P7" t="s">
        <v>133</v>
      </c>
      <c r="Q7">
        <v>9369.4</v>
      </c>
      <c r="R7">
        <v>158000</v>
      </c>
      <c r="S7">
        <v>316</v>
      </c>
      <c r="T7">
        <v>500</v>
      </c>
      <c r="U7">
        <v>26</v>
      </c>
      <c r="V7">
        <v>1295</v>
      </c>
      <c r="W7" t="s">
        <v>121</v>
      </c>
      <c r="X7" t="s">
        <v>1</v>
      </c>
      <c r="Y7">
        <v>12133373</v>
      </c>
      <c r="Z7">
        <v>204610000</v>
      </c>
      <c r="AA7">
        <v>647500</v>
      </c>
      <c r="AB7">
        <v>214</v>
      </c>
      <c r="AC7" s="34">
        <v>45839</v>
      </c>
      <c r="AD7" s="34">
        <v>46022</v>
      </c>
      <c r="AE7" t="s">
        <v>134</v>
      </c>
      <c r="AF7">
        <v>1</v>
      </c>
      <c r="AG7">
        <v>9665.9</v>
      </c>
      <c r="AH7">
        <v>0</v>
      </c>
      <c r="AI7">
        <v>12517340.5</v>
      </c>
      <c r="AJ7">
        <v>0</v>
      </c>
      <c r="AK7">
        <v>0</v>
      </c>
      <c r="AL7">
        <v>3141864.25</v>
      </c>
      <c r="AM7">
        <v>0</v>
      </c>
      <c r="AN7">
        <v>15659204.75</v>
      </c>
      <c r="AO7" t="s">
        <v>122</v>
      </c>
      <c r="AP7">
        <v>12</v>
      </c>
      <c r="AQ7">
        <v>1159.9100000000001</v>
      </c>
      <c r="AR7">
        <v>1502083.45</v>
      </c>
      <c r="AT7">
        <v>94800</v>
      </c>
      <c r="AU7">
        <v>5621.64</v>
      </c>
      <c r="AV7">
        <v>122766000</v>
      </c>
      <c r="AW7">
        <v>7280023.7999999998</v>
      </c>
    </row>
    <row r="8" spans="1:49" hidden="1" x14ac:dyDescent="0.35">
      <c r="A8">
        <v>5789210</v>
      </c>
      <c r="B8">
        <v>1250005789201</v>
      </c>
      <c r="D8">
        <v>20117887201</v>
      </c>
      <c r="E8" t="s">
        <v>136</v>
      </c>
      <c r="F8" t="s">
        <v>1</v>
      </c>
      <c r="G8" t="s">
        <v>131</v>
      </c>
      <c r="H8" t="s">
        <v>23</v>
      </c>
      <c r="I8">
        <v>6105</v>
      </c>
      <c r="J8">
        <v>1</v>
      </c>
      <c r="K8" t="s">
        <v>16</v>
      </c>
      <c r="L8">
        <v>4401</v>
      </c>
      <c r="M8" t="s">
        <v>132</v>
      </c>
      <c r="N8">
        <v>2</v>
      </c>
      <c r="O8" t="s">
        <v>125</v>
      </c>
      <c r="P8" t="s">
        <v>137</v>
      </c>
      <c r="Q8">
        <v>296.5</v>
      </c>
      <c r="R8">
        <v>5000</v>
      </c>
      <c r="S8">
        <v>10</v>
      </c>
      <c r="T8">
        <v>500</v>
      </c>
      <c r="U8">
        <v>26</v>
      </c>
      <c r="V8">
        <v>1295</v>
      </c>
      <c r="W8" t="s">
        <v>121</v>
      </c>
      <c r="X8" t="s">
        <v>1</v>
      </c>
      <c r="Y8">
        <v>383967.5</v>
      </c>
      <c r="Z8">
        <v>6475000</v>
      </c>
      <c r="AA8">
        <v>647500</v>
      </c>
      <c r="AB8">
        <v>214</v>
      </c>
      <c r="AC8" s="34">
        <v>45839</v>
      </c>
      <c r="AD8" s="34">
        <v>46022</v>
      </c>
      <c r="AE8" t="s">
        <v>134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 t="s">
        <v>122</v>
      </c>
      <c r="AT8">
        <v>3000</v>
      </c>
      <c r="AU8">
        <v>177.9</v>
      </c>
      <c r="AV8">
        <v>3885000</v>
      </c>
      <c r="AW8">
        <v>230380.5</v>
      </c>
    </row>
    <row r="9" spans="1:49" hidden="1" x14ac:dyDescent="0.35">
      <c r="A9">
        <v>5789310</v>
      </c>
      <c r="B9">
        <v>1170005789301</v>
      </c>
      <c r="D9">
        <v>20238019134</v>
      </c>
      <c r="E9" t="s">
        <v>138</v>
      </c>
      <c r="F9" t="s">
        <v>1</v>
      </c>
      <c r="G9" t="s">
        <v>139</v>
      </c>
      <c r="H9" t="s">
        <v>63</v>
      </c>
      <c r="I9">
        <v>2527</v>
      </c>
      <c r="J9">
        <v>12</v>
      </c>
      <c r="K9" t="s">
        <v>34</v>
      </c>
      <c r="L9">
        <v>83429</v>
      </c>
      <c r="M9" t="s">
        <v>140</v>
      </c>
      <c r="N9">
        <v>1</v>
      </c>
      <c r="O9" t="s">
        <v>125</v>
      </c>
      <c r="P9" t="s">
        <v>141</v>
      </c>
      <c r="Q9">
        <v>1129876.3600000001</v>
      </c>
      <c r="R9">
        <v>55238400</v>
      </c>
      <c r="S9">
        <v>64</v>
      </c>
      <c r="T9">
        <v>863100</v>
      </c>
      <c r="U9">
        <v>1</v>
      </c>
      <c r="V9">
        <v>1</v>
      </c>
      <c r="W9" t="s">
        <v>127</v>
      </c>
      <c r="X9">
        <v>24660</v>
      </c>
      <c r="Y9">
        <v>1129876.3600000001</v>
      </c>
      <c r="Z9">
        <v>55238400</v>
      </c>
      <c r="AA9">
        <v>863100</v>
      </c>
      <c r="AB9">
        <v>214</v>
      </c>
      <c r="AC9" s="34">
        <v>45857</v>
      </c>
      <c r="AD9" s="34">
        <v>46022</v>
      </c>
      <c r="AF9">
        <v>1</v>
      </c>
      <c r="AG9">
        <v>1129876.3600000001</v>
      </c>
      <c r="AH9">
        <v>0</v>
      </c>
      <c r="AI9">
        <v>1129876.3600000001</v>
      </c>
      <c r="AJ9">
        <v>0</v>
      </c>
      <c r="AK9">
        <v>0</v>
      </c>
      <c r="AL9">
        <v>289248.34000000003</v>
      </c>
      <c r="AM9">
        <v>0</v>
      </c>
      <c r="AN9">
        <v>1419124.7</v>
      </c>
      <c r="AO9" t="s">
        <v>122</v>
      </c>
      <c r="AP9">
        <v>15</v>
      </c>
      <c r="AQ9">
        <v>169481.46</v>
      </c>
      <c r="AR9">
        <v>169481.46</v>
      </c>
      <c r="AT9">
        <v>33143040</v>
      </c>
      <c r="AU9">
        <v>677925.81</v>
      </c>
      <c r="AV9">
        <v>33143040</v>
      </c>
      <c r="AW9">
        <v>677925.81</v>
      </c>
    </row>
    <row r="10" spans="1:49" hidden="1" x14ac:dyDescent="0.35">
      <c r="A10">
        <v>5789410</v>
      </c>
      <c r="B10">
        <v>1170005789401</v>
      </c>
      <c r="D10">
        <v>23238019109</v>
      </c>
      <c r="E10" t="s">
        <v>142</v>
      </c>
      <c r="F10" t="s">
        <v>1</v>
      </c>
      <c r="G10" t="s">
        <v>143</v>
      </c>
      <c r="H10" t="s">
        <v>63</v>
      </c>
      <c r="I10">
        <v>2440</v>
      </c>
      <c r="J10">
        <v>12</v>
      </c>
      <c r="K10" t="s">
        <v>34</v>
      </c>
      <c r="L10">
        <v>83429</v>
      </c>
      <c r="M10" t="s">
        <v>140</v>
      </c>
      <c r="N10">
        <v>1</v>
      </c>
      <c r="O10" t="s">
        <v>125</v>
      </c>
      <c r="P10" t="s">
        <v>144</v>
      </c>
      <c r="Q10">
        <v>1175646.82</v>
      </c>
      <c r="R10">
        <v>53512200</v>
      </c>
      <c r="S10">
        <v>62</v>
      </c>
      <c r="T10">
        <v>863100</v>
      </c>
      <c r="U10">
        <v>1</v>
      </c>
      <c r="V10">
        <v>1</v>
      </c>
      <c r="W10" t="s">
        <v>127</v>
      </c>
      <c r="X10">
        <v>24660</v>
      </c>
      <c r="Y10">
        <v>1175646.82</v>
      </c>
      <c r="Z10">
        <v>53512200</v>
      </c>
      <c r="AA10">
        <v>863100</v>
      </c>
      <c r="AB10">
        <v>214</v>
      </c>
      <c r="AC10" s="34">
        <v>45857</v>
      </c>
      <c r="AD10" s="34">
        <v>46022</v>
      </c>
      <c r="AF10">
        <v>0</v>
      </c>
      <c r="AG10">
        <v>1460077.5</v>
      </c>
      <c r="AH10">
        <v>0</v>
      </c>
      <c r="AI10">
        <v>1460077.5</v>
      </c>
      <c r="AJ10">
        <v>0</v>
      </c>
      <c r="AK10">
        <v>0</v>
      </c>
      <c r="AL10">
        <v>373779.86</v>
      </c>
      <c r="AM10">
        <v>0</v>
      </c>
      <c r="AN10">
        <v>1833857.36</v>
      </c>
      <c r="AO10" t="s">
        <v>122</v>
      </c>
      <c r="AP10">
        <v>15</v>
      </c>
      <c r="AQ10">
        <v>219011.63</v>
      </c>
      <c r="AR10">
        <v>219011.63</v>
      </c>
      <c r="AT10">
        <v>32107320</v>
      </c>
      <c r="AU10">
        <v>705388.09</v>
      </c>
      <c r="AV10">
        <v>32107320</v>
      </c>
      <c r="AW10">
        <v>705388.09</v>
      </c>
    </row>
    <row r="11" spans="1:49" hidden="1" x14ac:dyDescent="0.35">
      <c r="A11">
        <v>5789410</v>
      </c>
      <c r="B11">
        <v>1170005789401</v>
      </c>
      <c r="D11">
        <v>23238019109</v>
      </c>
      <c r="E11" t="s">
        <v>142</v>
      </c>
      <c r="F11" t="s">
        <v>1</v>
      </c>
      <c r="G11" t="s">
        <v>143</v>
      </c>
      <c r="H11" t="s">
        <v>63</v>
      </c>
      <c r="I11">
        <v>2440</v>
      </c>
      <c r="J11">
        <v>12</v>
      </c>
      <c r="K11" t="s">
        <v>34</v>
      </c>
      <c r="L11">
        <v>83429</v>
      </c>
      <c r="M11" t="s">
        <v>140</v>
      </c>
      <c r="N11">
        <v>2</v>
      </c>
      <c r="O11" t="s">
        <v>125</v>
      </c>
      <c r="P11" t="s">
        <v>145</v>
      </c>
      <c r="Q11">
        <v>284430.68</v>
      </c>
      <c r="R11">
        <v>12946500</v>
      </c>
      <c r="S11">
        <v>15</v>
      </c>
      <c r="T11">
        <v>863100</v>
      </c>
      <c r="U11">
        <v>1</v>
      </c>
      <c r="V11">
        <v>1</v>
      </c>
      <c r="W11" t="s">
        <v>127</v>
      </c>
      <c r="X11">
        <v>24660</v>
      </c>
      <c r="Y11">
        <v>284430.68</v>
      </c>
      <c r="Z11">
        <v>12946500</v>
      </c>
      <c r="AA11">
        <v>863100</v>
      </c>
      <c r="AB11">
        <v>214</v>
      </c>
      <c r="AC11" s="34">
        <v>45857</v>
      </c>
      <c r="AD11" s="34">
        <v>46022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t="s">
        <v>122</v>
      </c>
      <c r="AT11">
        <v>7767900</v>
      </c>
      <c r="AU11">
        <v>170658.41</v>
      </c>
      <c r="AV11">
        <v>7767900</v>
      </c>
      <c r="AW11">
        <v>170658.41</v>
      </c>
    </row>
    <row r="12" spans="1:49" hidden="1" x14ac:dyDescent="0.35">
      <c r="A12">
        <v>5789510</v>
      </c>
      <c r="B12">
        <v>1170005789501</v>
      </c>
      <c r="D12">
        <v>30708823879</v>
      </c>
      <c r="E12" t="s">
        <v>146</v>
      </c>
      <c r="F12" t="s">
        <v>1</v>
      </c>
      <c r="G12" t="s">
        <v>143</v>
      </c>
      <c r="H12" t="s">
        <v>63</v>
      </c>
      <c r="I12">
        <v>2440</v>
      </c>
      <c r="J12">
        <v>12</v>
      </c>
      <c r="K12" t="s">
        <v>34</v>
      </c>
      <c r="L12">
        <v>83429</v>
      </c>
      <c r="M12" t="s">
        <v>140</v>
      </c>
      <c r="N12">
        <v>1</v>
      </c>
      <c r="O12" t="s">
        <v>125</v>
      </c>
      <c r="P12" t="s">
        <v>147</v>
      </c>
      <c r="Q12">
        <v>2065275</v>
      </c>
      <c r="R12">
        <v>82611000</v>
      </c>
      <c r="S12">
        <v>134</v>
      </c>
      <c r="T12">
        <v>616500</v>
      </c>
      <c r="U12">
        <v>1</v>
      </c>
      <c r="V12">
        <v>1</v>
      </c>
      <c r="W12" t="s">
        <v>127</v>
      </c>
      <c r="X12">
        <v>24660</v>
      </c>
      <c r="Y12">
        <v>2065275</v>
      </c>
      <c r="Z12">
        <v>82611000</v>
      </c>
      <c r="AA12">
        <v>616500</v>
      </c>
      <c r="AB12">
        <v>214</v>
      </c>
      <c r="AC12" s="34">
        <v>45859</v>
      </c>
      <c r="AD12" s="34">
        <v>46022</v>
      </c>
      <c r="AF12">
        <v>0</v>
      </c>
      <c r="AG12">
        <v>2065275</v>
      </c>
      <c r="AH12">
        <v>0</v>
      </c>
      <c r="AI12">
        <v>2065275</v>
      </c>
      <c r="AJ12">
        <v>0</v>
      </c>
      <c r="AK12">
        <v>0</v>
      </c>
      <c r="AL12">
        <v>528710.41</v>
      </c>
      <c r="AM12">
        <v>0</v>
      </c>
      <c r="AN12">
        <v>2593985.41</v>
      </c>
      <c r="AO12" t="s">
        <v>122</v>
      </c>
      <c r="AP12">
        <v>15</v>
      </c>
      <c r="AQ12">
        <v>309791.25</v>
      </c>
      <c r="AR12">
        <v>309791.25</v>
      </c>
      <c r="AT12">
        <v>49566600</v>
      </c>
      <c r="AU12">
        <v>1239165</v>
      </c>
      <c r="AV12">
        <v>49566600</v>
      </c>
      <c r="AW12">
        <v>1239165</v>
      </c>
    </row>
    <row r="13" spans="1:49" hidden="1" x14ac:dyDescent="0.35">
      <c r="A13">
        <v>5789610</v>
      </c>
      <c r="B13">
        <v>1170005789601</v>
      </c>
      <c r="D13">
        <v>20214217075</v>
      </c>
      <c r="E13" t="s">
        <v>148</v>
      </c>
      <c r="F13" t="s">
        <v>1</v>
      </c>
      <c r="G13" t="s">
        <v>143</v>
      </c>
      <c r="H13" t="s">
        <v>63</v>
      </c>
      <c r="I13">
        <v>2440</v>
      </c>
      <c r="J13">
        <v>12</v>
      </c>
      <c r="K13" t="s">
        <v>34</v>
      </c>
      <c r="L13">
        <v>83429</v>
      </c>
      <c r="M13" t="s">
        <v>140</v>
      </c>
      <c r="N13">
        <v>1</v>
      </c>
      <c r="O13" t="s">
        <v>125</v>
      </c>
      <c r="P13" t="s">
        <v>149</v>
      </c>
      <c r="Q13">
        <v>986400</v>
      </c>
      <c r="R13">
        <v>39456000</v>
      </c>
      <c r="S13">
        <v>64</v>
      </c>
      <c r="T13">
        <v>616500</v>
      </c>
      <c r="U13">
        <v>1</v>
      </c>
      <c r="V13">
        <v>1</v>
      </c>
      <c r="W13" t="s">
        <v>127</v>
      </c>
      <c r="X13">
        <v>24660</v>
      </c>
      <c r="Y13">
        <v>986400</v>
      </c>
      <c r="Z13">
        <v>39456000</v>
      </c>
      <c r="AA13">
        <v>616500</v>
      </c>
      <c r="AB13">
        <v>214</v>
      </c>
      <c r="AC13" s="34">
        <v>45859</v>
      </c>
      <c r="AD13" s="34">
        <v>46022</v>
      </c>
      <c r="AF13">
        <v>0</v>
      </c>
      <c r="AG13">
        <v>2126925</v>
      </c>
      <c r="AH13">
        <v>0</v>
      </c>
      <c r="AI13">
        <v>2126925</v>
      </c>
      <c r="AJ13">
        <v>0</v>
      </c>
      <c r="AK13">
        <v>0</v>
      </c>
      <c r="AL13">
        <v>544492.81000000006</v>
      </c>
      <c r="AM13">
        <v>0</v>
      </c>
      <c r="AN13">
        <v>2671417.81</v>
      </c>
      <c r="AO13" t="s">
        <v>122</v>
      </c>
      <c r="AP13">
        <v>15</v>
      </c>
      <c r="AQ13">
        <v>319038.75</v>
      </c>
      <c r="AR13">
        <v>319038.75</v>
      </c>
      <c r="AT13">
        <v>23673600</v>
      </c>
      <c r="AU13">
        <v>591840</v>
      </c>
      <c r="AV13">
        <v>23673600</v>
      </c>
      <c r="AW13">
        <v>591840</v>
      </c>
    </row>
    <row r="14" spans="1:49" hidden="1" x14ac:dyDescent="0.35">
      <c r="A14">
        <v>5789610</v>
      </c>
      <c r="B14">
        <v>1170005789601</v>
      </c>
      <c r="D14">
        <v>20214217075</v>
      </c>
      <c r="E14" t="s">
        <v>148</v>
      </c>
      <c r="F14" t="s">
        <v>1</v>
      </c>
      <c r="G14" t="s">
        <v>143</v>
      </c>
      <c r="H14" t="s">
        <v>63</v>
      </c>
      <c r="I14">
        <v>2440</v>
      </c>
      <c r="J14">
        <v>12</v>
      </c>
      <c r="K14" t="s">
        <v>34</v>
      </c>
      <c r="L14">
        <v>83429</v>
      </c>
      <c r="M14" t="s">
        <v>140</v>
      </c>
      <c r="N14">
        <v>2</v>
      </c>
      <c r="O14" t="s">
        <v>125</v>
      </c>
      <c r="P14" t="s">
        <v>150</v>
      </c>
      <c r="Q14">
        <v>200362.5</v>
      </c>
      <c r="R14">
        <v>8014500</v>
      </c>
      <c r="S14">
        <v>13</v>
      </c>
      <c r="T14">
        <v>616500</v>
      </c>
      <c r="U14">
        <v>1</v>
      </c>
      <c r="V14">
        <v>1</v>
      </c>
      <c r="W14" t="s">
        <v>127</v>
      </c>
      <c r="X14">
        <v>24660</v>
      </c>
      <c r="Y14">
        <v>200362.5</v>
      </c>
      <c r="Z14">
        <v>8014500</v>
      </c>
      <c r="AA14">
        <v>616500</v>
      </c>
      <c r="AB14">
        <v>214</v>
      </c>
      <c r="AC14" s="34">
        <v>45859</v>
      </c>
      <c r="AD14" s="34">
        <v>46022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t="s">
        <v>122</v>
      </c>
      <c r="AT14">
        <v>4808700</v>
      </c>
      <c r="AU14">
        <v>120217.5</v>
      </c>
      <c r="AV14">
        <v>4808700</v>
      </c>
      <c r="AW14">
        <v>120217.5</v>
      </c>
    </row>
    <row r="15" spans="1:49" hidden="1" x14ac:dyDescent="0.35">
      <c r="A15">
        <v>5789610</v>
      </c>
      <c r="B15">
        <v>1170005789601</v>
      </c>
      <c r="D15">
        <v>20214217075</v>
      </c>
      <c r="E15" t="s">
        <v>148</v>
      </c>
      <c r="F15" t="s">
        <v>1</v>
      </c>
      <c r="G15" t="s">
        <v>143</v>
      </c>
      <c r="H15" t="s">
        <v>63</v>
      </c>
      <c r="I15">
        <v>2440</v>
      </c>
      <c r="J15">
        <v>12</v>
      </c>
      <c r="K15" t="s">
        <v>34</v>
      </c>
      <c r="L15">
        <v>83429</v>
      </c>
      <c r="M15" t="s">
        <v>140</v>
      </c>
      <c r="N15">
        <v>3</v>
      </c>
      <c r="O15" t="s">
        <v>125</v>
      </c>
      <c r="P15" t="s">
        <v>151</v>
      </c>
      <c r="Q15">
        <v>169537.5</v>
      </c>
      <c r="R15">
        <v>6781500</v>
      </c>
      <c r="S15">
        <v>11</v>
      </c>
      <c r="T15">
        <v>616500</v>
      </c>
      <c r="U15">
        <v>1</v>
      </c>
      <c r="V15">
        <v>1</v>
      </c>
      <c r="W15" t="s">
        <v>127</v>
      </c>
      <c r="X15">
        <v>24660</v>
      </c>
      <c r="Y15">
        <v>169537.5</v>
      </c>
      <c r="Z15">
        <v>6781500</v>
      </c>
      <c r="AA15">
        <v>616500</v>
      </c>
      <c r="AB15">
        <v>214</v>
      </c>
      <c r="AC15" s="34">
        <v>45859</v>
      </c>
      <c r="AD15" s="34">
        <v>46022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t="s">
        <v>122</v>
      </c>
      <c r="AT15">
        <v>4068900</v>
      </c>
      <c r="AU15">
        <v>101722.5</v>
      </c>
      <c r="AV15">
        <v>4068900</v>
      </c>
      <c r="AW15">
        <v>101722.5</v>
      </c>
    </row>
    <row r="16" spans="1:49" hidden="1" x14ac:dyDescent="0.35">
      <c r="A16">
        <v>5789610</v>
      </c>
      <c r="B16">
        <v>1170005789601</v>
      </c>
      <c r="D16">
        <v>20214217075</v>
      </c>
      <c r="E16" t="s">
        <v>148</v>
      </c>
      <c r="F16" t="s">
        <v>1</v>
      </c>
      <c r="G16" t="s">
        <v>143</v>
      </c>
      <c r="H16" t="s">
        <v>63</v>
      </c>
      <c r="I16">
        <v>2440</v>
      </c>
      <c r="J16">
        <v>12</v>
      </c>
      <c r="K16" t="s">
        <v>34</v>
      </c>
      <c r="L16">
        <v>83429</v>
      </c>
      <c r="M16" t="s">
        <v>140</v>
      </c>
      <c r="N16">
        <v>4</v>
      </c>
      <c r="O16" t="s">
        <v>125</v>
      </c>
      <c r="P16" t="s">
        <v>152</v>
      </c>
      <c r="Q16">
        <v>770625</v>
      </c>
      <c r="R16">
        <v>30825000</v>
      </c>
      <c r="S16">
        <v>50</v>
      </c>
      <c r="T16">
        <v>616500</v>
      </c>
      <c r="U16">
        <v>1</v>
      </c>
      <c r="V16">
        <v>1</v>
      </c>
      <c r="W16" t="s">
        <v>127</v>
      </c>
      <c r="X16">
        <v>24660</v>
      </c>
      <c r="Y16">
        <v>770625</v>
      </c>
      <c r="Z16">
        <v>30825000</v>
      </c>
      <c r="AA16">
        <v>616500</v>
      </c>
      <c r="AB16">
        <v>214</v>
      </c>
      <c r="AC16" s="34">
        <v>45859</v>
      </c>
      <c r="AD16" s="34">
        <v>46022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t="s">
        <v>122</v>
      </c>
      <c r="AT16">
        <v>18495000</v>
      </c>
      <c r="AU16">
        <v>462375</v>
      </c>
      <c r="AV16">
        <v>18495000</v>
      </c>
      <c r="AW16">
        <v>462375</v>
      </c>
    </row>
    <row r="17" spans="1:49" hidden="1" x14ac:dyDescent="0.35">
      <c r="A17">
        <v>5789710</v>
      </c>
      <c r="B17">
        <v>5010005789701</v>
      </c>
      <c r="D17">
        <v>30712293906</v>
      </c>
      <c r="E17" t="s">
        <v>153</v>
      </c>
      <c r="F17" t="s">
        <v>1</v>
      </c>
      <c r="G17" t="s">
        <v>154</v>
      </c>
      <c r="H17" t="s">
        <v>155</v>
      </c>
      <c r="I17">
        <v>6005</v>
      </c>
      <c r="J17">
        <v>1</v>
      </c>
      <c r="K17" t="s">
        <v>16</v>
      </c>
      <c r="L17">
        <v>9370</v>
      </c>
      <c r="M17" t="s">
        <v>156</v>
      </c>
      <c r="N17">
        <v>1</v>
      </c>
      <c r="O17" t="s">
        <v>125</v>
      </c>
      <c r="P17" t="s">
        <v>157</v>
      </c>
      <c r="Q17">
        <v>2992799.25</v>
      </c>
      <c r="R17">
        <v>63006300</v>
      </c>
      <c r="S17">
        <v>73</v>
      </c>
      <c r="T17">
        <v>863100</v>
      </c>
      <c r="U17">
        <v>1</v>
      </c>
      <c r="V17">
        <v>1</v>
      </c>
      <c r="W17" t="s">
        <v>127</v>
      </c>
      <c r="X17">
        <v>24660</v>
      </c>
      <c r="Y17">
        <v>2992799.25</v>
      </c>
      <c r="Z17">
        <v>63006300</v>
      </c>
      <c r="AA17">
        <v>863100</v>
      </c>
      <c r="AB17">
        <v>105</v>
      </c>
      <c r="AC17" s="34">
        <v>45859</v>
      </c>
      <c r="AD17" s="34">
        <v>46022</v>
      </c>
      <c r="AE17" t="s">
        <v>134</v>
      </c>
      <c r="AF17">
        <v>0</v>
      </c>
      <c r="AG17">
        <v>2992799.25</v>
      </c>
      <c r="AH17">
        <v>0</v>
      </c>
      <c r="AI17">
        <v>2992799.25</v>
      </c>
      <c r="AJ17">
        <v>0</v>
      </c>
      <c r="AK17">
        <v>0</v>
      </c>
      <c r="AL17">
        <v>751192.62</v>
      </c>
      <c r="AM17">
        <v>0</v>
      </c>
      <c r="AN17">
        <v>3743991.87</v>
      </c>
      <c r="AO17" t="s">
        <v>122</v>
      </c>
      <c r="AP17">
        <v>15</v>
      </c>
      <c r="AQ17">
        <v>448919.89</v>
      </c>
      <c r="AR17">
        <v>448919.89</v>
      </c>
      <c r="AT17">
        <v>37803780</v>
      </c>
      <c r="AU17">
        <v>1795679.55</v>
      </c>
      <c r="AV17">
        <v>37803780</v>
      </c>
      <c r="AW17">
        <v>1795679.55</v>
      </c>
    </row>
    <row r="18" spans="1:49" hidden="1" x14ac:dyDescent="0.35">
      <c r="A18">
        <v>5789810</v>
      </c>
      <c r="B18">
        <v>1250005789801</v>
      </c>
      <c r="D18">
        <v>30707459286</v>
      </c>
      <c r="E18" t="s">
        <v>158</v>
      </c>
      <c r="F18" t="s">
        <v>1</v>
      </c>
      <c r="G18" t="s">
        <v>159</v>
      </c>
      <c r="H18" t="s">
        <v>48</v>
      </c>
      <c r="I18">
        <v>6120</v>
      </c>
      <c r="J18">
        <v>3</v>
      </c>
      <c r="K18" t="s">
        <v>32</v>
      </c>
      <c r="L18">
        <v>4401</v>
      </c>
      <c r="M18" t="s">
        <v>132</v>
      </c>
      <c r="N18">
        <v>1</v>
      </c>
      <c r="O18" t="s">
        <v>125</v>
      </c>
      <c r="P18" t="s">
        <v>160</v>
      </c>
      <c r="Q18">
        <v>2269.7600000000002</v>
      </c>
      <c r="R18">
        <v>51000</v>
      </c>
      <c r="S18">
        <v>102</v>
      </c>
      <c r="T18">
        <v>500</v>
      </c>
      <c r="U18">
        <v>26</v>
      </c>
      <c r="V18">
        <v>1364</v>
      </c>
      <c r="W18" t="s">
        <v>121</v>
      </c>
      <c r="X18" t="s">
        <v>1</v>
      </c>
      <c r="Y18">
        <v>3095952.64</v>
      </c>
      <c r="Z18">
        <v>69564000</v>
      </c>
      <c r="AA18">
        <v>682000</v>
      </c>
      <c r="AB18">
        <v>106</v>
      </c>
      <c r="AC18" s="34">
        <v>45866</v>
      </c>
      <c r="AD18" s="34">
        <v>46022</v>
      </c>
      <c r="AE18" t="s">
        <v>161</v>
      </c>
      <c r="AF18">
        <v>0</v>
      </c>
      <c r="AG18">
        <v>2269.7600000000002</v>
      </c>
      <c r="AH18">
        <v>0</v>
      </c>
      <c r="AI18">
        <v>3095952.64</v>
      </c>
      <c r="AJ18">
        <v>0</v>
      </c>
      <c r="AK18">
        <v>0</v>
      </c>
      <c r="AL18">
        <v>808047.24</v>
      </c>
      <c r="AM18">
        <v>0</v>
      </c>
      <c r="AN18">
        <v>3903999.88</v>
      </c>
      <c r="AO18" t="s">
        <v>122</v>
      </c>
      <c r="AP18">
        <v>15</v>
      </c>
      <c r="AQ18">
        <v>340.46</v>
      </c>
      <c r="AR18">
        <v>464387.44</v>
      </c>
      <c r="AT18">
        <v>30600</v>
      </c>
      <c r="AU18">
        <v>1361.86</v>
      </c>
      <c r="AV18">
        <v>41738400</v>
      </c>
      <c r="AW18">
        <v>1857577.04</v>
      </c>
    </row>
    <row r="19" spans="1:49" hidden="1" x14ac:dyDescent="0.35">
      <c r="A19">
        <v>5789910</v>
      </c>
      <c r="B19">
        <v>1250005789901</v>
      </c>
      <c r="D19">
        <v>30606209653</v>
      </c>
      <c r="E19" t="s">
        <v>162</v>
      </c>
      <c r="F19" t="s">
        <v>1</v>
      </c>
      <c r="G19" t="s">
        <v>163</v>
      </c>
      <c r="H19" t="s">
        <v>48</v>
      </c>
      <c r="I19">
        <v>6120</v>
      </c>
      <c r="J19">
        <v>3</v>
      </c>
      <c r="K19" t="s">
        <v>32</v>
      </c>
      <c r="L19">
        <v>4401</v>
      </c>
      <c r="M19" t="s">
        <v>132</v>
      </c>
      <c r="N19">
        <v>1</v>
      </c>
      <c r="O19" t="s">
        <v>125</v>
      </c>
      <c r="P19" t="s">
        <v>164</v>
      </c>
      <c r="Q19">
        <v>1798.74</v>
      </c>
      <c r="R19">
        <v>37500</v>
      </c>
      <c r="S19">
        <v>75</v>
      </c>
      <c r="T19">
        <v>500</v>
      </c>
      <c r="U19">
        <v>26</v>
      </c>
      <c r="V19">
        <v>1364</v>
      </c>
      <c r="W19" t="s">
        <v>121</v>
      </c>
      <c r="X19" t="s">
        <v>1</v>
      </c>
      <c r="Y19">
        <v>2453481.36</v>
      </c>
      <c r="Z19">
        <v>51150000</v>
      </c>
      <c r="AA19">
        <v>682000</v>
      </c>
      <c r="AB19">
        <v>106</v>
      </c>
      <c r="AC19" s="34">
        <v>45866</v>
      </c>
      <c r="AD19" s="34">
        <v>46022</v>
      </c>
      <c r="AF19">
        <v>0</v>
      </c>
      <c r="AG19">
        <v>1798.74</v>
      </c>
      <c r="AH19">
        <v>0</v>
      </c>
      <c r="AI19">
        <v>2453481.36</v>
      </c>
      <c r="AJ19">
        <v>0</v>
      </c>
      <c r="AK19">
        <v>0</v>
      </c>
      <c r="AL19">
        <v>640357.07999999996</v>
      </c>
      <c r="AM19">
        <v>0</v>
      </c>
      <c r="AN19">
        <v>3093838.44</v>
      </c>
      <c r="AO19" t="s">
        <v>122</v>
      </c>
      <c r="AP19">
        <v>15</v>
      </c>
      <c r="AQ19">
        <v>269.81</v>
      </c>
      <c r="AR19">
        <v>368020.84</v>
      </c>
      <c r="AT19">
        <v>22500</v>
      </c>
      <c r="AU19">
        <v>1079.24</v>
      </c>
      <c r="AV19">
        <v>30690000</v>
      </c>
      <c r="AW19">
        <v>1472083.36</v>
      </c>
    </row>
    <row r="20" spans="1:49" hidden="1" x14ac:dyDescent="0.35">
      <c r="A20">
        <v>5790010</v>
      </c>
      <c r="B20">
        <v>1170005790001</v>
      </c>
      <c r="D20">
        <v>20245701358</v>
      </c>
      <c r="E20" t="s">
        <v>165</v>
      </c>
      <c r="F20" t="s">
        <v>1</v>
      </c>
      <c r="G20" t="s">
        <v>166</v>
      </c>
      <c r="H20" t="s">
        <v>50</v>
      </c>
      <c r="I20">
        <v>5940</v>
      </c>
      <c r="J20">
        <v>3</v>
      </c>
      <c r="K20" t="s">
        <v>32</v>
      </c>
      <c r="L20">
        <v>83429</v>
      </c>
      <c r="M20" t="s">
        <v>140</v>
      </c>
      <c r="N20">
        <v>1</v>
      </c>
      <c r="O20" t="s">
        <v>125</v>
      </c>
      <c r="P20" t="s">
        <v>167</v>
      </c>
      <c r="Q20">
        <v>713634.04</v>
      </c>
      <c r="R20">
        <v>28408320</v>
      </c>
      <c r="S20">
        <v>64</v>
      </c>
      <c r="T20">
        <v>443880</v>
      </c>
      <c r="U20">
        <v>1</v>
      </c>
      <c r="V20">
        <v>1</v>
      </c>
      <c r="W20" t="s">
        <v>127</v>
      </c>
      <c r="X20">
        <v>24660</v>
      </c>
      <c r="Y20">
        <v>713634.04</v>
      </c>
      <c r="Z20">
        <v>28408320</v>
      </c>
      <c r="AA20">
        <v>443880</v>
      </c>
      <c r="AB20">
        <v>214</v>
      </c>
      <c r="AC20" s="34">
        <v>45862</v>
      </c>
      <c r="AD20" s="34">
        <v>46022</v>
      </c>
      <c r="AF20">
        <v>0</v>
      </c>
      <c r="AG20">
        <v>713634.04</v>
      </c>
      <c r="AH20">
        <v>0</v>
      </c>
      <c r="AI20">
        <v>713634.04</v>
      </c>
      <c r="AJ20">
        <v>0</v>
      </c>
      <c r="AK20">
        <v>0</v>
      </c>
      <c r="AL20">
        <v>186356.87</v>
      </c>
      <c r="AM20">
        <v>0</v>
      </c>
      <c r="AN20">
        <v>899990.91</v>
      </c>
      <c r="AO20" t="s">
        <v>122</v>
      </c>
      <c r="AP20">
        <v>15</v>
      </c>
      <c r="AQ20">
        <v>107045.1</v>
      </c>
      <c r="AR20">
        <v>107045.1</v>
      </c>
      <c r="AT20">
        <v>17044992</v>
      </c>
      <c r="AU20">
        <v>428180.42</v>
      </c>
      <c r="AV20">
        <v>17044992</v>
      </c>
      <c r="AW20">
        <v>428180.42</v>
      </c>
    </row>
    <row r="21" spans="1:49" hidden="1" x14ac:dyDescent="0.35">
      <c r="A21">
        <v>5790110</v>
      </c>
      <c r="B21">
        <v>1090005790101</v>
      </c>
      <c r="D21">
        <v>30717663981</v>
      </c>
      <c r="E21" t="s">
        <v>168</v>
      </c>
      <c r="F21" t="s">
        <v>1</v>
      </c>
      <c r="G21" t="s">
        <v>169</v>
      </c>
      <c r="H21" t="s">
        <v>170</v>
      </c>
      <c r="I21">
        <v>8166</v>
      </c>
      <c r="J21">
        <v>1</v>
      </c>
      <c r="K21" t="s">
        <v>16</v>
      </c>
      <c r="L21">
        <v>7754</v>
      </c>
      <c r="M21" t="s">
        <v>171</v>
      </c>
      <c r="N21">
        <v>1</v>
      </c>
      <c r="O21" t="s">
        <v>125</v>
      </c>
      <c r="P21" t="s">
        <v>172</v>
      </c>
      <c r="Q21">
        <v>2610.96</v>
      </c>
      <c r="R21">
        <v>55000</v>
      </c>
      <c r="S21">
        <v>110</v>
      </c>
      <c r="T21">
        <v>500</v>
      </c>
      <c r="U21">
        <v>26</v>
      </c>
      <c r="V21">
        <v>1364</v>
      </c>
      <c r="W21" t="s">
        <v>121</v>
      </c>
      <c r="X21" t="s">
        <v>1</v>
      </c>
      <c r="Y21">
        <v>3561349.44</v>
      </c>
      <c r="Z21">
        <v>75020000</v>
      </c>
      <c r="AA21">
        <v>682000</v>
      </c>
      <c r="AB21">
        <v>106</v>
      </c>
      <c r="AC21" s="34">
        <v>45868</v>
      </c>
      <c r="AD21" s="34">
        <v>46053</v>
      </c>
      <c r="AE21" t="s">
        <v>134</v>
      </c>
      <c r="AF21">
        <v>2</v>
      </c>
      <c r="AG21">
        <v>2610.96</v>
      </c>
      <c r="AH21">
        <v>0</v>
      </c>
      <c r="AI21">
        <v>3561349.44</v>
      </c>
      <c r="AJ21">
        <v>0</v>
      </c>
      <c r="AK21">
        <v>0</v>
      </c>
      <c r="AL21">
        <v>893897.4</v>
      </c>
      <c r="AM21">
        <v>0</v>
      </c>
      <c r="AN21">
        <v>4455246.84</v>
      </c>
      <c r="AO21" t="s">
        <v>122</v>
      </c>
      <c r="AP21">
        <v>12</v>
      </c>
      <c r="AQ21">
        <v>313.32</v>
      </c>
      <c r="AR21">
        <v>427368.48</v>
      </c>
      <c r="AT21">
        <v>33000</v>
      </c>
      <c r="AU21">
        <v>1566.58</v>
      </c>
      <c r="AV21">
        <v>45012000</v>
      </c>
      <c r="AW21">
        <v>2136815.12</v>
      </c>
    </row>
    <row r="22" spans="1:49" hidden="1" x14ac:dyDescent="0.35">
      <c r="A22">
        <v>5790210</v>
      </c>
      <c r="B22">
        <v>1250005790201</v>
      </c>
      <c r="D22">
        <v>30512426952</v>
      </c>
      <c r="E22" t="s">
        <v>173</v>
      </c>
      <c r="F22" t="s">
        <v>1</v>
      </c>
      <c r="G22" t="s">
        <v>174</v>
      </c>
      <c r="H22" t="s">
        <v>51</v>
      </c>
      <c r="I22">
        <v>5929</v>
      </c>
      <c r="J22">
        <v>3</v>
      </c>
      <c r="K22" t="s">
        <v>32</v>
      </c>
      <c r="L22">
        <v>6435</v>
      </c>
      <c r="M22" t="s">
        <v>175</v>
      </c>
      <c r="N22">
        <v>1</v>
      </c>
      <c r="O22" t="s">
        <v>125</v>
      </c>
      <c r="P22" t="s">
        <v>176</v>
      </c>
      <c r="Q22">
        <v>3807687.16</v>
      </c>
      <c r="R22">
        <v>69245280</v>
      </c>
      <c r="S22">
        <v>156</v>
      </c>
      <c r="T22">
        <v>443880</v>
      </c>
      <c r="U22">
        <v>1</v>
      </c>
      <c r="V22">
        <v>1</v>
      </c>
      <c r="W22" t="s">
        <v>127</v>
      </c>
      <c r="X22">
        <v>24660</v>
      </c>
      <c r="Y22">
        <v>3807687.16</v>
      </c>
      <c r="Z22">
        <v>69245280</v>
      </c>
      <c r="AA22">
        <v>443880</v>
      </c>
      <c r="AB22">
        <v>105</v>
      </c>
      <c r="AC22" s="34">
        <v>45873</v>
      </c>
      <c r="AD22" s="34">
        <v>46022</v>
      </c>
      <c r="AF22">
        <v>0</v>
      </c>
      <c r="AG22">
        <v>3807687.16</v>
      </c>
      <c r="AH22">
        <v>0</v>
      </c>
      <c r="AI22">
        <v>3807687.16</v>
      </c>
      <c r="AJ22">
        <v>0</v>
      </c>
      <c r="AK22">
        <v>0</v>
      </c>
      <c r="AL22">
        <v>993806.36</v>
      </c>
      <c r="AM22">
        <v>0</v>
      </c>
      <c r="AN22">
        <v>4801493.5199999996</v>
      </c>
      <c r="AO22" t="s">
        <v>122</v>
      </c>
      <c r="AP22">
        <v>15</v>
      </c>
      <c r="AQ22">
        <v>571153.06999999995</v>
      </c>
      <c r="AR22">
        <v>571153.06999999995</v>
      </c>
      <c r="AT22">
        <v>41547168</v>
      </c>
      <c r="AU22">
        <v>2284612.2999999998</v>
      </c>
      <c r="AV22">
        <v>41547168</v>
      </c>
      <c r="AW22">
        <v>2284612.2999999998</v>
      </c>
    </row>
    <row r="23" spans="1:49" hidden="1" x14ac:dyDescent="0.35">
      <c r="A23">
        <v>5790310</v>
      </c>
      <c r="B23">
        <v>1170005790301</v>
      </c>
      <c r="D23">
        <v>30717800474</v>
      </c>
      <c r="E23" t="s">
        <v>177</v>
      </c>
      <c r="F23" t="s">
        <v>1</v>
      </c>
      <c r="G23" t="s">
        <v>178</v>
      </c>
      <c r="H23" t="s">
        <v>178</v>
      </c>
      <c r="I23">
        <v>6000</v>
      </c>
      <c r="J23">
        <v>1</v>
      </c>
      <c r="K23" t="s">
        <v>16</v>
      </c>
      <c r="L23">
        <v>9143</v>
      </c>
      <c r="M23" t="s">
        <v>179</v>
      </c>
      <c r="N23">
        <v>1</v>
      </c>
      <c r="O23" t="s">
        <v>125</v>
      </c>
      <c r="P23" t="s">
        <v>180</v>
      </c>
      <c r="Q23">
        <v>2111911.92</v>
      </c>
      <c r="R23">
        <v>44485000</v>
      </c>
      <c r="S23">
        <v>50</v>
      </c>
      <c r="T23">
        <v>889700</v>
      </c>
      <c r="U23">
        <v>1</v>
      </c>
      <c r="V23">
        <v>1</v>
      </c>
      <c r="W23" t="s">
        <v>127</v>
      </c>
      <c r="X23">
        <v>25420</v>
      </c>
      <c r="Y23">
        <v>2111911.92</v>
      </c>
      <c r="Z23">
        <v>44485000</v>
      </c>
      <c r="AA23">
        <v>889700</v>
      </c>
      <c r="AB23">
        <v>105</v>
      </c>
      <c r="AC23" s="34">
        <v>45869</v>
      </c>
      <c r="AD23" s="34">
        <v>46053</v>
      </c>
      <c r="AE23" t="s">
        <v>134</v>
      </c>
      <c r="AF23">
        <v>0</v>
      </c>
      <c r="AG23">
        <v>2111791.92</v>
      </c>
      <c r="AH23">
        <v>120</v>
      </c>
      <c r="AI23">
        <v>2111791.92</v>
      </c>
      <c r="AJ23">
        <v>120</v>
      </c>
      <c r="AK23">
        <v>0</v>
      </c>
      <c r="AL23">
        <v>530089.89</v>
      </c>
      <c r="AM23">
        <v>0</v>
      </c>
      <c r="AN23">
        <v>2642001.81</v>
      </c>
      <c r="AO23" t="s">
        <v>122</v>
      </c>
      <c r="AP23">
        <v>15</v>
      </c>
      <c r="AQ23">
        <v>316768.78999999998</v>
      </c>
      <c r="AR23">
        <v>316768.78999999998</v>
      </c>
      <c r="AT23">
        <v>26691000</v>
      </c>
      <c r="AU23">
        <v>1267075.1499999999</v>
      </c>
      <c r="AV23">
        <v>26691000</v>
      </c>
      <c r="AW23">
        <v>1267075.1499999999</v>
      </c>
    </row>
    <row r="24" spans="1:49" hidden="1" x14ac:dyDescent="0.35">
      <c r="A24">
        <v>5790410</v>
      </c>
      <c r="B24">
        <v>1150005790401</v>
      </c>
      <c r="D24">
        <v>20237319630</v>
      </c>
      <c r="E24" t="s">
        <v>181</v>
      </c>
      <c r="F24" t="s">
        <v>1</v>
      </c>
      <c r="G24" t="s">
        <v>182</v>
      </c>
      <c r="H24" t="s">
        <v>50</v>
      </c>
      <c r="I24">
        <v>2426</v>
      </c>
      <c r="J24">
        <v>3</v>
      </c>
      <c r="K24" t="s">
        <v>32</v>
      </c>
      <c r="L24">
        <v>9262</v>
      </c>
      <c r="M24" t="s">
        <v>183</v>
      </c>
      <c r="N24">
        <v>1</v>
      </c>
      <c r="O24" t="s">
        <v>125</v>
      </c>
      <c r="P24" t="s">
        <v>184</v>
      </c>
      <c r="Q24">
        <v>261864.54</v>
      </c>
      <c r="R24">
        <v>9124200</v>
      </c>
      <c r="S24">
        <v>37</v>
      </c>
      <c r="T24">
        <v>246600</v>
      </c>
      <c r="U24">
        <v>1</v>
      </c>
      <c r="V24">
        <v>1</v>
      </c>
      <c r="W24" t="s">
        <v>127</v>
      </c>
      <c r="X24">
        <v>24660</v>
      </c>
      <c r="Y24">
        <v>261864.54</v>
      </c>
      <c r="Z24">
        <v>9124200</v>
      </c>
      <c r="AA24">
        <v>246600</v>
      </c>
      <c r="AB24">
        <v>105</v>
      </c>
      <c r="AC24" s="34">
        <v>45872</v>
      </c>
      <c r="AD24" s="34">
        <v>46022</v>
      </c>
      <c r="AF24">
        <v>0</v>
      </c>
      <c r="AG24">
        <v>1019148.48</v>
      </c>
      <c r="AH24">
        <v>0</v>
      </c>
      <c r="AI24">
        <v>1019148.48</v>
      </c>
      <c r="AJ24">
        <v>0</v>
      </c>
      <c r="AK24">
        <v>0</v>
      </c>
      <c r="AL24">
        <v>265997.74</v>
      </c>
      <c r="AM24">
        <v>0</v>
      </c>
      <c r="AN24">
        <v>1285146.22</v>
      </c>
      <c r="AO24" t="s">
        <v>122</v>
      </c>
      <c r="AP24">
        <v>15</v>
      </c>
      <c r="AQ24">
        <v>152872.26999999999</v>
      </c>
      <c r="AR24">
        <v>152872.26999999999</v>
      </c>
      <c r="AT24">
        <v>5474520</v>
      </c>
      <c r="AU24">
        <v>157118.72</v>
      </c>
      <c r="AV24">
        <v>5474520</v>
      </c>
      <c r="AW24">
        <v>157118.72</v>
      </c>
    </row>
    <row r="25" spans="1:49" hidden="1" x14ac:dyDescent="0.35">
      <c r="A25">
        <v>5790410</v>
      </c>
      <c r="B25">
        <v>1150005790401</v>
      </c>
      <c r="D25">
        <v>20237319630</v>
      </c>
      <c r="E25" t="s">
        <v>181</v>
      </c>
      <c r="F25" t="s">
        <v>1</v>
      </c>
      <c r="G25" t="s">
        <v>182</v>
      </c>
      <c r="H25" t="s">
        <v>50</v>
      </c>
      <c r="I25">
        <v>2426</v>
      </c>
      <c r="J25">
        <v>3</v>
      </c>
      <c r="K25" t="s">
        <v>32</v>
      </c>
      <c r="L25">
        <v>9262</v>
      </c>
      <c r="M25" t="s">
        <v>183</v>
      </c>
      <c r="N25">
        <v>2</v>
      </c>
      <c r="O25" t="s">
        <v>125</v>
      </c>
      <c r="P25" t="s">
        <v>185</v>
      </c>
      <c r="Q25">
        <v>353871</v>
      </c>
      <c r="R25">
        <v>12330000</v>
      </c>
      <c r="S25">
        <v>50</v>
      </c>
      <c r="T25">
        <v>246600</v>
      </c>
      <c r="U25">
        <v>1</v>
      </c>
      <c r="V25">
        <v>1</v>
      </c>
      <c r="W25" t="s">
        <v>127</v>
      </c>
      <c r="X25">
        <v>24660</v>
      </c>
      <c r="Y25">
        <v>353871</v>
      </c>
      <c r="Z25">
        <v>12330000</v>
      </c>
      <c r="AA25">
        <v>246600</v>
      </c>
      <c r="AB25">
        <v>105</v>
      </c>
      <c r="AC25" s="34">
        <v>45872</v>
      </c>
      <c r="AD25" s="34">
        <v>46022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t="s">
        <v>122</v>
      </c>
      <c r="AT25">
        <v>7398000</v>
      </c>
      <c r="AU25">
        <v>212322.6</v>
      </c>
      <c r="AV25">
        <v>7398000</v>
      </c>
      <c r="AW25">
        <v>212322.6</v>
      </c>
    </row>
    <row r="26" spans="1:49" hidden="1" x14ac:dyDescent="0.35">
      <c r="A26">
        <v>5790410</v>
      </c>
      <c r="B26">
        <v>1150005790401</v>
      </c>
      <c r="D26">
        <v>20237319630</v>
      </c>
      <c r="E26" t="s">
        <v>181</v>
      </c>
      <c r="F26" t="s">
        <v>1</v>
      </c>
      <c r="G26" t="s">
        <v>182</v>
      </c>
      <c r="H26" t="s">
        <v>50</v>
      </c>
      <c r="I26">
        <v>2426</v>
      </c>
      <c r="J26">
        <v>3</v>
      </c>
      <c r="K26" t="s">
        <v>32</v>
      </c>
      <c r="L26">
        <v>9262</v>
      </c>
      <c r="M26" t="s">
        <v>183</v>
      </c>
      <c r="N26">
        <v>3</v>
      </c>
      <c r="O26" t="s">
        <v>125</v>
      </c>
      <c r="P26" t="s">
        <v>186</v>
      </c>
      <c r="Q26">
        <v>403412.94</v>
      </c>
      <c r="R26">
        <v>14056200</v>
      </c>
      <c r="S26">
        <v>57</v>
      </c>
      <c r="T26">
        <v>246600</v>
      </c>
      <c r="U26">
        <v>1</v>
      </c>
      <c r="V26">
        <v>1</v>
      </c>
      <c r="W26" t="s">
        <v>127</v>
      </c>
      <c r="X26">
        <v>24660</v>
      </c>
      <c r="Y26">
        <v>403412.94</v>
      </c>
      <c r="Z26">
        <v>14056200</v>
      </c>
      <c r="AA26">
        <v>246600</v>
      </c>
      <c r="AB26">
        <v>105</v>
      </c>
      <c r="AC26" s="34">
        <v>45872</v>
      </c>
      <c r="AD26" s="34">
        <v>46022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 t="s">
        <v>122</v>
      </c>
      <c r="AT26">
        <v>8433720</v>
      </c>
      <c r="AU26">
        <v>242047.76</v>
      </c>
      <c r="AV26">
        <v>8433720</v>
      </c>
      <c r="AW26">
        <v>242047.76</v>
      </c>
    </row>
    <row r="27" spans="1:49" hidden="1" x14ac:dyDescent="0.35">
      <c r="A27">
        <v>5790510</v>
      </c>
      <c r="B27">
        <v>1150005790501</v>
      </c>
      <c r="D27">
        <v>20125319069</v>
      </c>
      <c r="E27" t="s">
        <v>187</v>
      </c>
      <c r="F27" t="s">
        <v>1</v>
      </c>
      <c r="G27" t="s">
        <v>182</v>
      </c>
      <c r="H27" t="s">
        <v>50</v>
      </c>
      <c r="I27">
        <v>2426</v>
      </c>
      <c r="J27">
        <v>3</v>
      </c>
      <c r="K27" t="s">
        <v>32</v>
      </c>
      <c r="L27">
        <v>9262</v>
      </c>
      <c r="M27" t="s">
        <v>183</v>
      </c>
      <c r="N27">
        <v>1</v>
      </c>
      <c r="O27" t="s">
        <v>125</v>
      </c>
      <c r="P27" t="s">
        <v>184</v>
      </c>
      <c r="Q27">
        <v>261864.54</v>
      </c>
      <c r="R27">
        <v>9124200</v>
      </c>
      <c r="S27">
        <v>37</v>
      </c>
      <c r="T27">
        <v>246600</v>
      </c>
      <c r="U27">
        <v>1</v>
      </c>
      <c r="V27">
        <v>1</v>
      </c>
      <c r="W27" t="s">
        <v>127</v>
      </c>
      <c r="X27">
        <v>24660</v>
      </c>
      <c r="Y27">
        <v>261864.54</v>
      </c>
      <c r="Z27">
        <v>9124200</v>
      </c>
      <c r="AA27">
        <v>246600</v>
      </c>
      <c r="AB27">
        <v>105</v>
      </c>
      <c r="AC27" s="34">
        <v>45872</v>
      </c>
      <c r="AD27" s="34">
        <v>46022</v>
      </c>
      <c r="AF27">
        <v>0</v>
      </c>
      <c r="AG27">
        <v>1019148.48</v>
      </c>
      <c r="AH27">
        <v>0</v>
      </c>
      <c r="AI27">
        <v>1019148.48</v>
      </c>
      <c r="AJ27">
        <v>0</v>
      </c>
      <c r="AK27">
        <v>0</v>
      </c>
      <c r="AL27">
        <v>265997.74</v>
      </c>
      <c r="AM27">
        <v>0</v>
      </c>
      <c r="AN27">
        <v>1285146.22</v>
      </c>
      <c r="AO27" t="s">
        <v>122</v>
      </c>
      <c r="AP27">
        <v>15</v>
      </c>
      <c r="AQ27">
        <v>152872.26999999999</v>
      </c>
      <c r="AR27">
        <v>152872.26999999999</v>
      </c>
      <c r="AT27">
        <v>5474520</v>
      </c>
      <c r="AU27">
        <v>157118.72</v>
      </c>
      <c r="AV27">
        <v>5474520</v>
      </c>
      <c r="AW27">
        <v>157118.72</v>
      </c>
    </row>
    <row r="28" spans="1:49" hidden="1" x14ac:dyDescent="0.35">
      <c r="A28">
        <v>5790510</v>
      </c>
      <c r="B28">
        <v>1150005790501</v>
      </c>
      <c r="D28">
        <v>20125319069</v>
      </c>
      <c r="E28" t="s">
        <v>187</v>
      </c>
      <c r="F28" t="s">
        <v>1</v>
      </c>
      <c r="G28" t="s">
        <v>182</v>
      </c>
      <c r="H28" t="s">
        <v>50</v>
      </c>
      <c r="I28">
        <v>2426</v>
      </c>
      <c r="J28">
        <v>3</v>
      </c>
      <c r="K28" t="s">
        <v>32</v>
      </c>
      <c r="L28">
        <v>9262</v>
      </c>
      <c r="M28" t="s">
        <v>183</v>
      </c>
      <c r="N28">
        <v>2</v>
      </c>
      <c r="O28" t="s">
        <v>125</v>
      </c>
      <c r="P28" t="s">
        <v>185</v>
      </c>
      <c r="Q28">
        <v>353871</v>
      </c>
      <c r="R28">
        <v>12330000</v>
      </c>
      <c r="S28">
        <v>50</v>
      </c>
      <c r="T28">
        <v>246600</v>
      </c>
      <c r="U28">
        <v>1</v>
      </c>
      <c r="V28">
        <v>1</v>
      </c>
      <c r="W28" t="s">
        <v>127</v>
      </c>
      <c r="X28">
        <v>24660</v>
      </c>
      <c r="Y28">
        <v>353871</v>
      </c>
      <c r="Z28">
        <v>12330000</v>
      </c>
      <c r="AA28">
        <v>246600</v>
      </c>
      <c r="AB28">
        <v>105</v>
      </c>
      <c r="AC28" s="34">
        <v>45872</v>
      </c>
      <c r="AD28" s="34">
        <v>46022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 t="s">
        <v>122</v>
      </c>
      <c r="AT28">
        <v>7398000</v>
      </c>
      <c r="AU28">
        <v>212322.6</v>
      </c>
      <c r="AV28">
        <v>7398000</v>
      </c>
      <c r="AW28">
        <v>212322.6</v>
      </c>
    </row>
    <row r="29" spans="1:49" hidden="1" x14ac:dyDescent="0.35">
      <c r="A29">
        <v>5790510</v>
      </c>
      <c r="B29">
        <v>1150005790501</v>
      </c>
      <c r="D29">
        <v>20125319069</v>
      </c>
      <c r="E29" t="s">
        <v>187</v>
      </c>
      <c r="F29" t="s">
        <v>1</v>
      </c>
      <c r="G29" t="s">
        <v>182</v>
      </c>
      <c r="H29" t="s">
        <v>50</v>
      </c>
      <c r="I29">
        <v>2426</v>
      </c>
      <c r="J29">
        <v>3</v>
      </c>
      <c r="K29" t="s">
        <v>32</v>
      </c>
      <c r="L29">
        <v>9262</v>
      </c>
      <c r="M29" t="s">
        <v>183</v>
      </c>
      <c r="N29">
        <v>3</v>
      </c>
      <c r="O29" t="s">
        <v>125</v>
      </c>
      <c r="P29" t="s">
        <v>186</v>
      </c>
      <c r="Q29">
        <v>403412.94</v>
      </c>
      <c r="R29">
        <v>14056200</v>
      </c>
      <c r="S29">
        <v>57</v>
      </c>
      <c r="T29">
        <v>246600</v>
      </c>
      <c r="U29">
        <v>1</v>
      </c>
      <c r="V29">
        <v>1</v>
      </c>
      <c r="W29" t="s">
        <v>127</v>
      </c>
      <c r="X29">
        <v>24660</v>
      </c>
      <c r="Y29">
        <v>403412.94</v>
      </c>
      <c r="Z29">
        <v>14056200</v>
      </c>
      <c r="AA29">
        <v>246600</v>
      </c>
      <c r="AB29">
        <v>105</v>
      </c>
      <c r="AC29" s="34">
        <v>45872</v>
      </c>
      <c r="AD29" s="34">
        <v>46022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 t="s">
        <v>122</v>
      </c>
      <c r="AT29">
        <v>8433720</v>
      </c>
      <c r="AU29">
        <v>242047.76</v>
      </c>
      <c r="AV29">
        <v>8433720</v>
      </c>
      <c r="AW29">
        <v>242047.76</v>
      </c>
    </row>
    <row r="30" spans="1:49" hidden="1" x14ac:dyDescent="0.35">
      <c r="A30">
        <v>5790610</v>
      </c>
      <c r="B30">
        <v>1150005790601</v>
      </c>
      <c r="D30">
        <v>23162285904</v>
      </c>
      <c r="E30" t="s">
        <v>188</v>
      </c>
      <c r="F30" t="s">
        <v>1</v>
      </c>
      <c r="G30" t="s">
        <v>189</v>
      </c>
      <c r="H30" t="s">
        <v>50</v>
      </c>
      <c r="I30">
        <v>2426</v>
      </c>
      <c r="J30">
        <v>3</v>
      </c>
      <c r="K30" t="s">
        <v>32</v>
      </c>
      <c r="L30">
        <v>9262</v>
      </c>
      <c r="M30" t="s">
        <v>183</v>
      </c>
      <c r="N30">
        <v>1</v>
      </c>
      <c r="O30" t="s">
        <v>125</v>
      </c>
      <c r="P30" t="s">
        <v>190</v>
      </c>
      <c r="Q30">
        <v>254787.12</v>
      </c>
      <c r="R30">
        <v>8877600</v>
      </c>
      <c r="S30">
        <v>18</v>
      </c>
      <c r="T30">
        <v>493200</v>
      </c>
      <c r="U30">
        <v>1</v>
      </c>
      <c r="V30">
        <v>1</v>
      </c>
      <c r="W30" t="s">
        <v>127</v>
      </c>
      <c r="X30">
        <v>24660</v>
      </c>
      <c r="Y30">
        <v>254787.12</v>
      </c>
      <c r="Z30">
        <v>8877600</v>
      </c>
      <c r="AA30">
        <v>493200</v>
      </c>
      <c r="AB30">
        <v>105</v>
      </c>
      <c r="AC30" s="34">
        <v>45854</v>
      </c>
      <c r="AD30" s="34">
        <v>46022</v>
      </c>
      <c r="AF30">
        <v>0</v>
      </c>
      <c r="AG30">
        <v>1436716.26</v>
      </c>
      <c r="AH30">
        <v>0</v>
      </c>
      <c r="AI30">
        <v>1436716.26</v>
      </c>
      <c r="AJ30">
        <v>0</v>
      </c>
      <c r="AK30">
        <v>0</v>
      </c>
      <c r="AL30">
        <v>374982.94</v>
      </c>
      <c r="AM30">
        <v>0</v>
      </c>
      <c r="AN30">
        <v>1811699.2</v>
      </c>
      <c r="AO30" t="s">
        <v>122</v>
      </c>
      <c r="AP30">
        <v>15</v>
      </c>
      <c r="AQ30">
        <v>215507.44</v>
      </c>
      <c r="AR30">
        <v>215507.44</v>
      </c>
      <c r="AT30">
        <v>5326560</v>
      </c>
      <c r="AU30">
        <v>152872.26999999999</v>
      </c>
      <c r="AV30">
        <v>5326560</v>
      </c>
      <c r="AW30">
        <v>152872.26999999999</v>
      </c>
    </row>
    <row r="31" spans="1:49" hidden="1" x14ac:dyDescent="0.35">
      <c r="A31">
        <v>5790610</v>
      </c>
      <c r="B31">
        <v>1150005790601</v>
      </c>
      <c r="D31">
        <v>23162285904</v>
      </c>
      <c r="E31" t="s">
        <v>188</v>
      </c>
      <c r="F31" t="s">
        <v>1</v>
      </c>
      <c r="G31" t="s">
        <v>189</v>
      </c>
      <c r="H31" t="s">
        <v>50</v>
      </c>
      <c r="I31">
        <v>2426</v>
      </c>
      <c r="J31">
        <v>3</v>
      </c>
      <c r="K31" t="s">
        <v>32</v>
      </c>
      <c r="L31">
        <v>9262</v>
      </c>
      <c r="M31" t="s">
        <v>183</v>
      </c>
      <c r="N31">
        <v>2</v>
      </c>
      <c r="O31" t="s">
        <v>125</v>
      </c>
      <c r="P31" t="s">
        <v>191</v>
      </c>
      <c r="Q31">
        <v>452954.88</v>
      </c>
      <c r="R31">
        <v>15782400</v>
      </c>
      <c r="S31">
        <v>64</v>
      </c>
      <c r="T31">
        <v>246600</v>
      </c>
      <c r="U31">
        <v>1</v>
      </c>
      <c r="V31">
        <v>1</v>
      </c>
      <c r="W31" t="s">
        <v>127</v>
      </c>
      <c r="X31">
        <v>24660</v>
      </c>
      <c r="Y31">
        <v>452954.88</v>
      </c>
      <c r="Z31">
        <v>15782400</v>
      </c>
      <c r="AA31">
        <v>246600</v>
      </c>
      <c r="AB31">
        <v>105</v>
      </c>
      <c r="AC31" s="34">
        <v>45854</v>
      </c>
      <c r="AD31" s="34">
        <v>46022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 t="s">
        <v>122</v>
      </c>
      <c r="AT31">
        <v>9469440</v>
      </c>
      <c r="AU31">
        <v>271772.93</v>
      </c>
      <c r="AV31">
        <v>9469440</v>
      </c>
      <c r="AW31">
        <v>271772.93</v>
      </c>
    </row>
    <row r="32" spans="1:49" hidden="1" x14ac:dyDescent="0.35">
      <c r="A32">
        <v>5790610</v>
      </c>
      <c r="B32">
        <v>1150005790601</v>
      </c>
      <c r="D32">
        <v>23162285904</v>
      </c>
      <c r="E32" t="s">
        <v>188</v>
      </c>
      <c r="F32" t="s">
        <v>1</v>
      </c>
      <c r="G32" t="s">
        <v>189</v>
      </c>
      <c r="H32" t="s">
        <v>50</v>
      </c>
      <c r="I32">
        <v>2426</v>
      </c>
      <c r="J32">
        <v>3</v>
      </c>
      <c r="K32" t="s">
        <v>32</v>
      </c>
      <c r="L32">
        <v>9262</v>
      </c>
      <c r="M32" t="s">
        <v>183</v>
      </c>
      <c r="N32">
        <v>3</v>
      </c>
      <c r="O32" t="s">
        <v>125</v>
      </c>
      <c r="P32" t="s">
        <v>192</v>
      </c>
      <c r="Q32">
        <v>445877.46</v>
      </c>
      <c r="R32">
        <v>15535800</v>
      </c>
      <c r="S32">
        <v>63</v>
      </c>
      <c r="T32">
        <v>246600</v>
      </c>
      <c r="U32">
        <v>1</v>
      </c>
      <c r="V32">
        <v>1</v>
      </c>
      <c r="W32" t="s">
        <v>127</v>
      </c>
      <c r="X32">
        <v>24660</v>
      </c>
      <c r="Y32">
        <v>445877.46</v>
      </c>
      <c r="Z32">
        <v>15535800</v>
      </c>
      <c r="AA32">
        <v>246600</v>
      </c>
      <c r="AB32">
        <v>105</v>
      </c>
      <c r="AC32" s="34">
        <v>45854</v>
      </c>
      <c r="AD32" s="34">
        <v>46022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 t="s">
        <v>122</v>
      </c>
      <c r="AT32">
        <v>9321480</v>
      </c>
      <c r="AU32">
        <v>267526.48</v>
      </c>
      <c r="AV32">
        <v>9321480</v>
      </c>
      <c r="AW32">
        <v>267526.48</v>
      </c>
    </row>
    <row r="33" spans="1:49" hidden="1" x14ac:dyDescent="0.35">
      <c r="A33">
        <v>5790610</v>
      </c>
      <c r="B33">
        <v>1150005790601</v>
      </c>
      <c r="D33">
        <v>23162285904</v>
      </c>
      <c r="E33" t="s">
        <v>188</v>
      </c>
      <c r="F33" t="s">
        <v>1</v>
      </c>
      <c r="G33" t="s">
        <v>189</v>
      </c>
      <c r="H33" t="s">
        <v>50</v>
      </c>
      <c r="I33">
        <v>2426</v>
      </c>
      <c r="J33">
        <v>3</v>
      </c>
      <c r="K33" t="s">
        <v>32</v>
      </c>
      <c r="L33">
        <v>9262</v>
      </c>
      <c r="M33" t="s">
        <v>183</v>
      </c>
      <c r="N33">
        <v>4</v>
      </c>
      <c r="O33" t="s">
        <v>125</v>
      </c>
      <c r="P33" t="s">
        <v>193</v>
      </c>
      <c r="Q33">
        <v>283096.8</v>
      </c>
      <c r="R33">
        <v>9864000</v>
      </c>
      <c r="S33">
        <v>40</v>
      </c>
      <c r="T33">
        <v>246600</v>
      </c>
      <c r="U33">
        <v>1</v>
      </c>
      <c r="V33">
        <v>1</v>
      </c>
      <c r="W33" t="s">
        <v>127</v>
      </c>
      <c r="X33">
        <v>24660</v>
      </c>
      <c r="Y33">
        <v>283096.8</v>
      </c>
      <c r="Z33">
        <v>9864000</v>
      </c>
      <c r="AA33">
        <v>246600</v>
      </c>
      <c r="AB33">
        <v>105</v>
      </c>
      <c r="AC33" s="34">
        <v>45854</v>
      </c>
      <c r="AD33" s="34">
        <v>46022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 t="s">
        <v>122</v>
      </c>
      <c r="AT33">
        <v>5918400</v>
      </c>
      <c r="AU33">
        <v>169858.08</v>
      </c>
      <c r="AV33">
        <v>5918400</v>
      </c>
      <c r="AW33">
        <v>169858.08</v>
      </c>
    </row>
    <row r="34" spans="1:49" hidden="1" x14ac:dyDescent="0.35">
      <c r="A34">
        <v>5790710</v>
      </c>
      <c r="B34">
        <v>1150005790701</v>
      </c>
      <c r="D34">
        <v>20209019478</v>
      </c>
      <c r="E34" t="s">
        <v>194</v>
      </c>
      <c r="F34" t="s">
        <v>1</v>
      </c>
      <c r="G34" t="s">
        <v>182</v>
      </c>
      <c r="H34" t="s">
        <v>50</v>
      </c>
      <c r="I34">
        <v>2426</v>
      </c>
      <c r="J34">
        <v>3</v>
      </c>
      <c r="K34" t="s">
        <v>32</v>
      </c>
      <c r="L34">
        <v>9262</v>
      </c>
      <c r="M34" t="s">
        <v>183</v>
      </c>
      <c r="N34">
        <v>1</v>
      </c>
      <c r="O34" t="s">
        <v>125</v>
      </c>
      <c r="P34" t="s">
        <v>195</v>
      </c>
      <c r="Q34">
        <v>690048.45</v>
      </c>
      <c r="R34">
        <v>24043500</v>
      </c>
      <c r="S34">
        <v>65</v>
      </c>
      <c r="T34">
        <v>369900</v>
      </c>
      <c r="U34">
        <v>1</v>
      </c>
      <c r="V34">
        <v>1</v>
      </c>
      <c r="W34" t="s">
        <v>127</v>
      </c>
      <c r="X34">
        <v>24660</v>
      </c>
      <c r="Y34">
        <v>690048.45</v>
      </c>
      <c r="Z34">
        <v>24043500</v>
      </c>
      <c r="AA34">
        <v>369900</v>
      </c>
      <c r="AB34">
        <v>105</v>
      </c>
      <c r="AC34" s="34">
        <v>45880</v>
      </c>
      <c r="AD34" s="34">
        <v>46022</v>
      </c>
      <c r="AF34">
        <v>0</v>
      </c>
      <c r="AG34">
        <v>1008532.35</v>
      </c>
      <c r="AH34">
        <v>0</v>
      </c>
      <c r="AI34">
        <v>1008532.35</v>
      </c>
      <c r="AJ34">
        <v>0</v>
      </c>
      <c r="AK34">
        <v>0</v>
      </c>
      <c r="AL34">
        <v>263226.94</v>
      </c>
      <c r="AM34">
        <v>0</v>
      </c>
      <c r="AN34">
        <v>1271759.29</v>
      </c>
      <c r="AO34" t="s">
        <v>122</v>
      </c>
      <c r="AP34">
        <v>15</v>
      </c>
      <c r="AQ34">
        <v>151279.85999999999</v>
      </c>
      <c r="AR34">
        <v>151279.85999999999</v>
      </c>
      <c r="AT34">
        <v>14426100</v>
      </c>
      <c r="AU34">
        <v>414029.07</v>
      </c>
      <c r="AV34">
        <v>14426100</v>
      </c>
      <c r="AW34">
        <v>414029.07</v>
      </c>
    </row>
    <row r="35" spans="1:49" hidden="1" x14ac:dyDescent="0.35">
      <c r="A35">
        <v>5790710</v>
      </c>
      <c r="B35">
        <v>1150005790701</v>
      </c>
      <c r="D35">
        <v>20209019478</v>
      </c>
      <c r="E35" t="s">
        <v>194</v>
      </c>
      <c r="F35" t="s">
        <v>1</v>
      </c>
      <c r="G35" t="s">
        <v>182</v>
      </c>
      <c r="H35" t="s">
        <v>50</v>
      </c>
      <c r="I35">
        <v>2426</v>
      </c>
      <c r="J35">
        <v>3</v>
      </c>
      <c r="K35" t="s">
        <v>32</v>
      </c>
      <c r="L35">
        <v>9262</v>
      </c>
      <c r="M35" t="s">
        <v>183</v>
      </c>
      <c r="N35">
        <v>2</v>
      </c>
      <c r="O35" t="s">
        <v>125</v>
      </c>
      <c r="P35" t="s">
        <v>196</v>
      </c>
      <c r="Q35">
        <v>318483.90000000002</v>
      </c>
      <c r="R35">
        <v>11097000</v>
      </c>
      <c r="S35">
        <v>30</v>
      </c>
      <c r="T35">
        <v>369900</v>
      </c>
      <c r="U35">
        <v>1</v>
      </c>
      <c r="V35">
        <v>1</v>
      </c>
      <c r="W35" t="s">
        <v>127</v>
      </c>
      <c r="X35">
        <v>24660</v>
      </c>
      <c r="Y35">
        <v>318483.90000000002</v>
      </c>
      <c r="Z35">
        <v>11097000</v>
      </c>
      <c r="AA35">
        <v>369900</v>
      </c>
      <c r="AB35">
        <v>105</v>
      </c>
      <c r="AC35" s="34">
        <v>45880</v>
      </c>
      <c r="AD35" s="34">
        <v>46022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 t="s">
        <v>122</v>
      </c>
      <c r="AT35">
        <v>6658200</v>
      </c>
      <c r="AU35">
        <v>191090.34</v>
      </c>
      <c r="AV35">
        <v>6658200</v>
      </c>
      <c r="AW35">
        <v>191090.34</v>
      </c>
    </row>
    <row r="36" spans="1:49" hidden="1" x14ac:dyDescent="0.35">
      <c r="A36">
        <v>5790810</v>
      </c>
      <c r="B36">
        <v>1170005790801</v>
      </c>
      <c r="D36">
        <v>30709131482</v>
      </c>
      <c r="E36" t="s">
        <v>197</v>
      </c>
      <c r="F36" t="s">
        <v>1</v>
      </c>
      <c r="G36" t="s">
        <v>198</v>
      </c>
      <c r="H36" t="s">
        <v>28</v>
      </c>
      <c r="I36">
        <v>2914</v>
      </c>
      <c r="J36">
        <v>1</v>
      </c>
      <c r="K36" t="s">
        <v>16</v>
      </c>
      <c r="L36">
        <v>8105</v>
      </c>
      <c r="M36" t="s">
        <v>199</v>
      </c>
      <c r="N36">
        <v>1</v>
      </c>
      <c r="O36" t="s">
        <v>125</v>
      </c>
      <c r="P36" t="s">
        <v>200</v>
      </c>
      <c r="Q36">
        <v>325.45</v>
      </c>
      <c r="R36">
        <v>11500</v>
      </c>
      <c r="S36">
        <v>23</v>
      </c>
      <c r="T36">
        <v>500</v>
      </c>
      <c r="U36">
        <v>26</v>
      </c>
      <c r="V36">
        <v>1292.5</v>
      </c>
      <c r="W36" t="s">
        <v>121</v>
      </c>
      <c r="X36" t="s">
        <v>1</v>
      </c>
      <c r="Y36">
        <v>420644.13</v>
      </c>
      <c r="Z36">
        <v>14863750</v>
      </c>
      <c r="AA36">
        <v>646250</v>
      </c>
      <c r="AB36">
        <v>106</v>
      </c>
      <c r="AC36" s="34">
        <v>45892</v>
      </c>
      <c r="AD36" s="34">
        <v>46022</v>
      </c>
      <c r="AE36" t="s">
        <v>161</v>
      </c>
      <c r="AF36">
        <v>0</v>
      </c>
      <c r="AG36">
        <v>636.75</v>
      </c>
      <c r="AH36">
        <v>0</v>
      </c>
      <c r="AI36">
        <v>822999.38</v>
      </c>
      <c r="AJ36">
        <v>0</v>
      </c>
      <c r="AK36">
        <v>0</v>
      </c>
      <c r="AL36">
        <v>206567.35</v>
      </c>
      <c r="AM36">
        <v>0</v>
      </c>
      <c r="AN36">
        <v>1029566.73</v>
      </c>
      <c r="AO36" t="s">
        <v>122</v>
      </c>
      <c r="AP36">
        <v>10.000999999999999</v>
      </c>
      <c r="AQ36">
        <v>63.68</v>
      </c>
      <c r="AR36">
        <v>82306.399999999994</v>
      </c>
      <c r="AT36">
        <v>6900</v>
      </c>
      <c r="AU36">
        <v>195.27</v>
      </c>
      <c r="AV36">
        <v>8918250</v>
      </c>
      <c r="AW36">
        <v>252386.48</v>
      </c>
    </row>
    <row r="37" spans="1:49" hidden="1" x14ac:dyDescent="0.35">
      <c r="A37">
        <v>5790810</v>
      </c>
      <c r="B37">
        <v>1170005790801</v>
      </c>
      <c r="D37">
        <v>30709131482</v>
      </c>
      <c r="E37" t="s">
        <v>197</v>
      </c>
      <c r="F37" t="s">
        <v>1</v>
      </c>
      <c r="G37" t="s">
        <v>198</v>
      </c>
      <c r="H37" t="s">
        <v>28</v>
      </c>
      <c r="I37">
        <v>2914</v>
      </c>
      <c r="J37">
        <v>1</v>
      </c>
      <c r="K37" t="s">
        <v>16</v>
      </c>
      <c r="L37">
        <v>8105</v>
      </c>
      <c r="M37" t="s">
        <v>199</v>
      </c>
      <c r="N37">
        <v>2</v>
      </c>
      <c r="O37" t="s">
        <v>125</v>
      </c>
      <c r="P37" t="s">
        <v>201</v>
      </c>
      <c r="Q37">
        <v>311.3</v>
      </c>
      <c r="R37">
        <v>11000</v>
      </c>
      <c r="S37">
        <v>22</v>
      </c>
      <c r="T37">
        <v>500</v>
      </c>
      <c r="U37">
        <v>26</v>
      </c>
      <c r="V37">
        <v>1292.5</v>
      </c>
      <c r="W37" t="s">
        <v>121</v>
      </c>
      <c r="X37" t="s">
        <v>1</v>
      </c>
      <c r="Y37">
        <v>402355.25</v>
      </c>
      <c r="Z37">
        <v>14217500</v>
      </c>
      <c r="AA37">
        <v>646250</v>
      </c>
      <c r="AB37">
        <v>106</v>
      </c>
      <c r="AC37" s="34">
        <v>45892</v>
      </c>
      <c r="AD37" s="34">
        <v>46022</v>
      </c>
      <c r="AE37" t="s">
        <v>161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 t="s">
        <v>122</v>
      </c>
      <c r="AT37">
        <v>6600</v>
      </c>
      <c r="AU37">
        <v>186.78</v>
      </c>
      <c r="AV37">
        <v>8530500</v>
      </c>
      <c r="AW37">
        <v>241413.15</v>
      </c>
    </row>
    <row r="38" spans="1:49" hidden="1" x14ac:dyDescent="0.35">
      <c r="A38">
        <v>5790910</v>
      </c>
      <c r="B38">
        <v>1170005790901</v>
      </c>
      <c r="D38">
        <v>20267613304</v>
      </c>
      <c r="E38" t="s">
        <v>202</v>
      </c>
      <c r="F38" t="s">
        <v>1</v>
      </c>
      <c r="G38" t="s">
        <v>198</v>
      </c>
      <c r="H38" t="s">
        <v>28</v>
      </c>
      <c r="I38">
        <v>2914</v>
      </c>
      <c r="J38">
        <v>1</v>
      </c>
      <c r="K38" t="s">
        <v>16</v>
      </c>
      <c r="L38">
        <v>8105</v>
      </c>
      <c r="M38" t="s">
        <v>199</v>
      </c>
      <c r="N38">
        <v>1</v>
      </c>
      <c r="O38" t="s">
        <v>125</v>
      </c>
      <c r="P38" t="s">
        <v>203</v>
      </c>
      <c r="Q38">
        <v>212.25</v>
      </c>
      <c r="R38">
        <v>7500</v>
      </c>
      <c r="S38">
        <v>30</v>
      </c>
      <c r="T38">
        <v>250</v>
      </c>
      <c r="U38">
        <v>26</v>
      </c>
      <c r="V38">
        <v>1301</v>
      </c>
      <c r="W38" t="s">
        <v>121</v>
      </c>
      <c r="X38" t="s">
        <v>1</v>
      </c>
      <c r="Y38">
        <v>276137.25</v>
      </c>
      <c r="Z38">
        <v>9757500</v>
      </c>
      <c r="AA38">
        <v>325250</v>
      </c>
      <c r="AB38">
        <v>106</v>
      </c>
      <c r="AC38" s="34">
        <v>45892</v>
      </c>
      <c r="AD38" s="34">
        <v>46022</v>
      </c>
      <c r="AE38" t="s">
        <v>161</v>
      </c>
      <c r="AF38">
        <v>0</v>
      </c>
      <c r="AG38">
        <v>212.25</v>
      </c>
      <c r="AH38">
        <v>0</v>
      </c>
      <c r="AI38">
        <v>276137.25</v>
      </c>
      <c r="AJ38">
        <v>0</v>
      </c>
      <c r="AK38">
        <v>0</v>
      </c>
      <c r="AL38">
        <v>69577.48</v>
      </c>
      <c r="AM38">
        <v>0</v>
      </c>
      <c r="AN38">
        <v>345714.73</v>
      </c>
      <c r="AO38" t="s">
        <v>122</v>
      </c>
      <c r="AP38">
        <v>10.002000000000001</v>
      </c>
      <c r="AQ38">
        <v>21.23</v>
      </c>
      <c r="AR38">
        <v>27620.23</v>
      </c>
      <c r="AT38">
        <v>4500</v>
      </c>
      <c r="AU38">
        <v>127.35</v>
      </c>
      <c r="AV38">
        <v>5854500</v>
      </c>
      <c r="AW38">
        <v>165682.35</v>
      </c>
    </row>
    <row r="39" spans="1:49" hidden="1" x14ac:dyDescent="0.35">
      <c r="A39">
        <v>5791010</v>
      </c>
      <c r="B39">
        <v>1170005791001</v>
      </c>
      <c r="D39">
        <v>20278263801</v>
      </c>
      <c r="E39" t="s">
        <v>204</v>
      </c>
      <c r="F39" t="s">
        <v>1</v>
      </c>
      <c r="G39" t="s">
        <v>28</v>
      </c>
      <c r="H39" t="s">
        <v>28</v>
      </c>
      <c r="I39">
        <v>2915</v>
      </c>
      <c r="J39">
        <v>1</v>
      </c>
      <c r="K39" t="s">
        <v>16</v>
      </c>
      <c r="L39">
        <v>8105</v>
      </c>
      <c r="M39" t="s">
        <v>199</v>
      </c>
      <c r="N39">
        <v>1</v>
      </c>
      <c r="O39" t="s">
        <v>125</v>
      </c>
      <c r="P39" t="s">
        <v>205</v>
      </c>
      <c r="Q39">
        <v>268.85000000000002</v>
      </c>
      <c r="R39">
        <v>9500</v>
      </c>
      <c r="S39">
        <v>19</v>
      </c>
      <c r="T39">
        <v>500</v>
      </c>
      <c r="U39">
        <v>26</v>
      </c>
      <c r="V39">
        <v>1301</v>
      </c>
      <c r="W39" t="s">
        <v>121</v>
      </c>
      <c r="X39" t="s">
        <v>1</v>
      </c>
      <c r="Y39">
        <v>349773.85</v>
      </c>
      <c r="Z39">
        <v>12359500</v>
      </c>
      <c r="AA39">
        <v>650500</v>
      </c>
      <c r="AB39">
        <v>106</v>
      </c>
      <c r="AC39" s="34">
        <v>45892</v>
      </c>
      <c r="AD39" s="34">
        <v>46022</v>
      </c>
      <c r="AE39" t="s">
        <v>161</v>
      </c>
      <c r="AF39">
        <v>0</v>
      </c>
      <c r="AG39">
        <v>268.85000000000002</v>
      </c>
      <c r="AH39">
        <v>0</v>
      </c>
      <c r="AI39">
        <v>349773.85</v>
      </c>
      <c r="AJ39">
        <v>0</v>
      </c>
      <c r="AK39">
        <v>0</v>
      </c>
      <c r="AL39">
        <v>87791.48</v>
      </c>
      <c r="AM39">
        <v>0</v>
      </c>
      <c r="AN39">
        <v>437565.33</v>
      </c>
      <c r="AO39" t="s">
        <v>122</v>
      </c>
      <c r="AP39">
        <v>10.002000000000001</v>
      </c>
      <c r="AQ39">
        <v>26.89</v>
      </c>
      <c r="AR39">
        <v>34983.89</v>
      </c>
      <c r="AT39">
        <v>5700</v>
      </c>
      <c r="AU39">
        <v>161.31</v>
      </c>
      <c r="AV39">
        <v>7415700</v>
      </c>
      <c r="AW39">
        <v>209864.31</v>
      </c>
    </row>
    <row r="40" spans="1:49" hidden="1" x14ac:dyDescent="0.35">
      <c r="A40">
        <v>5791110</v>
      </c>
      <c r="B40">
        <v>1170005791101</v>
      </c>
      <c r="D40">
        <v>27215660228</v>
      </c>
      <c r="E40" t="s">
        <v>206</v>
      </c>
      <c r="F40" t="s">
        <v>1</v>
      </c>
      <c r="G40" t="s">
        <v>198</v>
      </c>
      <c r="H40" t="s">
        <v>28</v>
      </c>
      <c r="I40">
        <v>2914</v>
      </c>
      <c r="J40">
        <v>1</v>
      </c>
      <c r="K40" t="s">
        <v>16</v>
      </c>
      <c r="L40">
        <v>8105</v>
      </c>
      <c r="M40" t="s">
        <v>199</v>
      </c>
      <c r="N40">
        <v>1</v>
      </c>
      <c r="O40" t="s">
        <v>125</v>
      </c>
      <c r="P40" t="s">
        <v>207</v>
      </c>
      <c r="Q40">
        <v>311.3</v>
      </c>
      <c r="R40">
        <v>11000</v>
      </c>
      <c r="S40">
        <v>22</v>
      </c>
      <c r="T40">
        <v>500</v>
      </c>
      <c r="U40">
        <v>26</v>
      </c>
      <c r="V40">
        <v>1301</v>
      </c>
      <c r="W40" t="s">
        <v>121</v>
      </c>
      <c r="X40" t="s">
        <v>1</v>
      </c>
      <c r="Y40">
        <v>405001.3</v>
      </c>
      <c r="Z40">
        <v>14311000</v>
      </c>
      <c r="AA40">
        <v>650500</v>
      </c>
      <c r="AB40">
        <v>106</v>
      </c>
      <c r="AC40" s="34">
        <v>45892</v>
      </c>
      <c r="AD40" s="34">
        <v>46022</v>
      </c>
      <c r="AE40" t="s">
        <v>161</v>
      </c>
      <c r="AF40">
        <v>1</v>
      </c>
      <c r="AG40">
        <v>311.3</v>
      </c>
      <c r="AH40">
        <v>0</v>
      </c>
      <c r="AI40">
        <v>405001.3</v>
      </c>
      <c r="AJ40">
        <v>0</v>
      </c>
      <c r="AK40">
        <v>0</v>
      </c>
      <c r="AL40">
        <v>101660.14</v>
      </c>
      <c r="AM40">
        <v>0</v>
      </c>
      <c r="AN40">
        <v>506661.44</v>
      </c>
      <c r="AO40" t="s">
        <v>122</v>
      </c>
      <c r="AP40">
        <v>10</v>
      </c>
      <c r="AQ40">
        <v>31.13</v>
      </c>
      <c r="AR40">
        <v>40500.129999999997</v>
      </c>
      <c r="AT40">
        <v>6600</v>
      </c>
      <c r="AU40">
        <v>186.78</v>
      </c>
      <c r="AV40">
        <v>8586600</v>
      </c>
      <c r="AW40">
        <v>243000.78</v>
      </c>
    </row>
    <row r="41" spans="1:49" hidden="1" x14ac:dyDescent="0.35">
      <c r="A41">
        <v>5791210</v>
      </c>
      <c r="B41">
        <v>1170005791201</v>
      </c>
      <c r="D41">
        <v>20271877634</v>
      </c>
      <c r="E41" t="s">
        <v>208</v>
      </c>
      <c r="F41" t="s">
        <v>1</v>
      </c>
      <c r="G41" t="s">
        <v>198</v>
      </c>
      <c r="H41" t="s">
        <v>28</v>
      </c>
      <c r="I41">
        <v>2914</v>
      </c>
      <c r="J41">
        <v>1</v>
      </c>
      <c r="K41" t="s">
        <v>16</v>
      </c>
      <c r="L41">
        <v>8105</v>
      </c>
      <c r="M41" t="s">
        <v>199</v>
      </c>
      <c r="N41">
        <v>1</v>
      </c>
      <c r="O41" t="s">
        <v>125</v>
      </c>
      <c r="P41" t="s">
        <v>209</v>
      </c>
      <c r="Q41">
        <v>495.25</v>
      </c>
      <c r="R41">
        <v>17500</v>
      </c>
      <c r="S41">
        <v>35</v>
      </c>
      <c r="T41">
        <v>500</v>
      </c>
      <c r="U41">
        <v>26</v>
      </c>
      <c r="V41">
        <v>1301</v>
      </c>
      <c r="W41" t="s">
        <v>121</v>
      </c>
      <c r="X41" t="s">
        <v>1</v>
      </c>
      <c r="Y41">
        <v>644320.25</v>
      </c>
      <c r="Z41">
        <v>22767500</v>
      </c>
      <c r="AA41">
        <v>650500</v>
      </c>
      <c r="AB41">
        <v>106</v>
      </c>
      <c r="AC41" s="34">
        <v>45892</v>
      </c>
      <c r="AD41" s="34">
        <v>46022</v>
      </c>
      <c r="AE41" t="s">
        <v>161</v>
      </c>
      <c r="AF41">
        <v>0</v>
      </c>
      <c r="AG41">
        <v>849</v>
      </c>
      <c r="AH41">
        <v>0</v>
      </c>
      <c r="AI41">
        <v>1104549</v>
      </c>
      <c r="AJ41">
        <v>0</v>
      </c>
      <c r="AK41">
        <v>0</v>
      </c>
      <c r="AL41">
        <v>277243.09999999998</v>
      </c>
      <c r="AM41">
        <v>0</v>
      </c>
      <c r="AN41">
        <v>1381792.1</v>
      </c>
      <c r="AO41" t="s">
        <v>122</v>
      </c>
      <c r="AP41">
        <v>10</v>
      </c>
      <c r="AQ41">
        <v>84.9</v>
      </c>
      <c r="AR41">
        <v>110454.9</v>
      </c>
      <c r="AT41">
        <v>10500</v>
      </c>
      <c r="AU41">
        <v>297.14999999999998</v>
      </c>
      <c r="AV41">
        <v>13660500</v>
      </c>
      <c r="AW41">
        <v>386592.15</v>
      </c>
    </row>
    <row r="42" spans="1:49" hidden="1" x14ac:dyDescent="0.35">
      <c r="A42">
        <v>5791210</v>
      </c>
      <c r="B42">
        <v>1170005791201</v>
      </c>
      <c r="D42">
        <v>20271877634</v>
      </c>
      <c r="E42" t="s">
        <v>208</v>
      </c>
      <c r="F42" t="s">
        <v>1</v>
      </c>
      <c r="G42" t="s">
        <v>198</v>
      </c>
      <c r="H42" t="s">
        <v>28</v>
      </c>
      <c r="I42">
        <v>2914</v>
      </c>
      <c r="J42">
        <v>1</v>
      </c>
      <c r="K42" t="s">
        <v>16</v>
      </c>
      <c r="L42">
        <v>8105</v>
      </c>
      <c r="M42" t="s">
        <v>199</v>
      </c>
      <c r="N42">
        <v>2</v>
      </c>
      <c r="O42" t="s">
        <v>125</v>
      </c>
      <c r="P42" t="s">
        <v>210</v>
      </c>
      <c r="Q42">
        <v>353.75</v>
      </c>
      <c r="R42">
        <v>12500</v>
      </c>
      <c r="S42">
        <v>25</v>
      </c>
      <c r="T42">
        <v>500</v>
      </c>
      <c r="U42">
        <v>26</v>
      </c>
      <c r="V42">
        <v>1301</v>
      </c>
      <c r="W42" t="s">
        <v>121</v>
      </c>
      <c r="X42" t="s">
        <v>1</v>
      </c>
      <c r="Y42">
        <v>460228.75</v>
      </c>
      <c r="Z42">
        <v>16262500</v>
      </c>
      <c r="AA42">
        <v>650500</v>
      </c>
      <c r="AB42">
        <v>106</v>
      </c>
      <c r="AC42" s="34">
        <v>45892</v>
      </c>
      <c r="AD42" s="34">
        <v>46022</v>
      </c>
      <c r="AE42" t="s">
        <v>161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 t="s">
        <v>122</v>
      </c>
      <c r="AT42">
        <v>7500</v>
      </c>
      <c r="AU42">
        <v>212.25</v>
      </c>
      <c r="AV42">
        <v>9757500</v>
      </c>
      <c r="AW42">
        <v>276137.25</v>
      </c>
    </row>
    <row r="43" spans="1:49" hidden="1" x14ac:dyDescent="0.35">
      <c r="A43">
        <v>5791310</v>
      </c>
      <c r="B43">
        <v>1170005791301</v>
      </c>
      <c r="D43">
        <v>20111509728</v>
      </c>
      <c r="E43" t="s">
        <v>211</v>
      </c>
      <c r="F43" t="s">
        <v>1</v>
      </c>
      <c r="G43" t="s">
        <v>212</v>
      </c>
      <c r="H43" t="s">
        <v>59</v>
      </c>
      <c r="I43">
        <v>2637</v>
      </c>
      <c r="J43">
        <v>12</v>
      </c>
      <c r="K43" t="s">
        <v>34</v>
      </c>
      <c r="L43">
        <v>14218</v>
      </c>
      <c r="M43" t="s">
        <v>213</v>
      </c>
      <c r="N43">
        <v>1</v>
      </c>
      <c r="O43" t="s">
        <v>125</v>
      </c>
      <c r="P43" t="s">
        <v>214</v>
      </c>
      <c r="Q43">
        <v>336609</v>
      </c>
      <c r="R43">
        <v>7398000</v>
      </c>
      <c r="S43">
        <v>10</v>
      </c>
      <c r="T43">
        <v>739800</v>
      </c>
      <c r="U43">
        <v>1</v>
      </c>
      <c r="V43">
        <v>1</v>
      </c>
      <c r="W43" t="s">
        <v>127</v>
      </c>
      <c r="X43">
        <v>24660</v>
      </c>
      <c r="Y43">
        <v>336609</v>
      </c>
      <c r="Z43">
        <v>7398000</v>
      </c>
      <c r="AA43">
        <v>739800</v>
      </c>
      <c r="AB43">
        <v>214</v>
      </c>
      <c r="AC43" s="34">
        <v>45881</v>
      </c>
      <c r="AD43" s="34">
        <v>46022</v>
      </c>
      <c r="AE43" t="s">
        <v>134</v>
      </c>
      <c r="AF43">
        <v>0</v>
      </c>
      <c r="AG43">
        <v>1380096.9</v>
      </c>
      <c r="AH43">
        <v>0</v>
      </c>
      <c r="AI43">
        <v>1380096.9</v>
      </c>
      <c r="AJ43">
        <v>0</v>
      </c>
      <c r="AK43">
        <v>0</v>
      </c>
      <c r="AL43">
        <v>353304.82</v>
      </c>
      <c r="AM43">
        <v>0</v>
      </c>
      <c r="AN43">
        <v>1733401.72</v>
      </c>
      <c r="AO43" t="s">
        <v>122</v>
      </c>
      <c r="AP43">
        <v>15</v>
      </c>
      <c r="AQ43">
        <v>207014.54</v>
      </c>
      <c r="AR43">
        <v>207014.54</v>
      </c>
      <c r="AT43">
        <v>4438800</v>
      </c>
      <c r="AU43">
        <v>201965.4</v>
      </c>
      <c r="AV43">
        <v>4438800</v>
      </c>
      <c r="AW43">
        <v>201965.4</v>
      </c>
    </row>
    <row r="44" spans="1:49" hidden="1" x14ac:dyDescent="0.35">
      <c r="A44">
        <v>5791310</v>
      </c>
      <c r="B44">
        <v>1170005791301</v>
      </c>
      <c r="D44">
        <v>20111509728</v>
      </c>
      <c r="E44" t="s">
        <v>211</v>
      </c>
      <c r="F44" t="s">
        <v>1</v>
      </c>
      <c r="G44" t="s">
        <v>212</v>
      </c>
      <c r="H44" t="s">
        <v>59</v>
      </c>
      <c r="I44">
        <v>2637</v>
      </c>
      <c r="J44">
        <v>12</v>
      </c>
      <c r="K44" t="s">
        <v>34</v>
      </c>
      <c r="L44">
        <v>14218</v>
      </c>
      <c r="M44" t="s">
        <v>213</v>
      </c>
      <c r="N44">
        <v>2</v>
      </c>
      <c r="O44" t="s">
        <v>125</v>
      </c>
      <c r="P44" t="s">
        <v>215</v>
      </c>
      <c r="Q44">
        <v>1043487.9</v>
      </c>
      <c r="R44">
        <v>22933800</v>
      </c>
      <c r="S44">
        <v>31</v>
      </c>
      <c r="T44">
        <v>739800</v>
      </c>
      <c r="U44">
        <v>1</v>
      </c>
      <c r="V44">
        <v>1</v>
      </c>
      <c r="W44" t="s">
        <v>127</v>
      </c>
      <c r="X44">
        <v>24660</v>
      </c>
      <c r="Y44">
        <v>1043487.9</v>
      </c>
      <c r="Z44">
        <v>22933800</v>
      </c>
      <c r="AA44">
        <v>739800</v>
      </c>
      <c r="AB44">
        <v>214</v>
      </c>
      <c r="AC44" s="34">
        <v>45881</v>
      </c>
      <c r="AD44" s="34">
        <v>46022</v>
      </c>
      <c r="AE44" t="s">
        <v>134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 t="s">
        <v>122</v>
      </c>
      <c r="AT44">
        <v>13760280</v>
      </c>
      <c r="AU44">
        <v>626092.74</v>
      </c>
      <c r="AV44">
        <v>13760280</v>
      </c>
      <c r="AW44">
        <v>626092.74</v>
      </c>
    </row>
    <row r="45" spans="1:49" hidden="1" x14ac:dyDescent="0.35">
      <c r="A45">
        <v>5791410</v>
      </c>
      <c r="B45">
        <v>1150005791401</v>
      </c>
      <c r="D45">
        <v>20184082072</v>
      </c>
      <c r="E45" t="s">
        <v>216</v>
      </c>
      <c r="F45" t="s">
        <v>1</v>
      </c>
      <c r="G45" t="s">
        <v>189</v>
      </c>
      <c r="H45" t="s">
        <v>50</v>
      </c>
      <c r="I45">
        <v>2426</v>
      </c>
      <c r="J45">
        <v>3</v>
      </c>
      <c r="K45" t="s">
        <v>32</v>
      </c>
      <c r="L45">
        <v>9262</v>
      </c>
      <c r="M45" t="s">
        <v>183</v>
      </c>
      <c r="N45">
        <v>1</v>
      </c>
      <c r="O45" t="s">
        <v>125</v>
      </c>
      <c r="P45" t="s">
        <v>191</v>
      </c>
      <c r="Q45">
        <v>452954.88</v>
      </c>
      <c r="R45">
        <v>15782400</v>
      </c>
      <c r="S45">
        <v>64</v>
      </c>
      <c r="T45">
        <v>246600</v>
      </c>
      <c r="U45">
        <v>1</v>
      </c>
      <c r="V45">
        <v>1</v>
      </c>
      <c r="W45" t="s">
        <v>127</v>
      </c>
      <c r="X45">
        <v>24660</v>
      </c>
      <c r="Y45">
        <v>452954.88</v>
      </c>
      <c r="Z45">
        <v>15782400</v>
      </c>
      <c r="AA45">
        <v>246600</v>
      </c>
      <c r="AB45">
        <v>105</v>
      </c>
      <c r="AC45" s="34">
        <v>45854</v>
      </c>
      <c r="AD45" s="34">
        <v>46022</v>
      </c>
      <c r="AF45">
        <v>0</v>
      </c>
      <c r="AG45">
        <v>1181929.1399999999</v>
      </c>
      <c r="AH45">
        <v>0</v>
      </c>
      <c r="AI45">
        <v>1181929.1399999999</v>
      </c>
      <c r="AJ45">
        <v>0</v>
      </c>
      <c r="AK45">
        <v>0</v>
      </c>
      <c r="AL45">
        <v>308483.49</v>
      </c>
      <c r="AM45">
        <v>0</v>
      </c>
      <c r="AN45">
        <v>1490412.63</v>
      </c>
      <c r="AO45" t="s">
        <v>122</v>
      </c>
      <c r="AP45">
        <v>15</v>
      </c>
      <c r="AQ45">
        <v>177289.38</v>
      </c>
      <c r="AR45">
        <v>177289.38</v>
      </c>
      <c r="AT45">
        <v>9469440</v>
      </c>
      <c r="AU45">
        <v>271772.93</v>
      </c>
      <c r="AV45">
        <v>9469440</v>
      </c>
      <c r="AW45">
        <v>271772.93</v>
      </c>
    </row>
    <row r="46" spans="1:49" hidden="1" x14ac:dyDescent="0.35">
      <c r="A46">
        <v>5791410</v>
      </c>
      <c r="B46">
        <v>1150005791401</v>
      </c>
      <c r="D46">
        <v>20184082072</v>
      </c>
      <c r="E46" t="s">
        <v>216</v>
      </c>
      <c r="F46" t="s">
        <v>1</v>
      </c>
      <c r="G46" t="s">
        <v>189</v>
      </c>
      <c r="H46" t="s">
        <v>50</v>
      </c>
      <c r="I46">
        <v>2426</v>
      </c>
      <c r="J46">
        <v>3</v>
      </c>
      <c r="K46" t="s">
        <v>32</v>
      </c>
      <c r="L46">
        <v>9262</v>
      </c>
      <c r="M46" t="s">
        <v>183</v>
      </c>
      <c r="N46">
        <v>2</v>
      </c>
      <c r="O46" t="s">
        <v>125</v>
      </c>
      <c r="P46" t="s">
        <v>217</v>
      </c>
      <c r="Q46">
        <v>445877.46</v>
      </c>
      <c r="R46">
        <v>15535800</v>
      </c>
      <c r="S46">
        <v>63</v>
      </c>
      <c r="T46">
        <v>246600</v>
      </c>
      <c r="U46">
        <v>1</v>
      </c>
      <c r="V46">
        <v>1</v>
      </c>
      <c r="W46" t="s">
        <v>127</v>
      </c>
      <c r="X46">
        <v>24660</v>
      </c>
      <c r="Y46">
        <v>445877.46</v>
      </c>
      <c r="Z46">
        <v>15535800</v>
      </c>
      <c r="AA46">
        <v>246600</v>
      </c>
      <c r="AB46">
        <v>105</v>
      </c>
      <c r="AC46" s="34">
        <v>45854</v>
      </c>
      <c r="AD46" s="34">
        <v>46022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 t="s">
        <v>122</v>
      </c>
      <c r="AT46">
        <v>9321480</v>
      </c>
      <c r="AU46">
        <v>267526.48</v>
      </c>
      <c r="AV46">
        <v>9321480</v>
      </c>
      <c r="AW46">
        <v>267526.48</v>
      </c>
    </row>
    <row r="47" spans="1:49" hidden="1" x14ac:dyDescent="0.35">
      <c r="A47">
        <v>5791410</v>
      </c>
      <c r="B47">
        <v>1150005791401</v>
      </c>
      <c r="D47">
        <v>20184082072</v>
      </c>
      <c r="E47" t="s">
        <v>216</v>
      </c>
      <c r="F47" t="s">
        <v>1</v>
      </c>
      <c r="G47" t="s">
        <v>189</v>
      </c>
      <c r="H47" t="s">
        <v>50</v>
      </c>
      <c r="I47">
        <v>2426</v>
      </c>
      <c r="J47">
        <v>3</v>
      </c>
      <c r="K47" t="s">
        <v>32</v>
      </c>
      <c r="L47">
        <v>9262</v>
      </c>
      <c r="M47" t="s">
        <v>183</v>
      </c>
      <c r="N47">
        <v>3</v>
      </c>
      <c r="O47" t="s">
        <v>125</v>
      </c>
      <c r="P47" t="s">
        <v>193</v>
      </c>
      <c r="Q47">
        <v>283096.8</v>
      </c>
      <c r="R47">
        <v>9864000</v>
      </c>
      <c r="S47">
        <v>40</v>
      </c>
      <c r="T47">
        <v>246600</v>
      </c>
      <c r="U47">
        <v>1</v>
      </c>
      <c r="V47">
        <v>1</v>
      </c>
      <c r="W47" t="s">
        <v>127</v>
      </c>
      <c r="X47">
        <v>24660</v>
      </c>
      <c r="Y47">
        <v>283096.8</v>
      </c>
      <c r="Z47">
        <v>9864000</v>
      </c>
      <c r="AA47">
        <v>246600</v>
      </c>
      <c r="AB47">
        <v>105</v>
      </c>
      <c r="AC47" s="34">
        <v>45854</v>
      </c>
      <c r="AD47" s="34">
        <v>46022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 t="s">
        <v>122</v>
      </c>
      <c r="AT47">
        <v>5918400</v>
      </c>
      <c r="AU47">
        <v>169858.08</v>
      </c>
      <c r="AV47">
        <v>5918400</v>
      </c>
      <c r="AW47">
        <v>169858.08</v>
      </c>
    </row>
    <row r="48" spans="1:49" hidden="1" x14ac:dyDescent="0.35">
      <c r="A48">
        <v>5791610</v>
      </c>
      <c r="B48">
        <v>1170005791601</v>
      </c>
      <c r="D48">
        <v>30708085916</v>
      </c>
      <c r="E48" t="s">
        <v>218</v>
      </c>
      <c r="F48" t="s">
        <v>1</v>
      </c>
      <c r="G48" t="s">
        <v>219</v>
      </c>
      <c r="H48" t="s">
        <v>62</v>
      </c>
      <c r="I48">
        <v>2144</v>
      </c>
      <c r="J48">
        <v>12</v>
      </c>
      <c r="K48" t="s">
        <v>34</v>
      </c>
      <c r="L48">
        <v>13733</v>
      </c>
      <c r="M48" t="s">
        <v>220</v>
      </c>
      <c r="N48">
        <v>1</v>
      </c>
      <c r="O48" t="s">
        <v>125</v>
      </c>
      <c r="P48" t="s">
        <v>221</v>
      </c>
      <c r="Q48">
        <v>1087506</v>
      </c>
      <c r="R48">
        <v>41428800</v>
      </c>
      <c r="S48">
        <v>48</v>
      </c>
      <c r="T48">
        <v>863100</v>
      </c>
      <c r="U48">
        <v>1</v>
      </c>
      <c r="V48">
        <v>1</v>
      </c>
      <c r="W48" t="s">
        <v>127</v>
      </c>
      <c r="X48">
        <v>24660</v>
      </c>
      <c r="Y48">
        <v>1087506</v>
      </c>
      <c r="Z48">
        <v>41428800</v>
      </c>
      <c r="AA48">
        <v>863100</v>
      </c>
      <c r="AB48">
        <v>214</v>
      </c>
      <c r="AC48" s="34">
        <v>45893</v>
      </c>
      <c r="AD48" s="34">
        <v>46022</v>
      </c>
      <c r="AF48">
        <v>0</v>
      </c>
      <c r="AG48">
        <v>3828711.6</v>
      </c>
      <c r="AH48">
        <v>0</v>
      </c>
      <c r="AI48">
        <v>3828711.6</v>
      </c>
      <c r="AJ48">
        <v>0</v>
      </c>
      <c r="AK48">
        <v>0</v>
      </c>
      <c r="AL48">
        <v>980150.18</v>
      </c>
      <c r="AM48">
        <v>0</v>
      </c>
      <c r="AN48">
        <v>4808861.78</v>
      </c>
      <c r="AO48" t="s">
        <v>122</v>
      </c>
      <c r="AP48">
        <v>15</v>
      </c>
      <c r="AQ48">
        <v>574306.74</v>
      </c>
      <c r="AR48">
        <v>574306.74</v>
      </c>
      <c r="AT48">
        <v>24857280</v>
      </c>
      <c r="AU48">
        <v>652503.6</v>
      </c>
      <c r="AV48">
        <v>24857280</v>
      </c>
      <c r="AW48">
        <v>652503.6</v>
      </c>
    </row>
    <row r="49" spans="1:49" hidden="1" x14ac:dyDescent="0.35">
      <c r="A49">
        <v>5791610</v>
      </c>
      <c r="B49">
        <v>1170005791601</v>
      </c>
      <c r="D49">
        <v>30708085916</v>
      </c>
      <c r="E49" t="s">
        <v>218</v>
      </c>
      <c r="F49" t="s">
        <v>1</v>
      </c>
      <c r="G49" t="s">
        <v>219</v>
      </c>
      <c r="H49" t="s">
        <v>62</v>
      </c>
      <c r="I49">
        <v>2144</v>
      </c>
      <c r="J49">
        <v>12</v>
      </c>
      <c r="K49" t="s">
        <v>34</v>
      </c>
      <c r="L49">
        <v>13733</v>
      </c>
      <c r="M49" t="s">
        <v>220</v>
      </c>
      <c r="N49">
        <v>2</v>
      </c>
      <c r="O49" t="s">
        <v>125</v>
      </c>
      <c r="P49" t="s">
        <v>222</v>
      </c>
      <c r="Q49">
        <v>317127.59999999998</v>
      </c>
      <c r="R49">
        <v>12083400</v>
      </c>
      <c r="S49">
        <v>14</v>
      </c>
      <c r="T49">
        <v>863100</v>
      </c>
      <c r="U49">
        <v>1</v>
      </c>
      <c r="V49">
        <v>1</v>
      </c>
      <c r="W49" t="s">
        <v>127</v>
      </c>
      <c r="X49">
        <v>24660</v>
      </c>
      <c r="Y49">
        <v>317127.59999999998</v>
      </c>
      <c r="Z49">
        <v>12083400</v>
      </c>
      <c r="AA49">
        <v>863100</v>
      </c>
      <c r="AB49">
        <v>214</v>
      </c>
      <c r="AC49" s="34">
        <v>45893</v>
      </c>
      <c r="AD49" s="34">
        <v>46022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 t="s">
        <v>122</v>
      </c>
      <c r="AT49">
        <v>7250040</v>
      </c>
      <c r="AU49">
        <v>190276.56</v>
      </c>
      <c r="AV49">
        <v>7250040</v>
      </c>
      <c r="AW49">
        <v>190276.56</v>
      </c>
    </row>
    <row r="50" spans="1:49" hidden="1" x14ac:dyDescent="0.35">
      <c r="A50">
        <v>5791610</v>
      </c>
      <c r="B50">
        <v>1170005791601</v>
      </c>
      <c r="D50">
        <v>30708085916</v>
      </c>
      <c r="E50" t="s">
        <v>218</v>
      </c>
      <c r="F50" t="s">
        <v>1</v>
      </c>
      <c r="G50" t="s">
        <v>219</v>
      </c>
      <c r="H50" t="s">
        <v>62</v>
      </c>
      <c r="I50">
        <v>2144</v>
      </c>
      <c r="J50">
        <v>12</v>
      </c>
      <c r="K50" t="s">
        <v>34</v>
      </c>
      <c r="L50">
        <v>13733</v>
      </c>
      <c r="M50" t="s">
        <v>220</v>
      </c>
      <c r="N50">
        <v>3</v>
      </c>
      <c r="O50" t="s">
        <v>125</v>
      </c>
      <c r="P50" t="s">
        <v>223</v>
      </c>
      <c r="Q50">
        <v>475691.4</v>
      </c>
      <c r="R50">
        <v>18125100</v>
      </c>
      <c r="S50">
        <v>21</v>
      </c>
      <c r="T50">
        <v>863100</v>
      </c>
      <c r="U50">
        <v>1</v>
      </c>
      <c r="V50">
        <v>1</v>
      </c>
      <c r="W50" t="s">
        <v>127</v>
      </c>
      <c r="X50">
        <v>24660</v>
      </c>
      <c r="Y50">
        <v>475691.4</v>
      </c>
      <c r="Z50">
        <v>18125100</v>
      </c>
      <c r="AA50">
        <v>863100</v>
      </c>
      <c r="AB50">
        <v>214</v>
      </c>
      <c r="AC50" s="34">
        <v>45893</v>
      </c>
      <c r="AD50" s="34">
        <v>46022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 t="s">
        <v>122</v>
      </c>
      <c r="AT50">
        <v>10875060</v>
      </c>
      <c r="AU50">
        <v>285414.84000000003</v>
      </c>
      <c r="AV50">
        <v>10875060</v>
      </c>
      <c r="AW50">
        <v>285414.84000000003</v>
      </c>
    </row>
    <row r="51" spans="1:49" hidden="1" x14ac:dyDescent="0.35">
      <c r="A51">
        <v>5791610</v>
      </c>
      <c r="B51">
        <v>1170005791601</v>
      </c>
      <c r="D51">
        <v>30708085916</v>
      </c>
      <c r="E51" t="s">
        <v>218</v>
      </c>
      <c r="F51" t="s">
        <v>1</v>
      </c>
      <c r="G51" t="s">
        <v>219</v>
      </c>
      <c r="H51" t="s">
        <v>62</v>
      </c>
      <c r="I51">
        <v>2144</v>
      </c>
      <c r="J51">
        <v>12</v>
      </c>
      <c r="K51" t="s">
        <v>34</v>
      </c>
      <c r="L51">
        <v>13733</v>
      </c>
      <c r="M51" t="s">
        <v>220</v>
      </c>
      <c r="N51">
        <v>4</v>
      </c>
      <c r="O51" t="s">
        <v>125</v>
      </c>
      <c r="P51" t="s">
        <v>224</v>
      </c>
      <c r="Q51">
        <v>1948386.6</v>
      </c>
      <c r="R51">
        <v>74226600</v>
      </c>
      <c r="S51">
        <v>86</v>
      </c>
      <c r="T51">
        <v>863100</v>
      </c>
      <c r="U51">
        <v>1</v>
      </c>
      <c r="V51">
        <v>1</v>
      </c>
      <c r="W51" t="s">
        <v>127</v>
      </c>
      <c r="X51">
        <v>24660</v>
      </c>
      <c r="Y51">
        <v>1948386.6</v>
      </c>
      <c r="Z51">
        <v>74226600</v>
      </c>
      <c r="AA51">
        <v>863100</v>
      </c>
      <c r="AB51">
        <v>214</v>
      </c>
      <c r="AC51" s="34">
        <v>45893</v>
      </c>
      <c r="AD51" s="34">
        <v>46022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 t="s">
        <v>122</v>
      </c>
      <c r="AT51">
        <v>44535960</v>
      </c>
      <c r="AU51">
        <v>1169031.96</v>
      </c>
      <c r="AV51">
        <v>44535960</v>
      </c>
      <c r="AW51">
        <v>1169031.96</v>
      </c>
    </row>
    <row r="52" spans="1:49" hidden="1" x14ac:dyDescent="0.35">
      <c r="A52">
        <v>5791710</v>
      </c>
      <c r="B52">
        <v>1170005791701</v>
      </c>
      <c r="D52">
        <v>30717022447</v>
      </c>
      <c r="E52" t="s">
        <v>225</v>
      </c>
      <c r="F52" t="s">
        <v>1</v>
      </c>
      <c r="G52" t="s">
        <v>226</v>
      </c>
      <c r="H52" t="s">
        <v>63</v>
      </c>
      <c r="I52">
        <v>2535</v>
      </c>
      <c r="J52">
        <v>12</v>
      </c>
      <c r="K52" t="s">
        <v>34</v>
      </c>
      <c r="L52">
        <v>83429</v>
      </c>
      <c r="M52" t="s">
        <v>140</v>
      </c>
      <c r="N52">
        <v>1</v>
      </c>
      <c r="O52" t="s">
        <v>125</v>
      </c>
      <c r="P52" t="s">
        <v>227</v>
      </c>
      <c r="Q52">
        <v>294440.40000000002</v>
      </c>
      <c r="R52">
        <v>11220300</v>
      </c>
      <c r="S52">
        <v>13</v>
      </c>
      <c r="T52">
        <v>863100</v>
      </c>
      <c r="U52">
        <v>1</v>
      </c>
      <c r="V52">
        <v>1</v>
      </c>
      <c r="W52" t="s">
        <v>127</v>
      </c>
      <c r="X52">
        <v>24660</v>
      </c>
      <c r="Y52">
        <v>294440.40000000002</v>
      </c>
      <c r="Z52">
        <v>11220300</v>
      </c>
      <c r="AA52">
        <v>863100</v>
      </c>
      <c r="AB52">
        <v>214</v>
      </c>
      <c r="AC52" s="34">
        <v>45893</v>
      </c>
      <c r="AD52" s="34">
        <v>46053</v>
      </c>
      <c r="AF52">
        <v>0</v>
      </c>
      <c r="AG52">
        <v>1631259</v>
      </c>
      <c r="AH52">
        <v>0</v>
      </c>
      <c r="AI52">
        <v>1631259</v>
      </c>
      <c r="AJ52">
        <v>0</v>
      </c>
      <c r="AK52">
        <v>0</v>
      </c>
      <c r="AL52">
        <v>417602.31</v>
      </c>
      <c r="AM52">
        <v>0</v>
      </c>
      <c r="AN52">
        <v>2048861.31</v>
      </c>
      <c r="AO52" t="s">
        <v>122</v>
      </c>
      <c r="AP52">
        <v>15</v>
      </c>
      <c r="AQ52">
        <v>244688.85</v>
      </c>
      <c r="AR52">
        <v>244688.85</v>
      </c>
      <c r="AT52">
        <v>6732180</v>
      </c>
      <c r="AU52">
        <v>176664.24</v>
      </c>
      <c r="AV52">
        <v>6732180</v>
      </c>
      <c r="AW52">
        <v>176664.24</v>
      </c>
    </row>
    <row r="53" spans="1:49" hidden="1" x14ac:dyDescent="0.35">
      <c r="A53">
        <v>5791710</v>
      </c>
      <c r="B53">
        <v>1170005791701</v>
      </c>
      <c r="D53">
        <v>30717022447</v>
      </c>
      <c r="E53" t="s">
        <v>225</v>
      </c>
      <c r="F53" t="s">
        <v>1</v>
      </c>
      <c r="G53" t="s">
        <v>226</v>
      </c>
      <c r="H53" t="s">
        <v>63</v>
      </c>
      <c r="I53">
        <v>2535</v>
      </c>
      <c r="J53">
        <v>12</v>
      </c>
      <c r="K53" t="s">
        <v>34</v>
      </c>
      <c r="L53">
        <v>83429</v>
      </c>
      <c r="M53" t="s">
        <v>140</v>
      </c>
      <c r="N53">
        <v>2</v>
      </c>
      <c r="O53" t="s">
        <v>125</v>
      </c>
      <c r="P53" t="s">
        <v>228</v>
      </c>
      <c r="Q53">
        <v>203938.2</v>
      </c>
      <c r="R53">
        <v>7767900</v>
      </c>
      <c r="S53">
        <v>9</v>
      </c>
      <c r="T53">
        <v>863100</v>
      </c>
      <c r="U53">
        <v>1</v>
      </c>
      <c r="V53">
        <v>1</v>
      </c>
      <c r="W53" t="s">
        <v>127</v>
      </c>
      <c r="X53">
        <v>24660</v>
      </c>
      <c r="Y53">
        <v>203938.2</v>
      </c>
      <c r="Z53">
        <v>7767900</v>
      </c>
      <c r="AA53">
        <v>863100</v>
      </c>
      <c r="AB53">
        <v>214</v>
      </c>
      <c r="AC53" s="34">
        <v>45893</v>
      </c>
      <c r="AD53" s="34">
        <v>46053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 t="s">
        <v>122</v>
      </c>
      <c r="AT53">
        <v>4660740</v>
      </c>
      <c r="AU53">
        <v>122362.92</v>
      </c>
      <c r="AV53">
        <v>4660740</v>
      </c>
      <c r="AW53">
        <v>122362.92</v>
      </c>
    </row>
    <row r="54" spans="1:49" hidden="1" x14ac:dyDescent="0.35">
      <c r="A54">
        <v>5791710</v>
      </c>
      <c r="B54">
        <v>1170005791701</v>
      </c>
      <c r="D54">
        <v>30717022447</v>
      </c>
      <c r="E54" t="s">
        <v>225</v>
      </c>
      <c r="F54" t="s">
        <v>1</v>
      </c>
      <c r="G54" t="s">
        <v>226</v>
      </c>
      <c r="H54" t="s">
        <v>63</v>
      </c>
      <c r="I54">
        <v>2535</v>
      </c>
      <c r="J54">
        <v>12</v>
      </c>
      <c r="K54" t="s">
        <v>34</v>
      </c>
      <c r="L54">
        <v>83429</v>
      </c>
      <c r="M54" t="s">
        <v>140</v>
      </c>
      <c r="N54">
        <v>3</v>
      </c>
      <c r="O54" t="s">
        <v>125</v>
      </c>
      <c r="P54" t="s">
        <v>229</v>
      </c>
      <c r="Q54">
        <v>385189.2</v>
      </c>
      <c r="R54">
        <v>14672700</v>
      </c>
      <c r="S54">
        <v>17</v>
      </c>
      <c r="T54">
        <v>863100</v>
      </c>
      <c r="U54">
        <v>1</v>
      </c>
      <c r="V54">
        <v>1</v>
      </c>
      <c r="W54" t="s">
        <v>127</v>
      </c>
      <c r="X54">
        <v>24660</v>
      </c>
      <c r="Y54">
        <v>385189.2</v>
      </c>
      <c r="Z54">
        <v>14672700</v>
      </c>
      <c r="AA54">
        <v>863100</v>
      </c>
      <c r="AB54">
        <v>214</v>
      </c>
      <c r="AC54" s="34">
        <v>45893</v>
      </c>
      <c r="AD54" s="34">
        <v>46053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 t="s">
        <v>122</v>
      </c>
      <c r="AT54">
        <v>8803620</v>
      </c>
      <c r="AU54">
        <v>231113.52</v>
      </c>
      <c r="AV54">
        <v>8803620</v>
      </c>
      <c r="AW54">
        <v>231113.52</v>
      </c>
    </row>
    <row r="55" spans="1:49" hidden="1" x14ac:dyDescent="0.35">
      <c r="A55">
        <v>5791710</v>
      </c>
      <c r="B55">
        <v>1170005791701</v>
      </c>
      <c r="D55">
        <v>30717022447</v>
      </c>
      <c r="E55" t="s">
        <v>225</v>
      </c>
      <c r="F55" t="s">
        <v>1</v>
      </c>
      <c r="G55" t="s">
        <v>226</v>
      </c>
      <c r="H55" t="s">
        <v>63</v>
      </c>
      <c r="I55">
        <v>2535</v>
      </c>
      <c r="J55">
        <v>12</v>
      </c>
      <c r="K55" t="s">
        <v>34</v>
      </c>
      <c r="L55">
        <v>83429</v>
      </c>
      <c r="M55" t="s">
        <v>140</v>
      </c>
      <c r="N55">
        <v>4</v>
      </c>
      <c r="O55" t="s">
        <v>125</v>
      </c>
      <c r="P55" t="s">
        <v>230</v>
      </c>
      <c r="Q55">
        <v>747691.2</v>
      </c>
      <c r="R55">
        <v>28482300</v>
      </c>
      <c r="S55">
        <v>33</v>
      </c>
      <c r="T55">
        <v>863100</v>
      </c>
      <c r="U55">
        <v>1</v>
      </c>
      <c r="V55">
        <v>1</v>
      </c>
      <c r="W55" t="s">
        <v>127</v>
      </c>
      <c r="X55">
        <v>24660</v>
      </c>
      <c r="Y55">
        <v>747691.2</v>
      </c>
      <c r="Z55">
        <v>28482300</v>
      </c>
      <c r="AA55">
        <v>863100</v>
      </c>
      <c r="AB55">
        <v>214</v>
      </c>
      <c r="AC55" s="34">
        <v>45893</v>
      </c>
      <c r="AD55" s="34">
        <v>46053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 t="s">
        <v>122</v>
      </c>
      <c r="AT55">
        <v>17089380</v>
      </c>
      <c r="AU55">
        <v>448614.72</v>
      </c>
      <c r="AV55">
        <v>17089380</v>
      </c>
      <c r="AW55">
        <v>448614.72</v>
      </c>
    </row>
    <row r="56" spans="1:49" hidden="1" x14ac:dyDescent="0.35">
      <c r="A56">
        <v>5791810</v>
      </c>
      <c r="B56">
        <v>5010005791801</v>
      </c>
      <c r="D56">
        <v>20409151427</v>
      </c>
      <c r="E56" t="s">
        <v>231</v>
      </c>
      <c r="F56" t="s">
        <v>1</v>
      </c>
      <c r="G56" t="s">
        <v>65</v>
      </c>
      <c r="H56" t="s">
        <v>65</v>
      </c>
      <c r="I56">
        <v>6455</v>
      </c>
      <c r="J56">
        <v>1</v>
      </c>
      <c r="K56" t="s">
        <v>16</v>
      </c>
      <c r="L56">
        <v>11014</v>
      </c>
      <c r="M56" t="s">
        <v>232</v>
      </c>
      <c r="N56">
        <v>1</v>
      </c>
      <c r="O56" t="s">
        <v>125</v>
      </c>
      <c r="P56" t="s">
        <v>233</v>
      </c>
      <c r="Q56">
        <v>992565</v>
      </c>
      <c r="R56">
        <v>43155000</v>
      </c>
      <c r="S56">
        <v>50</v>
      </c>
      <c r="T56">
        <v>863100</v>
      </c>
      <c r="U56">
        <v>1</v>
      </c>
      <c r="V56">
        <v>1</v>
      </c>
      <c r="W56" t="s">
        <v>127</v>
      </c>
      <c r="X56">
        <v>24660</v>
      </c>
      <c r="Y56">
        <v>992565</v>
      </c>
      <c r="Z56">
        <v>43155000</v>
      </c>
      <c r="AA56">
        <v>863100</v>
      </c>
      <c r="AB56">
        <v>214</v>
      </c>
      <c r="AC56" s="34">
        <v>45892</v>
      </c>
      <c r="AD56" s="34">
        <v>46022</v>
      </c>
      <c r="AF56">
        <v>0</v>
      </c>
      <c r="AG56">
        <v>4605501.5999999996</v>
      </c>
      <c r="AH56">
        <v>0</v>
      </c>
      <c r="AI56">
        <v>4605501.5999999996</v>
      </c>
      <c r="AJ56">
        <v>0</v>
      </c>
      <c r="AK56">
        <v>0</v>
      </c>
      <c r="AL56">
        <v>1155980.9099999999</v>
      </c>
      <c r="AM56">
        <v>0</v>
      </c>
      <c r="AN56">
        <v>5761482.5099999998</v>
      </c>
      <c r="AO56" t="s">
        <v>122</v>
      </c>
      <c r="AP56">
        <v>15</v>
      </c>
      <c r="AQ56">
        <v>690825.24</v>
      </c>
      <c r="AR56">
        <v>690825.24</v>
      </c>
      <c r="AT56">
        <v>25893000</v>
      </c>
      <c r="AU56">
        <v>595539</v>
      </c>
      <c r="AV56">
        <v>25893000</v>
      </c>
      <c r="AW56">
        <v>595539</v>
      </c>
    </row>
    <row r="57" spans="1:49" hidden="1" x14ac:dyDescent="0.35">
      <c r="A57">
        <v>5791810</v>
      </c>
      <c r="B57">
        <v>5010005791801</v>
      </c>
      <c r="D57">
        <v>20409151427</v>
      </c>
      <c r="E57" t="s">
        <v>231</v>
      </c>
      <c r="F57" t="s">
        <v>1</v>
      </c>
      <c r="G57" t="s">
        <v>24</v>
      </c>
      <c r="H57" t="s">
        <v>24</v>
      </c>
      <c r="I57">
        <v>6070</v>
      </c>
      <c r="J57">
        <v>1</v>
      </c>
      <c r="K57" t="s">
        <v>16</v>
      </c>
      <c r="L57">
        <v>11014</v>
      </c>
      <c r="M57" t="s">
        <v>232</v>
      </c>
      <c r="N57">
        <v>2</v>
      </c>
      <c r="O57" t="s">
        <v>125</v>
      </c>
      <c r="P57" t="s">
        <v>234</v>
      </c>
      <c r="Q57">
        <v>397026</v>
      </c>
      <c r="R57">
        <v>17262000</v>
      </c>
      <c r="S57">
        <v>20</v>
      </c>
      <c r="T57">
        <v>863100</v>
      </c>
      <c r="U57">
        <v>1</v>
      </c>
      <c r="V57">
        <v>1</v>
      </c>
      <c r="W57" t="s">
        <v>127</v>
      </c>
      <c r="X57">
        <v>24660</v>
      </c>
      <c r="Y57">
        <v>397026</v>
      </c>
      <c r="Z57">
        <v>17262000</v>
      </c>
      <c r="AA57">
        <v>863100</v>
      </c>
      <c r="AB57">
        <v>214</v>
      </c>
      <c r="AC57" s="34">
        <v>45892</v>
      </c>
      <c r="AD57" s="34">
        <v>46022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 t="s">
        <v>122</v>
      </c>
      <c r="AT57">
        <v>10357200</v>
      </c>
      <c r="AU57">
        <v>238215.6</v>
      </c>
      <c r="AV57">
        <v>10357200</v>
      </c>
      <c r="AW57">
        <v>238215.6</v>
      </c>
    </row>
    <row r="58" spans="1:49" hidden="1" x14ac:dyDescent="0.35">
      <c r="A58">
        <v>5791810</v>
      </c>
      <c r="B58">
        <v>5010005791801</v>
      </c>
      <c r="D58">
        <v>20409151427</v>
      </c>
      <c r="E58" t="s">
        <v>231</v>
      </c>
      <c r="F58" t="s">
        <v>1</v>
      </c>
      <c r="G58" t="s">
        <v>24</v>
      </c>
      <c r="H58" t="s">
        <v>24</v>
      </c>
      <c r="I58">
        <v>6070</v>
      </c>
      <c r="J58">
        <v>1</v>
      </c>
      <c r="K58" t="s">
        <v>16</v>
      </c>
      <c r="L58">
        <v>11014</v>
      </c>
      <c r="M58" t="s">
        <v>232</v>
      </c>
      <c r="N58">
        <v>3</v>
      </c>
      <c r="O58" t="s">
        <v>125</v>
      </c>
      <c r="P58" t="s">
        <v>235</v>
      </c>
      <c r="Q58">
        <v>595539</v>
      </c>
      <c r="R58">
        <v>25893000</v>
      </c>
      <c r="S58">
        <v>30</v>
      </c>
      <c r="T58">
        <v>863100</v>
      </c>
      <c r="U58">
        <v>1</v>
      </c>
      <c r="V58">
        <v>1</v>
      </c>
      <c r="W58" t="s">
        <v>127</v>
      </c>
      <c r="X58">
        <v>24660</v>
      </c>
      <c r="Y58">
        <v>595539</v>
      </c>
      <c r="Z58">
        <v>25893000</v>
      </c>
      <c r="AA58">
        <v>863100</v>
      </c>
      <c r="AB58">
        <v>214</v>
      </c>
      <c r="AC58" s="34">
        <v>45892</v>
      </c>
      <c r="AD58" s="34">
        <v>46022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 t="s">
        <v>122</v>
      </c>
      <c r="AT58">
        <v>15535800</v>
      </c>
      <c r="AU58">
        <v>357323.4</v>
      </c>
      <c r="AV58">
        <v>15535800</v>
      </c>
      <c r="AW58">
        <v>357323.4</v>
      </c>
    </row>
    <row r="59" spans="1:49" hidden="1" x14ac:dyDescent="0.35">
      <c r="A59">
        <v>5791810</v>
      </c>
      <c r="B59">
        <v>5010005791801</v>
      </c>
      <c r="D59">
        <v>20409151427</v>
      </c>
      <c r="E59" t="s">
        <v>231</v>
      </c>
      <c r="F59" t="s">
        <v>1</v>
      </c>
      <c r="G59" t="s">
        <v>24</v>
      </c>
      <c r="H59" t="s">
        <v>24</v>
      </c>
      <c r="I59">
        <v>6070</v>
      </c>
      <c r="J59">
        <v>1</v>
      </c>
      <c r="K59" t="s">
        <v>16</v>
      </c>
      <c r="L59">
        <v>11014</v>
      </c>
      <c r="M59" t="s">
        <v>232</v>
      </c>
      <c r="N59">
        <v>4</v>
      </c>
      <c r="O59" t="s">
        <v>125</v>
      </c>
      <c r="P59" t="s">
        <v>236</v>
      </c>
      <c r="Q59">
        <v>357323.4</v>
      </c>
      <c r="R59">
        <v>15535800</v>
      </c>
      <c r="S59">
        <v>18</v>
      </c>
      <c r="T59">
        <v>863100</v>
      </c>
      <c r="U59">
        <v>1</v>
      </c>
      <c r="V59">
        <v>1</v>
      </c>
      <c r="W59" t="s">
        <v>127</v>
      </c>
      <c r="X59">
        <v>24660</v>
      </c>
      <c r="Y59">
        <v>357323.4</v>
      </c>
      <c r="Z59">
        <v>15535800</v>
      </c>
      <c r="AA59">
        <v>863100</v>
      </c>
      <c r="AB59">
        <v>214</v>
      </c>
      <c r="AC59" s="34">
        <v>45892</v>
      </c>
      <c r="AD59" s="34">
        <v>46022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 t="s">
        <v>122</v>
      </c>
      <c r="AT59">
        <v>9321480</v>
      </c>
      <c r="AU59">
        <v>214394.04</v>
      </c>
      <c r="AV59">
        <v>9321480</v>
      </c>
      <c r="AW59">
        <v>214394.04</v>
      </c>
    </row>
    <row r="60" spans="1:49" hidden="1" x14ac:dyDescent="0.35">
      <c r="A60">
        <v>5791810</v>
      </c>
      <c r="B60">
        <v>5010005791801</v>
      </c>
      <c r="D60">
        <v>20409151427</v>
      </c>
      <c r="E60" t="s">
        <v>231</v>
      </c>
      <c r="F60" t="s">
        <v>1</v>
      </c>
      <c r="G60" t="s">
        <v>24</v>
      </c>
      <c r="H60" t="s">
        <v>24</v>
      </c>
      <c r="I60">
        <v>6070</v>
      </c>
      <c r="J60">
        <v>1</v>
      </c>
      <c r="K60" t="s">
        <v>16</v>
      </c>
      <c r="L60">
        <v>11014</v>
      </c>
      <c r="M60" t="s">
        <v>232</v>
      </c>
      <c r="N60">
        <v>5</v>
      </c>
      <c r="O60" t="s">
        <v>125</v>
      </c>
      <c r="P60" t="s">
        <v>237</v>
      </c>
      <c r="Q60">
        <v>833754.6</v>
      </c>
      <c r="R60">
        <v>36250200</v>
      </c>
      <c r="S60">
        <v>42</v>
      </c>
      <c r="T60">
        <v>863100</v>
      </c>
      <c r="U60">
        <v>1</v>
      </c>
      <c r="V60">
        <v>1</v>
      </c>
      <c r="W60" t="s">
        <v>127</v>
      </c>
      <c r="X60">
        <v>24660</v>
      </c>
      <c r="Y60">
        <v>833754.6</v>
      </c>
      <c r="Z60">
        <v>36250200</v>
      </c>
      <c r="AA60">
        <v>863100</v>
      </c>
      <c r="AB60">
        <v>214</v>
      </c>
      <c r="AC60" s="34">
        <v>45892</v>
      </c>
      <c r="AD60" s="34">
        <v>46022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 t="s">
        <v>122</v>
      </c>
      <c r="AT60">
        <v>21750120</v>
      </c>
      <c r="AU60">
        <v>500252.76</v>
      </c>
      <c r="AV60">
        <v>21750120</v>
      </c>
      <c r="AW60">
        <v>500252.76</v>
      </c>
    </row>
    <row r="61" spans="1:49" hidden="1" x14ac:dyDescent="0.35">
      <c r="A61">
        <v>5791810</v>
      </c>
      <c r="B61">
        <v>5010005791801</v>
      </c>
      <c r="D61">
        <v>20409151427</v>
      </c>
      <c r="E61" t="s">
        <v>231</v>
      </c>
      <c r="F61" t="s">
        <v>1</v>
      </c>
      <c r="G61" t="s">
        <v>24</v>
      </c>
      <c r="H61" t="s">
        <v>24</v>
      </c>
      <c r="I61">
        <v>6070</v>
      </c>
      <c r="J61">
        <v>1</v>
      </c>
      <c r="K61" t="s">
        <v>16</v>
      </c>
      <c r="L61">
        <v>11014</v>
      </c>
      <c r="M61" t="s">
        <v>232</v>
      </c>
      <c r="N61">
        <v>6</v>
      </c>
      <c r="O61" t="s">
        <v>125</v>
      </c>
      <c r="P61" t="s">
        <v>238</v>
      </c>
      <c r="Q61">
        <v>456579.9</v>
      </c>
      <c r="R61">
        <v>19851300</v>
      </c>
      <c r="S61">
        <v>23</v>
      </c>
      <c r="T61">
        <v>863100</v>
      </c>
      <c r="U61">
        <v>1</v>
      </c>
      <c r="V61">
        <v>1</v>
      </c>
      <c r="W61" t="s">
        <v>127</v>
      </c>
      <c r="X61">
        <v>24660</v>
      </c>
      <c r="Y61">
        <v>456579.9</v>
      </c>
      <c r="Z61">
        <v>19851300</v>
      </c>
      <c r="AA61">
        <v>863100</v>
      </c>
      <c r="AB61">
        <v>214</v>
      </c>
      <c r="AC61" s="34">
        <v>45892</v>
      </c>
      <c r="AD61" s="34">
        <v>46022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 t="s">
        <v>122</v>
      </c>
      <c r="AT61">
        <v>11910780</v>
      </c>
      <c r="AU61">
        <v>273947.94</v>
      </c>
      <c r="AV61">
        <v>11910780</v>
      </c>
      <c r="AW61">
        <v>273947.94</v>
      </c>
    </row>
    <row r="62" spans="1:49" hidden="1" x14ac:dyDescent="0.35">
      <c r="A62">
        <v>5791810</v>
      </c>
      <c r="B62">
        <v>5010005791801</v>
      </c>
      <c r="D62">
        <v>20409151427</v>
      </c>
      <c r="E62" t="s">
        <v>231</v>
      </c>
      <c r="F62" t="s">
        <v>1</v>
      </c>
      <c r="G62" t="s">
        <v>24</v>
      </c>
      <c r="H62" t="s">
        <v>24</v>
      </c>
      <c r="I62">
        <v>6070</v>
      </c>
      <c r="J62">
        <v>1</v>
      </c>
      <c r="K62" t="s">
        <v>16</v>
      </c>
      <c r="L62">
        <v>11014</v>
      </c>
      <c r="M62" t="s">
        <v>232</v>
      </c>
      <c r="N62">
        <v>7</v>
      </c>
      <c r="O62" t="s">
        <v>125</v>
      </c>
      <c r="P62" t="s">
        <v>239</v>
      </c>
      <c r="Q62">
        <v>972713.7</v>
      </c>
      <c r="R62">
        <v>42291900</v>
      </c>
      <c r="S62">
        <v>49</v>
      </c>
      <c r="T62">
        <v>863100</v>
      </c>
      <c r="U62">
        <v>1</v>
      </c>
      <c r="V62">
        <v>1</v>
      </c>
      <c r="W62" t="s">
        <v>127</v>
      </c>
      <c r="X62">
        <v>24660</v>
      </c>
      <c r="Y62">
        <v>972713.7</v>
      </c>
      <c r="Z62">
        <v>42291900</v>
      </c>
      <c r="AA62">
        <v>863100</v>
      </c>
      <c r="AB62">
        <v>214</v>
      </c>
      <c r="AC62" s="34">
        <v>45892</v>
      </c>
      <c r="AD62" s="34">
        <v>46022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 t="s">
        <v>122</v>
      </c>
      <c r="AT62">
        <v>25375140</v>
      </c>
      <c r="AU62">
        <v>583628.22</v>
      </c>
      <c r="AV62">
        <v>25375140</v>
      </c>
      <c r="AW62">
        <v>583628.22</v>
      </c>
    </row>
    <row r="63" spans="1:49" hidden="1" x14ac:dyDescent="0.35">
      <c r="A63">
        <v>5791910</v>
      </c>
      <c r="B63">
        <v>1170005791901</v>
      </c>
      <c r="D63">
        <v>27060252160</v>
      </c>
      <c r="E63" t="s">
        <v>240</v>
      </c>
      <c r="F63" t="s">
        <v>1</v>
      </c>
      <c r="G63" t="s">
        <v>62</v>
      </c>
      <c r="H63" t="s">
        <v>62</v>
      </c>
      <c r="I63">
        <v>3018</v>
      </c>
      <c r="J63">
        <v>12</v>
      </c>
      <c r="K63" t="s">
        <v>34</v>
      </c>
      <c r="L63">
        <v>7464</v>
      </c>
      <c r="M63" t="s">
        <v>241</v>
      </c>
      <c r="N63">
        <v>1</v>
      </c>
      <c r="O63" t="s">
        <v>125</v>
      </c>
      <c r="P63" t="s">
        <v>242</v>
      </c>
      <c r="Q63">
        <v>3376940.4</v>
      </c>
      <c r="R63">
        <v>132424200</v>
      </c>
      <c r="S63">
        <v>179</v>
      </c>
      <c r="T63">
        <v>739800</v>
      </c>
      <c r="U63">
        <v>1</v>
      </c>
      <c r="V63">
        <v>1</v>
      </c>
      <c r="W63" t="s">
        <v>127</v>
      </c>
      <c r="X63">
        <v>24660</v>
      </c>
      <c r="Y63">
        <v>3376940.4</v>
      </c>
      <c r="Z63">
        <v>132424200</v>
      </c>
      <c r="AA63">
        <v>739800</v>
      </c>
      <c r="AB63">
        <v>105</v>
      </c>
      <c r="AC63" s="34">
        <v>45895</v>
      </c>
      <c r="AD63" s="34">
        <v>46022</v>
      </c>
      <c r="AF63">
        <v>0</v>
      </c>
      <c r="AG63">
        <v>3376940.4</v>
      </c>
      <c r="AH63">
        <v>0</v>
      </c>
      <c r="AI63">
        <v>3376940.4</v>
      </c>
      <c r="AJ63">
        <v>0</v>
      </c>
      <c r="AK63">
        <v>0</v>
      </c>
      <c r="AL63">
        <v>864496.73</v>
      </c>
      <c r="AM63">
        <v>0</v>
      </c>
      <c r="AN63">
        <v>4241437.13</v>
      </c>
      <c r="AO63" t="s">
        <v>122</v>
      </c>
      <c r="AP63">
        <v>12</v>
      </c>
      <c r="AQ63">
        <v>405232.85</v>
      </c>
      <c r="AR63">
        <v>405232.85</v>
      </c>
      <c r="AT63">
        <v>79454520</v>
      </c>
      <c r="AU63">
        <v>2026164.24</v>
      </c>
      <c r="AV63">
        <v>79454520</v>
      </c>
      <c r="AW63">
        <v>2026164.24</v>
      </c>
    </row>
    <row r="64" spans="1:49" hidden="1" x14ac:dyDescent="0.35">
      <c r="A64">
        <v>5792010</v>
      </c>
      <c r="B64">
        <v>5010005792001</v>
      </c>
      <c r="D64">
        <v>20275090078</v>
      </c>
      <c r="E64" t="s">
        <v>243</v>
      </c>
      <c r="F64" t="s">
        <v>1</v>
      </c>
      <c r="G64" t="s">
        <v>244</v>
      </c>
      <c r="H64" t="s">
        <v>67</v>
      </c>
      <c r="I64">
        <v>6050</v>
      </c>
      <c r="J64">
        <v>1</v>
      </c>
      <c r="K64" t="s">
        <v>16</v>
      </c>
      <c r="L64">
        <v>11014</v>
      </c>
      <c r="M64" t="s">
        <v>232</v>
      </c>
      <c r="N64">
        <v>1</v>
      </c>
      <c r="O64" t="s">
        <v>125</v>
      </c>
      <c r="P64" t="s">
        <v>245</v>
      </c>
      <c r="Q64">
        <v>887.76</v>
      </c>
      <c r="R64">
        <v>36990</v>
      </c>
      <c r="S64">
        <v>137</v>
      </c>
      <c r="T64">
        <v>270</v>
      </c>
      <c r="U64">
        <v>26</v>
      </c>
      <c r="V64">
        <v>1321</v>
      </c>
      <c r="W64" t="s">
        <v>121</v>
      </c>
      <c r="X64" t="s">
        <v>1</v>
      </c>
      <c r="Y64">
        <v>1172730.96</v>
      </c>
      <c r="Z64">
        <v>48863790</v>
      </c>
      <c r="AA64">
        <v>356670</v>
      </c>
      <c r="AB64">
        <v>106</v>
      </c>
      <c r="AC64" s="34">
        <v>45895</v>
      </c>
      <c r="AD64" s="34">
        <v>46022</v>
      </c>
      <c r="AF64">
        <v>0</v>
      </c>
      <c r="AG64">
        <v>3622.32</v>
      </c>
      <c r="AH64">
        <v>0</v>
      </c>
      <c r="AI64">
        <v>4785084.72</v>
      </c>
      <c r="AJ64">
        <v>0</v>
      </c>
      <c r="AK64">
        <v>0</v>
      </c>
      <c r="AL64">
        <v>1201053.2</v>
      </c>
      <c r="AM64">
        <v>0</v>
      </c>
      <c r="AN64">
        <v>5986137.9199999999</v>
      </c>
      <c r="AO64" t="s">
        <v>122</v>
      </c>
      <c r="AP64">
        <v>15</v>
      </c>
      <c r="AQ64">
        <v>543.35</v>
      </c>
      <c r="AR64">
        <v>717765.35</v>
      </c>
      <c r="AT64">
        <v>22194</v>
      </c>
      <c r="AU64">
        <v>532.66</v>
      </c>
      <c r="AV64">
        <v>29318274</v>
      </c>
      <c r="AW64">
        <v>703643.86</v>
      </c>
    </row>
    <row r="65" spans="1:49" hidden="1" x14ac:dyDescent="0.35">
      <c r="A65">
        <v>5792010</v>
      </c>
      <c r="B65">
        <v>5010005792001</v>
      </c>
      <c r="D65">
        <v>20275090078</v>
      </c>
      <c r="E65" t="s">
        <v>243</v>
      </c>
      <c r="F65" t="s">
        <v>1</v>
      </c>
      <c r="G65" t="s">
        <v>24</v>
      </c>
      <c r="H65" t="s">
        <v>24</v>
      </c>
      <c r="I65">
        <v>6070</v>
      </c>
      <c r="J65">
        <v>1</v>
      </c>
      <c r="K65" t="s">
        <v>16</v>
      </c>
      <c r="L65">
        <v>11014</v>
      </c>
      <c r="M65" t="s">
        <v>232</v>
      </c>
      <c r="N65">
        <v>2</v>
      </c>
      <c r="O65" t="s">
        <v>125</v>
      </c>
      <c r="P65" t="s">
        <v>246</v>
      </c>
      <c r="Q65">
        <v>1080</v>
      </c>
      <c r="R65">
        <v>45000</v>
      </c>
      <c r="S65">
        <v>150</v>
      </c>
      <c r="T65">
        <v>300</v>
      </c>
      <c r="U65">
        <v>26</v>
      </c>
      <c r="V65">
        <v>1321</v>
      </c>
      <c r="W65" t="s">
        <v>121</v>
      </c>
      <c r="X65" t="s">
        <v>1</v>
      </c>
      <c r="Y65">
        <v>1426680</v>
      </c>
      <c r="Z65">
        <v>59445000</v>
      </c>
      <c r="AA65">
        <v>396300</v>
      </c>
      <c r="AB65">
        <v>106</v>
      </c>
      <c r="AC65" s="34">
        <v>45895</v>
      </c>
      <c r="AD65" s="34">
        <v>46022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 t="s">
        <v>122</v>
      </c>
      <c r="AT65">
        <v>27000</v>
      </c>
      <c r="AU65">
        <v>648</v>
      </c>
      <c r="AV65">
        <v>35667000</v>
      </c>
      <c r="AW65">
        <v>856008</v>
      </c>
    </row>
    <row r="66" spans="1:49" hidden="1" x14ac:dyDescent="0.35">
      <c r="A66">
        <v>5792010</v>
      </c>
      <c r="B66">
        <v>5010005792001</v>
      </c>
      <c r="D66">
        <v>20275090078</v>
      </c>
      <c r="E66" t="s">
        <v>243</v>
      </c>
      <c r="F66" t="s">
        <v>1</v>
      </c>
      <c r="G66" t="s">
        <v>24</v>
      </c>
      <c r="H66" t="s">
        <v>24</v>
      </c>
      <c r="I66">
        <v>6070</v>
      </c>
      <c r="J66">
        <v>1</v>
      </c>
      <c r="K66" t="s">
        <v>16</v>
      </c>
      <c r="L66">
        <v>11014</v>
      </c>
      <c r="M66" t="s">
        <v>232</v>
      </c>
      <c r="N66">
        <v>3</v>
      </c>
      <c r="O66" t="s">
        <v>125</v>
      </c>
      <c r="P66" t="s">
        <v>247</v>
      </c>
      <c r="Q66">
        <v>864</v>
      </c>
      <c r="R66">
        <v>36000</v>
      </c>
      <c r="S66">
        <v>120</v>
      </c>
      <c r="T66">
        <v>300</v>
      </c>
      <c r="U66">
        <v>26</v>
      </c>
      <c r="V66">
        <v>1321</v>
      </c>
      <c r="W66" t="s">
        <v>121</v>
      </c>
      <c r="X66" t="s">
        <v>1</v>
      </c>
      <c r="Y66">
        <v>1141344</v>
      </c>
      <c r="Z66">
        <v>47556000</v>
      </c>
      <c r="AA66">
        <v>396300</v>
      </c>
      <c r="AB66">
        <v>106</v>
      </c>
      <c r="AC66" s="34">
        <v>45895</v>
      </c>
      <c r="AD66" s="34">
        <v>46022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 t="s">
        <v>122</v>
      </c>
      <c r="AT66">
        <v>21600</v>
      </c>
      <c r="AU66">
        <v>518.4</v>
      </c>
      <c r="AV66">
        <v>28533600</v>
      </c>
      <c r="AW66">
        <v>684806.4</v>
      </c>
    </row>
    <row r="67" spans="1:49" hidden="1" x14ac:dyDescent="0.35">
      <c r="A67">
        <v>5792010</v>
      </c>
      <c r="B67">
        <v>5010005792001</v>
      </c>
      <c r="D67">
        <v>20275090078</v>
      </c>
      <c r="E67" t="s">
        <v>243</v>
      </c>
      <c r="F67" t="s">
        <v>1</v>
      </c>
      <c r="G67" t="s">
        <v>26</v>
      </c>
      <c r="H67" t="s">
        <v>26</v>
      </c>
      <c r="I67">
        <v>2700</v>
      </c>
      <c r="J67">
        <v>1</v>
      </c>
      <c r="K67" t="s">
        <v>16</v>
      </c>
      <c r="L67">
        <v>11014</v>
      </c>
      <c r="M67" t="s">
        <v>232</v>
      </c>
      <c r="N67">
        <v>4</v>
      </c>
      <c r="O67" t="s">
        <v>125</v>
      </c>
      <c r="P67" t="s">
        <v>248</v>
      </c>
      <c r="Q67">
        <v>790.56</v>
      </c>
      <c r="R67">
        <v>32940</v>
      </c>
      <c r="S67">
        <v>122</v>
      </c>
      <c r="T67">
        <v>270</v>
      </c>
      <c r="U67">
        <v>26</v>
      </c>
      <c r="V67">
        <v>1321</v>
      </c>
      <c r="W67" t="s">
        <v>121</v>
      </c>
      <c r="X67" t="s">
        <v>1</v>
      </c>
      <c r="Y67">
        <v>1044329.76</v>
      </c>
      <c r="Z67">
        <v>43513740</v>
      </c>
      <c r="AA67">
        <v>356670</v>
      </c>
      <c r="AB67">
        <v>106</v>
      </c>
      <c r="AC67" s="34">
        <v>45895</v>
      </c>
      <c r="AD67" s="34">
        <v>46022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 t="s">
        <v>122</v>
      </c>
      <c r="AT67">
        <v>19764</v>
      </c>
      <c r="AU67">
        <v>474.34</v>
      </c>
      <c r="AV67">
        <v>26108244</v>
      </c>
      <c r="AW67">
        <v>626603.14</v>
      </c>
    </row>
    <row r="68" spans="1:49" hidden="1" x14ac:dyDescent="0.35">
      <c r="A68">
        <v>5792110</v>
      </c>
      <c r="B68">
        <v>5010005792101</v>
      </c>
      <c r="D68">
        <v>20246852201</v>
      </c>
      <c r="E68" t="s">
        <v>249</v>
      </c>
      <c r="F68" t="s">
        <v>1</v>
      </c>
      <c r="G68" t="s">
        <v>250</v>
      </c>
      <c r="H68" t="s">
        <v>67</v>
      </c>
      <c r="I68">
        <v>6050</v>
      </c>
      <c r="J68">
        <v>1</v>
      </c>
      <c r="K68" t="s">
        <v>16</v>
      </c>
      <c r="L68">
        <v>11014</v>
      </c>
      <c r="M68" t="s">
        <v>232</v>
      </c>
      <c r="N68">
        <v>1</v>
      </c>
      <c r="O68" t="s">
        <v>125</v>
      </c>
      <c r="P68" t="s">
        <v>245</v>
      </c>
      <c r="Q68">
        <v>887.76</v>
      </c>
      <c r="R68">
        <v>36990</v>
      </c>
      <c r="S68">
        <v>137</v>
      </c>
      <c r="T68">
        <v>270</v>
      </c>
      <c r="U68">
        <v>26</v>
      </c>
      <c r="V68">
        <v>1321</v>
      </c>
      <c r="W68" t="s">
        <v>121</v>
      </c>
      <c r="X68" t="s">
        <v>1</v>
      </c>
      <c r="Y68">
        <v>1172730.96</v>
      </c>
      <c r="Z68">
        <v>48863790</v>
      </c>
      <c r="AA68">
        <v>356670</v>
      </c>
      <c r="AB68">
        <v>106</v>
      </c>
      <c r="AC68" s="34">
        <v>45895</v>
      </c>
      <c r="AD68" s="34">
        <v>46022</v>
      </c>
      <c r="AF68">
        <v>0</v>
      </c>
      <c r="AG68">
        <v>3622.32</v>
      </c>
      <c r="AH68">
        <v>0</v>
      </c>
      <c r="AI68">
        <v>4785084.72</v>
      </c>
      <c r="AJ68">
        <v>0</v>
      </c>
      <c r="AK68">
        <v>0</v>
      </c>
      <c r="AL68">
        <v>1201053.2</v>
      </c>
      <c r="AM68">
        <v>0</v>
      </c>
      <c r="AN68">
        <v>5986137.9199999999</v>
      </c>
      <c r="AO68" t="s">
        <v>122</v>
      </c>
      <c r="AP68">
        <v>15</v>
      </c>
      <c r="AQ68">
        <v>543.35</v>
      </c>
      <c r="AR68">
        <v>717765.35</v>
      </c>
      <c r="AT68">
        <v>22194</v>
      </c>
      <c r="AU68">
        <v>532.66</v>
      </c>
      <c r="AV68">
        <v>29318274</v>
      </c>
      <c r="AW68">
        <v>703643.86</v>
      </c>
    </row>
    <row r="69" spans="1:49" hidden="1" x14ac:dyDescent="0.35">
      <c r="A69">
        <v>5792110</v>
      </c>
      <c r="B69">
        <v>5010005792101</v>
      </c>
      <c r="D69">
        <v>20246852201</v>
      </c>
      <c r="E69" t="s">
        <v>249</v>
      </c>
      <c r="F69" t="s">
        <v>1</v>
      </c>
      <c r="G69" t="s">
        <v>24</v>
      </c>
      <c r="H69" t="s">
        <v>24</v>
      </c>
      <c r="I69">
        <v>6070</v>
      </c>
      <c r="J69">
        <v>1</v>
      </c>
      <c r="K69" t="s">
        <v>16</v>
      </c>
      <c r="L69">
        <v>11014</v>
      </c>
      <c r="M69" t="s">
        <v>232</v>
      </c>
      <c r="N69">
        <v>2</v>
      </c>
      <c r="O69" t="s">
        <v>125</v>
      </c>
      <c r="P69" t="s">
        <v>246</v>
      </c>
      <c r="Q69">
        <v>1080</v>
      </c>
      <c r="R69">
        <v>45000</v>
      </c>
      <c r="S69">
        <v>150</v>
      </c>
      <c r="T69">
        <v>300</v>
      </c>
      <c r="U69">
        <v>26</v>
      </c>
      <c r="V69">
        <v>1321</v>
      </c>
      <c r="W69" t="s">
        <v>121</v>
      </c>
      <c r="X69" t="s">
        <v>1</v>
      </c>
      <c r="Y69">
        <v>1426680</v>
      </c>
      <c r="Z69">
        <v>59445000</v>
      </c>
      <c r="AA69">
        <v>396300</v>
      </c>
      <c r="AB69">
        <v>106</v>
      </c>
      <c r="AC69" s="34">
        <v>45895</v>
      </c>
      <c r="AD69" s="34">
        <v>46022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 t="s">
        <v>122</v>
      </c>
      <c r="AT69">
        <v>27000</v>
      </c>
      <c r="AU69">
        <v>648</v>
      </c>
      <c r="AV69">
        <v>35667000</v>
      </c>
      <c r="AW69">
        <v>856008</v>
      </c>
    </row>
    <row r="70" spans="1:49" hidden="1" x14ac:dyDescent="0.35">
      <c r="A70">
        <v>5792110</v>
      </c>
      <c r="B70">
        <v>5010005792101</v>
      </c>
      <c r="D70">
        <v>20246852201</v>
      </c>
      <c r="E70" t="s">
        <v>249</v>
      </c>
      <c r="F70" t="s">
        <v>1</v>
      </c>
      <c r="G70" t="s">
        <v>24</v>
      </c>
      <c r="H70" t="s">
        <v>24</v>
      </c>
      <c r="I70">
        <v>6070</v>
      </c>
      <c r="J70">
        <v>1</v>
      </c>
      <c r="K70" t="s">
        <v>16</v>
      </c>
      <c r="L70">
        <v>11014</v>
      </c>
      <c r="M70" t="s">
        <v>232</v>
      </c>
      <c r="N70">
        <v>3</v>
      </c>
      <c r="O70" t="s">
        <v>125</v>
      </c>
      <c r="P70" t="s">
        <v>247</v>
      </c>
      <c r="Q70">
        <v>864</v>
      </c>
      <c r="R70">
        <v>36000</v>
      </c>
      <c r="S70">
        <v>120</v>
      </c>
      <c r="T70">
        <v>300</v>
      </c>
      <c r="U70">
        <v>26</v>
      </c>
      <c r="V70">
        <v>1321</v>
      </c>
      <c r="W70" t="s">
        <v>121</v>
      </c>
      <c r="X70" t="s">
        <v>1</v>
      </c>
      <c r="Y70">
        <v>1141344</v>
      </c>
      <c r="Z70">
        <v>47556000</v>
      </c>
      <c r="AA70">
        <v>396300</v>
      </c>
      <c r="AB70">
        <v>106</v>
      </c>
      <c r="AC70" s="34">
        <v>45895</v>
      </c>
      <c r="AD70" s="34">
        <v>46022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 t="s">
        <v>122</v>
      </c>
      <c r="AT70">
        <v>21600</v>
      </c>
      <c r="AU70">
        <v>518.4</v>
      </c>
      <c r="AV70">
        <v>28533600</v>
      </c>
      <c r="AW70">
        <v>684806.4</v>
      </c>
    </row>
    <row r="71" spans="1:49" hidden="1" x14ac:dyDescent="0.35">
      <c r="A71">
        <v>5792110</v>
      </c>
      <c r="B71">
        <v>5010005792101</v>
      </c>
      <c r="D71">
        <v>20246852201</v>
      </c>
      <c r="E71" t="s">
        <v>249</v>
      </c>
      <c r="F71" t="s">
        <v>1</v>
      </c>
      <c r="G71" t="s">
        <v>26</v>
      </c>
      <c r="H71" t="s">
        <v>26</v>
      </c>
      <c r="I71">
        <v>2700</v>
      </c>
      <c r="J71">
        <v>1</v>
      </c>
      <c r="K71" t="s">
        <v>16</v>
      </c>
      <c r="L71">
        <v>11014</v>
      </c>
      <c r="M71" t="s">
        <v>232</v>
      </c>
      <c r="N71">
        <v>4</v>
      </c>
      <c r="O71" t="s">
        <v>125</v>
      </c>
      <c r="P71" t="s">
        <v>251</v>
      </c>
      <c r="Q71">
        <v>790.56</v>
      </c>
      <c r="R71">
        <v>32940</v>
      </c>
      <c r="S71">
        <v>122</v>
      </c>
      <c r="T71">
        <v>270</v>
      </c>
      <c r="U71">
        <v>26</v>
      </c>
      <c r="V71">
        <v>1321</v>
      </c>
      <c r="W71" t="s">
        <v>121</v>
      </c>
      <c r="X71" t="s">
        <v>1</v>
      </c>
      <c r="Y71">
        <v>1044329.76</v>
      </c>
      <c r="Z71">
        <v>43513740</v>
      </c>
      <c r="AA71">
        <v>356670</v>
      </c>
      <c r="AB71">
        <v>106</v>
      </c>
      <c r="AC71" s="34">
        <v>45895</v>
      </c>
      <c r="AD71" s="34">
        <v>46022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 t="s">
        <v>122</v>
      </c>
      <c r="AT71">
        <v>19764</v>
      </c>
      <c r="AU71">
        <v>474.34</v>
      </c>
      <c r="AV71">
        <v>26108244</v>
      </c>
      <c r="AW71">
        <v>626603.14</v>
      </c>
    </row>
    <row r="72" spans="1:49" hidden="1" x14ac:dyDescent="0.35">
      <c r="A72">
        <v>5792210</v>
      </c>
      <c r="B72">
        <v>5010005792201</v>
      </c>
      <c r="D72">
        <v>20179187931</v>
      </c>
      <c r="E72" t="s">
        <v>252</v>
      </c>
      <c r="F72" t="s">
        <v>1</v>
      </c>
      <c r="G72" t="s">
        <v>244</v>
      </c>
      <c r="H72" t="s">
        <v>67</v>
      </c>
      <c r="I72">
        <v>6050</v>
      </c>
      <c r="J72">
        <v>1</v>
      </c>
      <c r="K72" t="s">
        <v>16</v>
      </c>
      <c r="L72">
        <v>11014</v>
      </c>
      <c r="M72" t="s">
        <v>232</v>
      </c>
      <c r="N72">
        <v>1</v>
      </c>
      <c r="O72" t="s">
        <v>125</v>
      </c>
      <c r="P72" t="s">
        <v>245</v>
      </c>
      <c r="Q72">
        <v>887.76</v>
      </c>
      <c r="R72">
        <v>36990</v>
      </c>
      <c r="S72">
        <v>137</v>
      </c>
      <c r="T72">
        <v>270</v>
      </c>
      <c r="U72">
        <v>26</v>
      </c>
      <c r="V72">
        <v>1321</v>
      </c>
      <c r="W72" t="s">
        <v>121</v>
      </c>
      <c r="X72" t="s">
        <v>1</v>
      </c>
      <c r="Y72">
        <v>1172730.96</v>
      </c>
      <c r="Z72">
        <v>48863790</v>
      </c>
      <c r="AA72">
        <v>356670</v>
      </c>
      <c r="AB72">
        <v>106</v>
      </c>
      <c r="AC72" s="34">
        <v>45895</v>
      </c>
      <c r="AD72" s="34">
        <v>46022</v>
      </c>
      <c r="AF72">
        <v>0</v>
      </c>
      <c r="AG72">
        <v>1678.32</v>
      </c>
      <c r="AH72">
        <v>0</v>
      </c>
      <c r="AI72">
        <v>2217060.7200000002</v>
      </c>
      <c r="AJ72">
        <v>0</v>
      </c>
      <c r="AK72">
        <v>0</v>
      </c>
      <c r="AL72">
        <v>556484.46</v>
      </c>
      <c r="AM72">
        <v>0</v>
      </c>
      <c r="AN72">
        <v>2773545.18</v>
      </c>
      <c r="AO72" t="s">
        <v>122</v>
      </c>
      <c r="AP72">
        <v>15</v>
      </c>
      <c r="AQ72">
        <v>251.75</v>
      </c>
      <c r="AR72">
        <v>332561.75</v>
      </c>
      <c r="AT72">
        <v>22194</v>
      </c>
      <c r="AU72">
        <v>532.66</v>
      </c>
      <c r="AV72">
        <v>29318274</v>
      </c>
      <c r="AW72">
        <v>703643.86</v>
      </c>
    </row>
    <row r="73" spans="1:49" hidden="1" x14ac:dyDescent="0.35">
      <c r="A73">
        <v>5792210</v>
      </c>
      <c r="B73">
        <v>5010005792201</v>
      </c>
      <c r="D73">
        <v>20179187931</v>
      </c>
      <c r="E73" t="s">
        <v>252</v>
      </c>
      <c r="F73" t="s">
        <v>1</v>
      </c>
      <c r="G73" t="s">
        <v>26</v>
      </c>
      <c r="H73" t="s">
        <v>26</v>
      </c>
      <c r="I73">
        <v>2700</v>
      </c>
      <c r="J73">
        <v>1</v>
      </c>
      <c r="K73" t="s">
        <v>16</v>
      </c>
      <c r="L73">
        <v>11014</v>
      </c>
      <c r="M73" t="s">
        <v>232</v>
      </c>
      <c r="N73">
        <v>2</v>
      </c>
      <c r="O73" t="s">
        <v>125</v>
      </c>
      <c r="P73" t="s">
        <v>251</v>
      </c>
      <c r="Q73">
        <v>790.56</v>
      </c>
      <c r="R73">
        <v>32940</v>
      </c>
      <c r="S73">
        <v>122</v>
      </c>
      <c r="T73">
        <v>270</v>
      </c>
      <c r="U73">
        <v>26</v>
      </c>
      <c r="V73">
        <v>1321</v>
      </c>
      <c r="W73" t="s">
        <v>121</v>
      </c>
      <c r="X73" t="s">
        <v>1</v>
      </c>
      <c r="Y73">
        <v>1044329.76</v>
      </c>
      <c r="Z73">
        <v>43513740</v>
      </c>
      <c r="AA73">
        <v>356670</v>
      </c>
      <c r="AB73">
        <v>106</v>
      </c>
      <c r="AC73" s="34">
        <v>45895</v>
      </c>
      <c r="AD73" s="34">
        <v>46022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 t="s">
        <v>122</v>
      </c>
      <c r="AT73">
        <v>19764</v>
      </c>
      <c r="AU73">
        <v>474.34</v>
      </c>
      <c r="AV73">
        <v>26108244</v>
      </c>
      <c r="AW73">
        <v>626603.14</v>
      </c>
    </row>
    <row r="74" spans="1:49" hidden="1" x14ac:dyDescent="0.35">
      <c r="A74">
        <v>5792310</v>
      </c>
      <c r="B74">
        <v>5010005792301</v>
      </c>
      <c r="D74">
        <v>33718618199</v>
      </c>
      <c r="E74" t="s">
        <v>253</v>
      </c>
      <c r="F74" t="s">
        <v>1</v>
      </c>
      <c r="G74" t="s">
        <v>24</v>
      </c>
      <c r="H74" t="s">
        <v>24</v>
      </c>
      <c r="I74">
        <v>6070</v>
      </c>
      <c r="J74">
        <v>1</v>
      </c>
      <c r="K74" t="s">
        <v>16</v>
      </c>
      <c r="L74">
        <v>11014</v>
      </c>
      <c r="M74" t="s">
        <v>232</v>
      </c>
      <c r="N74">
        <v>1</v>
      </c>
      <c r="O74" t="s">
        <v>125</v>
      </c>
      <c r="P74" t="s">
        <v>254</v>
      </c>
      <c r="Q74">
        <v>1776</v>
      </c>
      <c r="R74">
        <v>74000</v>
      </c>
      <c r="S74">
        <v>100</v>
      </c>
      <c r="T74">
        <v>740</v>
      </c>
      <c r="U74">
        <v>26</v>
      </c>
      <c r="V74">
        <v>1321</v>
      </c>
      <c r="W74" t="s">
        <v>121</v>
      </c>
      <c r="X74" t="s">
        <v>1</v>
      </c>
      <c r="Y74">
        <v>2346096</v>
      </c>
      <c r="Z74">
        <v>97754000</v>
      </c>
      <c r="AA74">
        <v>977540</v>
      </c>
      <c r="AB74">
        <v>106</v>
      </c>
      <c r="AC74" s="34">
        <v>45886</v>
      </c>
      <c r="AD74" s="34">
        <v>46022</v>
      </c>
      <c r="AF74">
        <v>1</v>
      </c>
      <c r="AG74">
        <v>1776</v>
      </c>
      <c r="AH74">
        <v>0</v>
      </c>
      <c r="AI74">
        <v>2346096</v>
      </c>
      <c r="AJ74">
        <v>0</v>
      </c>
      <c r="AK74">
        <v>0</v>
      </c>
      <c r="AL74">
        <v>588875.38</v>
      </c>
      <c r="AM74">
        <v>0</v>
      </c>
      <c r="AN74">
        <v>2934971.38</v>
      </c>
      <c r="AO74" t="s">
        <v>122</v>
      </c>
      <c r="AP74">
        <v>15</v>
      </c>
      <c r="AQ74">
        <v>266.39999999999998</v>
      </c>
      <c r="AR74">
        <v>351914.4</v>
      </c>
      <c r="AT74">
        <v>44400</v>
      </c>
      <c r="AU74">
        <v>1065.5999999999999</v>
      </c>
      <c r="AV74">
        <v>58652400</v>
      </c>
      <c r="AW74">
        <v>1407657.6</v>
      </c>
    </row>
    <row r="75" spans="1:49" hidden="1" x14ac:dyDescent="0.35">
      <c r="A75">
        <v>5792510</v>
      </c>
      <c r="B75">
        <v>1170005792501</v>
      </c>
      <c r="D75">
        <v>20126196793</v>
      </c>
      <c r="E75" t="s">
        <v>255</v>
      </c>
      <c r="F75" t="s">
        <v>1</v>
      </c>
      <c r="G75" t="s">
        <v>256</v>
      </c>
      <c r="H75" t="s">
        <v>71</v>
      </c>
      <c r="I75">
        <v>2520</v>
      </c>
      <c r="J75">
        <v>12</v>
      </c>
      <c r="K75" t="s">
        <v>34</v>
      </c>
      <c r="L75">
        <v>18076</v>
      </c>
      <c r="M75" t="s">
        <v>257</v>
      </c>
      <c r="N75">
        <v>1</v>
      </c>
      <c r="O75" t="s">
        <v>125</v>
      </c>
      <c r="P75" t="s">
        <v>258</v>
      </c>
      <c r="Q75">
        <v>980654.22</v>
      </c>
      <c r="R75">
        <v>39702600</v>
      </c>
      <c r="S75">
        <v>46</v>
      </c>
      <c r="T75">
        <v>863100</v>
      </c>
      <c r="U75">
        <v>1</v>
      </c>
      <c r="V75">
        <v>1</v>
      </c>
      <c r="W75" t="s">
        <v>127</v>
      </c>
      <c r="X75">
        <v>24660</v>
      </c>
      <c r="Y75">
        <v>980654.22</v>
      </c>
      <c r="Z75">
        <v>39702600</v>
      </c>
      <c r="AA75">
        <v>863100</v>
      </c>
      <c r="AB75">
        <v>214</v>
      </c>
      <c r="AC75" s="34">
        <v>45875</v>
      </c>
      <c r="AD75" s="34">
        <v>46022</v>
      </c>
      <c r="AF75">
        <v>0</v>
      </c>
      <c r="AG75">
        <v>980654.22</v>
      </c>
      <c r="AH75">
        <v>0</v>
      </c>
      <c r="AI75">
        <v>980654.22</v>
      </c>
      <c r="AJ75">
        <v>0</v>
      </c>
      <c r="AK75">
        <v>0</v>
      </c>
      <c r="AL75">
        <v>251047.47</v>
      </c>
      <c r="AM75">
        <v>0</v>
      </c>
      <c r="AN75">
        <v>1231701.69</v>
      </c>
      <c r="AO75" t="s">
        <v>122</v>
      </c>
      <c r="AP75">
        <v>15</v>
      </c>
      <c r="AQ75">
        <v>147098.14000000001</v>
      </c>
      <c r="AR75">
        <v>147098.14000000001</v>
      </c>
      <c r="AT75">
        <v>23821560</v>
      </c>
      <c r="AU75">
        <v>588392.53</v>
      </c>
      <c r="AV75">
        <v>23821560</v>
      </c>
      <c r="AW75">
        <v>588392.53</v>
      </c>
    </row>
    <row r="76" spans="1:49" hidden="1" x14ac:dyDescent="0.35">
      <c r="A76">
        <v>5792610</v>
      </c>
      <c r="B76">
        <v>1170005792601</v>
      </c>
      <c r="D76">
        <v>20111509701</v>
      </c>
      <c r="E76" t="s">
        <v>259</v>
      </c>
      <c r="F76" t="s">
        <v>1</v>
      </c>
      <c r="G76" t="s">
        <v>212</v>
      </c>
      <c r="H76" t="s">
        <v>59</v>
      </c>
      <c r="I76">
        <v>2637</v>
      </c>
      <c r="J76">
        <v>12</v>
      </c>
      <c r="K76" t="s">
        <v>34</v>
      </c>
      <c r="L76">
        <v>14218</v>
      </c>
      <c r="M76" t="s">
        <v>213</v>
      </c>
      <c r="N76">
        <v>1</v>
      </c>
      <c r="O76" t="s">
        <v>125</v>
      </c>
      <c r="P76" t="s">
        <v>260</v>
      </c>
      <c r="Q76">
        <v>989156.05</v>
      </c>
      <c r="R76">
        <v>23303700</v>
      </c>
      <c r="S76">
        <v>27</v>
      </c>
      <c r="T76">
        <v>863100</v>
      </c>
      <c r="U76">
        <v>1</v>
      </c>
      <c r="V76">
        <v>1</v>
      </c>
      <c r="W76" t="s">
        <v>127</v>
      </c>
      <c r="X76">
        <v>24660</v>
      </c>
      <c r="Y76">
        <v>989156.05</v>
      </c>
      <c r="Z76">
        <v>23303700</v>
      </c>
      <c r="AA76">
        <v>863100</v>
      </c>
      <c r="AB76">
        <v>214</v>
      </c>
      <c r="AC76" s="34">
        <v>45873</v>
      </c>
      <c r="AD76" s="34">
        <v>46022</v>
      </c>
      <c r="AE76" t="s">
        <v>134</v>
      </c>
      <c r="AF76">
        <v>0</v>
      </c>
      <c r="AG76">
        <v>989156.05</v>
      </c>
      <c r="AH76">
        <v>0</v>
      </c>
      <c r="AI76">
        <v>989156.05</v>
      </c>
      <c r="AJ76">
        <v>0</v>
      </c>
      <c r="AK76">
        <v>0</v>
      </c>
      <c r="AL76">
        <v>253223.95</v>
      </c>
      <c r="AM76">
        <v>0</v>
      </c>
      <c r="AN76">
        <v>1242380</v>
      </c>
      <c r="AO76" t="s">
        <v>122</v>
      </c>
      <c r="AP76">
        <v>15</v>
      </c>
      <c r="AQ76">
        <v>148373.41</v>
      </c>
      <c r="AR76">
        <v>148373.41</v>
      </c>
      <c r="AT76">
        <v>13982220</v>
      </c>
      <c r="AU76">
        <v>593493.63</v>
      </c>
      <c r="AV76">
        <v>13982220</v>
      </c>
      <c r="AW76">
        <v>593493.63</v>
      </c>
    </row>
    <row r="77" spans="1:49" hidden="1" x14ac:dyDescent="0.35">
      <c r="A77">
        <v>5792710</v>
      </c>
      <c r="B77">
        <v>1170005792701</v>
      </c>
      <c r="D77">
        <v>20176680734</v>
      </c>
      <c r="E77" t="s">
        <v>261</v>
      </c>
      <c r="F77" t="s">
        <v>1</v>
      </c>
      <c r="G77" t="s">
        <v>62</v>
      </c>
      <c r="H77" t="s">
        <v>62</v>
      </c>
      <c r="I77">
        <v>3018</v>
      </c>
      <c r="J77">
        <v>12</v>
      </c>
      <c r="K77" t="s">
        <v>34</v>
      </c>
      <c r="L77">
        <v>7464</v>
      </c>
      <c r="M77" t="s">
        <v>241</v>
      </c>
      <c r="N77">
        <v>1</v>
      </c>
      <c r="O77" t="s">
        <v>125</v>
      </c>
      <c r="P77" t="s">
        <v>262</v>
      </c>
      <c r="Q77">
        <v>1037692.8</v>
      </c>
      <c r="R77">
        <v>40689000</v>
      </c>
      <c r="S77">
        <v>66</v>
      </c>
      <c r="T77">
        <v>616500</v>
      </c>
      <c r="U77">
        <v>1</v>
      </c>
      <c r="V77">
        <v>1</v>
      </c>
      <c r="W77" t="s">
        <v>127</v>
      </c>
      <c r="X77">
        <v>24660</v>
      </c>
      <c r="Y77">
        <v>1037692.8</v>
      </c>
      <c r="Z77">
        <v>40689000</v>
      </c>
      <c r="AA77">
        <v>616500</v>
      </c>
      <c r="AB77">
        <v>105</v>
      </c>
      <c r="AC77" s="34">
        <v>45895</v>
      </c>
      <c r="AD77" s="34">
        <v>46022</v>
      </c>
      <c r="AF77">
        <v>0</v>
      </c>
      <c r="AG77">
        <v>1037692.8</v>
      </c>
      <c r="AH77">
        <v>0</v>
      </c>
      <c r="AI77">
        <v>1037692.8</v>
      </c>
      <c r="AJ77">
        <v>0</v>
      </c>
      <c r="AK77">
        <v>0</v>
      </c>
      <c r="AL77">
        <v>265649.34000000003</v>
      </c>
      <c r="AM77">
        <v>0</v>
      </c>
      <c r="AN77">
        <v>1303342.1399999999</v>
      </c>
      <c r="AO77" t="s">
        <v>122</v>
      </c>
      <c r="AP77">
        <v>12</v>
      </c>
      <c r="AQ77">
        <v>124523.14</v>
      </c>
      <c r="AR77">
        <v>124523.14</v>
      </c>
      <c r="AT77">
        <v>24413400</v>
      </c>
      <c r="AU77">
        <v>622615.68000000005</v>
      </c>
      <c r="AV77">
        <v>24413400</v>
      </c>
      <c r="AW77">
        <v>622615.68000000005</v>
      </c>
    </row>
    <row r="78" spans="1:49" hidden="1" x14ac:dyDescent="0.35">
      <c r="A78">
        <v>5792810</v>
      </c>
      <c r="B78">
        <v>1170005792801</v>
      </c>
      <c r="D78">
        <v>30708085916</v>
      </c>
      <c r="E78" t="s">
        <v>218</v>
      </c>
      <c r="F78" t="s">
        <v>1</v>
      </c>
      <c r="G78" t="s">
        <v>263</v>
      </c>
      <c r="H78" t="s">
        <v>263</v>
      </c>
      <c r="I78">
        <v>2200</v>
      </c>
      <c r="J78">
        <v>12</v>
      </c>
      <c r="K78" t="s">
        <v>34</v>
      </c>
      <c r="L78">
        <v>13733</v>
      </c>
      <c r="M78" t="s">
        <v>220</v>
      </c>
      <c r="N78">
        <v>1</v>
      </c>
      <c r="O78" t="s">
        <v>125</v>
      </c>
      <c r="P78" t="s">
        <v>264</v>
      </c>
      <c r="Q78">
        <v>515.20000000000005</v>
      </c>
      <c r="R78">
        <v>18400</v>
      </c>
      <c r="S78">
        <v>46</v>
      </c>
      <c r="T78">
        <v>400</v>
      </c>
      <c r="U78">
        <v>26</v>
      </c>
      <c r="V78">
        <v>1362</v>
      </c>
      <c r="W78" t="s">
        <v>121</v>
      </c>
      <c r="X78" t="s">
        <v>1</v>
      </c>
      <c r="Y78">
        <v>701702.4</v>
      </c>
      <c r="Z78">
        <v>25060800</v>
      </c>
      <c r="AA78">
        <v>544800</v>
      </c>
      <c r="AB78">
        <v>214</v>
      </c>
      <c r="AC78" s="34">
        <v>45896</v>
      </c>
      <c r="AD78" s="34">
        <v>46022</v>
      </c>
      <c r="AE78" t="s">
        <v>161</v>
      </c>
      <c r="AF78">
        <v>0</v>
      </c>
      <c r="AG78">
        <v>515.20000000000005</v>
      </c>
      <c r="AH78">
        <v>0</v>
      </c>
      <c r="AI78">
        <v>701702.4</v>
      </c>
      <c r="AJ78">
        <v>0</v>
      </c>
      <c r="AK78">
        <v>0</v>
      </c>
      <c r="AL78">
        <v>179647.8</v>
      </c>
      <c r="AM78">
        <v>0</v>
      </c>
      <c r="AN78">
        <v>881350.2</v>
      </c>
      <c r="AO78" t="s">
        <v>122</v>
      </c>
      <c r="AP78">
        <v>15</v>
      </c>
      <c r="AQ78">
        <v>77.28</v>
      </c>
      <c r="AR78">
        <v>105255.36</v>
      </c>
      <c r="AT78">
        <v>11040</v>
      </c>
      <c r="AU78">
        <v>309.12</v>
      </c>
      <c r="AV78">
        <v>15036480</v>
      </c>
      <c r="AW78">
        <v>421021.44</v>
      </c>
    </row>
    <row r="79" spans="1:49" hidden="1" x14ac:dyDescent="0.35">
      <c r="A79">
        <v>5792910</v>
      </c>
      <c r="B79">
        <v>1150005792901</v>
      </c>
      <c r="D79">
        <v>30716951193</v>
      </c>
      <c r="E79" t="s">
        <v>265</v>
      </c>
      <c r="F79" t="s">
        <v>1</v>
      </c>
      <c r="G79" t="s">
        <v>266</v>
      </c>
      <c r="H79" t="s">
        <v>266</v>
      </c>
      <c r="I79">
        <v>5127</v>
      </c>
      <c r="J79">
        <v>3</v>
      </c>
      <c r="K79" t="s">
        <v>32</v>
      </c>
      <c r="L79">
        <v>88026</v>
      </c>
      <c r="M79" t="s">
        <v>267</v>
      </c>
      <c r="N79">
        <v>1</v>
      </c>
      <c r="O79" t="s">
        <v>125</v>
      </c>
      <c r="P79" t="s">
        <v>268</v>
      </c>
      <c r="Q79">
        <v>1393228.35</v>
      </c>
      <c r="R79">
        <v>34400700</v>
      </c>
      <c r="S79">
        <v>93</v>
      </c>
      <c r="T79">
        <v>369900</v>
      </c>
      <c r="U79">
        <v>1</v>
      </c>
      <c r="V79">
        <v>1</v>
      </c>
      <c r="W79" t="s">
        <v>127</v>
      </c>
      <c r="X79">
        <v>24660</v>
      </c>
      <c r="Y79">
        <v>1393228.35</v>
      </c>
      <c r="Z79">
        <v>34400700</v>
      </c>
      <c r="AA79">
        <v>369900</v>
      </c>
      <c r="AB79">
        <v>214</v>
      </c>
      <c r="AC79" s="34">
        <v>45888</v>
      </c>
      <c r="AD79" s="34">
        <v>46022</v>
      </c>
      <c r="AE79" t="s">
        <v>161</v>
      </c>
      <c r="AF79">
        <v>0</v>
      </c>
      <c r="AG79">
        <v>1393228.35</v>
      </c>
      <c r="AH79">
        <v>0</v>
      </c>
      <c r="AI79">
        <v>1393228.35</v>
      </c>
      <c r="AJ79">
        <v>0</v>
      </c>
      <c r="AK79">
        <v>0</v>
      </c>
      <c r="AL79">
        <v>363632.59</v>
      </c>
      <c r="AM79">
        <v>0</v>
      </c>
      <c r="AN79">
        <v>1756860.94</v>
      </c>
      <c r="AO79" t="s">
        <v>122</v>
      </c>
      <c r="AP79">
        <v>15</v>
      </c>
      <c r="AQ79">
        <v>208984.26</v>
      </c>
      <c r="AR79">
        <v>208984.26</v>
      </c>
      <c r="AT79">
        <v>20640420</v>
      </c>
      <c r="AU79">
        <v>835937.01</v>
      </c>
      <c r="AV79">
        <v>20640420</v>
      </c>
      <c r="AW79">
        <v>835937.01</v>
      </c>
    </row>
    <row r="80" spans="1:49" hidden="1" x14ac:dyDescent="0.35">
      <c r="A80">
        <v>5793110</v>
      </c>
      <c r="B80">
        <v>1250005793101</v>
      </c>
      <c r="D80">
        <v>20108895439</v>
      </c>
      <c r="E80" t="s">
        <v>269</v>
      </c>
      <c r="F80" t="s">
        <v>1</v>
      </c>
      <c r="G80" t="s">
        <v>270</v>
      </c>
      <c r="H80" t="s">
        <v>23</v>
      </c>
      <c r="I80">
        <v>6105</v>
      </c>
      <c r="J80">
        <v>1</v>
      </c>
      <c r="K80" t="s">
        <v>16</v>
      </c>
      <c r="L80">
        <v>4401</v>
      </c>
      <c r="M80" t="s">
        <v>132</v>
      </c>
      <c r="N80">
        <v>1</v>
      </c>
      <c r="O80" t="s">
        <v>125</v>
      </c>
      <c r="P80" t="s">
        <v>271</v>
      </c>
      <c r="Q80">
        <v>2736</v>
      </c>
      <c r="R80">
        <v>68400</v>
      </c>
      <c r="S80">
        <v>114</v>
      </c>
      <c r="T80">
        <v>600</v>
      </c>
      <c r="U80">
        <v>26</v>
      </c>
      <c r="V80">
        <v>1356.5</v>
      </c>
      <c r="W80" t="s">
        <v>121</v>
      </c>
      <c r="X80" t="s">
        <v>1</v>
      </c>
      <c r="Y80">
        <v>3711384</v>
      </c>
      <c r="Z80">
        <v>92784600</v>
      </c>
      <c r="AA80">
        <v>813900</v>
      </c>
      <c r="AB80">
        <v>214</v>
      </c>
      <c r="AC80" s="34">
        <v>45882</v>
      </c>
      <c r="AD80" s="34">
        <v>46022</v>
      </c>
      <c r="AF80">
        <v>0</v>
      </c>
      <c r="AG80">
        <v>2736</v>
      </c>
      <c r="AH80">
        <v>0</v>
      </c>
      <c r="AI80">
        <v>3711384</v>
      </c>
      <c r="AJ80">
        <v>0</v>
      </c>
      <c r="AK80">
        <v>0</v>
      </c>
      <c r="AL80">
        <v>931562.81</v>
      </c>
      <c r="AM80">
        <v>0</v>
      </c>
      <c r="AN80">
        <v>4642946.8099999996</v>
      </c>
      <c r="AO80" t="s">
        <v>122</v>
      </c>
      <c r="AP80">
        <v>15</v>
      </c>
      <c r="AQ80">
        <v>410.4</v>
      </c>
      <c r="AR80">
        <v>556707.6</v>
      </c>
      <c r="AT80">
        <v>41040</v>
      </c>
      <c r="AU80">
        <v>1641.6</v>
      </c>
      <c r="AV80">
        <v>55670760</v>
      </c>
      <c r="AW80">
        <v>2226830.4</v>
      </c>
    </row>
    <row r="81" spans="1:49" hidden="1" x14ac:dyDescent="0.35">
      <c r="A81">
        <v>5793210</v>
      </c>
      <c r="B81">
        <v>1090005793201</v>
      </c>
      <c r="D81">
        <v>27137238654</v>
      </c>
      <c r="E81" t="s">
        <v>272</v>
      </c>
      <c r="F81" t="s">
        <v>1</v>
      </c>
      <c r="G81" t="s">
        <v>273</v>
      </c>
      <c r="H81" t="s">
        <v>19</v>
      </c>
      <c r="I81">
        <v>8185</v>
      </c>
      <c r="J81">
        <v>1</v>
      </c>
      <c r="K81" t="s">
        <v>16</v>
      </c>
      <c r="L81">
        <v>6039</v>
      </c>
      <c r="M81" t="s">
        <v>274</v>
      </c>
      <c r="N81">
        <v>1</v>
      </c>
      <c r="O81" t="s">
        <v>125</v>
      </c>
      <c r="P81" t="s">
        <v>275</v>
      </c>
      <c r="Q81">
        <v>574</v>
      </c>
      <c r="R81">
        <v>20000</v>
      </c>
      <c r="S81">
        <v>40</v>
      </c>
      <c r="T81">
        <v>500</v>
      </c>
      <c r="U81">
        <v>26</v>
      </c>
      <c r="V81">
        <v>1356.5</v>
      </c>
      <c r="W81" t="s">
        <v>121</v>
      </c>
      <c r="X81" t="s">
        <v>1</v>
      </c>
      <c r="Y81">
        <v>778631</v>
      </c>
      <c r="Z81">
        <v>27130000</v>
      </c>
      <c r="AA81">
        <v>678250</v>
      </c>
      <c r="AB81">
        <v>106</v>
      </c>
      <c r="AC81" s="34">
        <v>45897</v>
      </c>
      <c r="AD81" s="34">
        <v>46053</v>
      </c>
      <c r="AF81">
        <v>0</v>
      </c>
      <c r="AG81">
        <v>932.75</v>
      </c>
      <c r="AH81">
        <v>0</v>
      </c>
      <c r="AI81">
        <v>1265275.3799999999</v>
      </c>
      <c r="AJ81">
        <v>0</v>
      </c>
      <c r="AK81">
        <v>0</v>
      </c>
      <c r="AL81">
        <v>317583.78000000003</v>
      </c>
      <c r="AM81">
        <v>0</v>
      </c>
      <c r="AN81">
        <v>1582859.16</v>
      </c>
      <c r="AO81" t="s">
        <v>122</v>
      </c>
      <c r="AP81">
        <v>12</v>
      </c>
      <c r="AQ81">
        <v>111.93</v>
      </c>
      <c r="AR81">
        <v>151833.04999999999</v>
      </c>
      <c r="AT81">
        <v>12000</v>
      </c>
      <c r="AU81">
        <v>344.4</v>
      </c>
      <c r="AV81">
        <v>16278000</v>
      </c>
      <c r="AW81">
        <v>467178.6</v>
      </c>
    </row>
    <row r="82" spans="1:49" hidden="1" x14ac:dyDescent="0.35">
      <c r="A82">
        <v>5793210</v>
      </c>
      <c r="B82">
        <v>1090005793201</v>
      </c>
      <c r="D82">
        <v>27137238654</v>
      </c>
      <c r="E82" t="s">
        <v>272</v>
      </c>
      <c r="F82" t="s">
        <v>1</v>
      </c>
      <c r="G82" t="s">
        <v>273</v>
      </c>
      <c r="H82" t="s">
        <v>19</v>
      </c>
      <c r="I82">
        <v>8185</v>
      </c>
      <c r="J82">
        <v>1</v>
      </c>
      <c r="K82" t="s">
        <v>16</v>
      </c>
      <c r="L82">
        <v>6039</v>
      </c>
      <c r="M82" t="s">
        <v>274</v>
      </c>
      <c r="N82">
        <v>2</v>
      </c>
      <c r="O82" t="s">
        <v>125</v>
      </c>
      <c r="P82" t="s">
        <v>276</v>
      </c>
      <c r="Q82">
        <v>358.75</v>
      </c>
      <c r="R82">
        <v>12500</v>
      </c>
      <c r="S82">
        <v>25</v>
      </c>
      <c r="T82">
        <v>500</v>
      </c>
      <c r="U82">
        <v>26</v>
      </c>
      <c r="V82">
        <v>1356.5</v>
      </c>
      <c r="W82" t="s">
        <v>121</v>
      </c>
      <c r="X82" t="s">
        <v>1</v>
      </c>
      <c r="Y82">
        <v>486644.38</v>
      </c>
      <c r="Z82">
        <v>16956250</v>
      </c>
      <c r="AA82">
        <v>678250</v>
      </c>
      <c r="AB82">
        <v>106</v>
      </c>
      <c r="AC82" s="34">
        <v>45897</v>
      </c>
      <c r="AD82" s="34">
        <v>46053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 t="s">
        <v>122</v>
      </c>
      <c r="AT82">
        <v>7500</v>
      </c>
      <c r="AU82">
        <v>215.25</v>
      </c>
      <c r="AV82">
        <v>10173750</v>
      </c>
      <c r="AW82">
        <v>291986.63</v>
      </c>
    </row>
    <row r="83" spans="1:49" hidden="1" x14ac:dyDescent="0.35">
      <c r="A83">
        <v>5793310</v>
      </c>
      <c r="B83">
        <v>1090005793301</v>
      </c>
      <c r="D83">
        <v>20298600014</v>
      </c>
      <c r="E83" t="s">
        <v>277</v>
      </c>
      <c r="F83" t="s">
        <v>1</v>
      </c>
      <c r="G83" t="s">
        <v>278</v>
      </c>
      <c r="H83" t="s">
        <v>27</v>
      </c>
      <c r="I83">
        <v>8183</v>
      </c>
      <c r="J83">
        <v>1</v>
      </c>
      <c r="K83" t="s">
        <v>16</v>
      </c>
      <c r="L83">
        <v>6039</v>
      </c>
      <c r="M83" t="s">
        <v>274</v>
      </c>
      <c r="N83">
        <v>1</v>
      </c>
      <c r="O83" t="s">
        <v>125</v>
      </c>
      <c r="P83" t="s">
        <v>279</v>
      </c>
      <c r="Q83">
        <v>1222.3900000000001</v>
      </c>
      <c r="R83">
        <v>34000</v>
      </c>
      <c r="S83">
        <v>85</v>
      </c>
      <c r="T83">
        <v>400</v>
      </c>
      <c r="U83">
        <v>26</v>
      </c>
      <c r="V83">
        <v>1356.5</v>
      </c>
      <c r="W83" t="s">
        <v>121</v>
      </c>
      <c r="X83" t="s">
        <v>1</v>
      </c>
      <c r="Y83">
        <v>1658172.04</v>
      </c>
      <c r="Z83">
        <v>46121000</v>
      </c>
      <c r="AA83">
        <v>542600</v>
      </c>
      <c r="AB83">
        <v>106</v>
      </c>
      <c r="AC83" s="34">
        <v>45890</v>
      </c>
      <c r="AD83" s="34">
        <v>46053</v>
      </c>
      <c r="AE83" t="s">
        <v>134</v>
      </c>
      <c r="AF83">
        <v>1</v>
      </c>
      <c r="AG83">
        <v>2181.4499999999998</v>
      </c>
      <c r="AH83">
        <v>0</v>
      </c>
      <c r="AI83">
        <v>2959136.93</v>
      </c>
      <c r="AJ83">
        <v>0</v>
      </c>
      <c r="AK83">
        <v>0</v>
      </c>
      <c r="AL83">
        <v>653968.65</v>
      </c>
      <c r="AM83">
        <v>0</v>
      </c>
      <c r="AN83">
        <v>3613105.58</v>
      </c>
      <c r="AO83" t="s">
        <v>122</v>
      </c>
      <c r="AP83">
        <v>12</v>
      </c>
      <c r="AQ83">
        <v>261.77</v>
      </c>
      <c r="AR83">
        <v>355091.01</v>
      </c>
      <c r="AT83">
        <v>20400</v>
      </c>
      <c r="AU83">
        <v>733.44</v>
      </c>
      <c r="AV83">
        <v>27672600</v>
      </c>
      <c r="AW83">
        <v>994911.36</v>
      </c>
    </row>
    <row r="84" spans="1:49" hidden="1" x14ac:dyDescent="0.35">
      <c r="A84">
        <v>5793310</v>
      </c>
      <c r="B84">
        <v>1090005793301</v>
      </c>
      <c r="D84">
        <v>20298600014</v>
      </c>
      <c r="E84" t="s">
        <v>277</v>
      </c>
      <c r="F84" t="s">
        <v>1</v>
      </c>
      <c r="G84" t="s">
        <v>278</v>
      </c>
      <c r="H84" t="s">
        <v>27</v>
      </c>
      <c r="I84">
        <v>8183</v>
      </c>
      <c r="J84">
        <v>1</v>
      </c>
      <c r="K84" t="s">
        <v>16</v>
      </c>
      <c r="L84">
        <v>6039</v>
      </c>
      <c r="M84" t="s">
        <v>274</v>
      </c>
      <c r="N84">
        <v>2</v>
      </c>
      <c r="O84" t="s">
        <v>125</v>
      </c>
      <c r="P84" t="s">
        <v>280</v>
      </c>
      <c r="Q84">
        <v>959.06</v>
      </c>
      <c r="R84">
        <v>21600</v>
      </c>
      <c r="S84">
        <v>54</v>
      </c>
      <c r="T84">
        <v>400</v>
      </c>
      <c r="U84">
        <v>26</v>
      </c>
      <c r="V84">
        <v>1356.5</v>
      </c>
      <c r="W84" t="s">
        <v>121</v>
      </c>
      <c r="X84" t="s">
        <v>1</v>
      </c>
      <c r="Y84">
        <v>1300964.8899999999</v>
      </c>
      <c r="Z84">
        <v>29300400</v>
      </c>
      <c r="AA84">
        <v>542600</v>
      </c>
      <c r="AB84">
        <v>106</v>
      </c>
      <c r="AC84" s="34">
        <v>45890</v>
      </c>
      <c r="AD84" s="34">
        <v>46053</v>
      </c>
      <c r="AE84" t="s">
        <v>134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 t="s">
        <v>122</v>
      </c>
      <c r="AT84">
        <v>12960</v>
      </c>
      <c r="AU84">
        <v>575.44000000000005</v>
      </c>
      <c r="AV84">
        <v>17580240</v>
      </c>
      <c r="AW84">
        <v>780584.36</v>
      </c>
    </row>
    <row r="85" spans="1:49" hidden="1" x14ac:dyDescent="0.35">
      <c r="A85">
        <v>5793410</v>
      </c>
      <c r="B85">
        <v>1250005793401</v>
      </c>
      <c r="D85">
        <v>30518936405</v>
      </c>
      <c r="E85" t="s">
        <v>281</v>
      </c>
      <c r="F85" t="s">
        <v>1</v>
      </c>
      <c r="G85" t="s">
        <v>282</v>
      </c>
      <c r="H85" t="s">
        <v>48</v>
      </c>
      <c r="I85">
        <v>6125</v>
      </c>
      <c r="J85">
        <v>3</v>
      </c>
      <c r="K85" t="s">
        <v>32</v>
      </c>
      <c r="L85">
        <v>4401</v>
      </c>
      <c r="M85" t="s">
        <v>132</v>
      </c>
      <c r="N85">
        <v>1</v>
      </c>
      <c r="O85" t="s">
        <v>125</v>
      </c>
      <c r="P85" t="s">
        <v>283</v>
      </c>
      <c r="Q85">
        <v>14615.48</v>
      </c>
      <c r="R85">
        <v>239598</v>
      </c>
      <c r="S85">
        <v>399.33</v>
      </c>
      <c r="T85">
        <v>600</v>
      </c>
      <c r="U85">
        <v>26</v>
      </c>
      <c r="V85">
        <v>1356.5</v>
      </c>
      <c r="W85" t="s">
        <v>121</v>
      </c>
      <c r="X85" t="s">
        <v>1</v>
      </c>
      <c r="Y85">
        <v>19825898.620000001</v>
      </c>
      <c r="Z85">
        <v>325014687</v>
      </c>
      <c r="AA85">
        <v>813900</v>
      </c>
      <c r="AB85">
        <v>214</v>
      </c>
      <c r="AC85" s="34">
        <v>45882</v>
      </c>
      <c r="AD85" s="34">
        <v>46022</v>
      </c>
      <c r="AF85">
        <v>0</v>
      </c>
      <c r="AG85">
        <v>14615.48</v>
      </c>
      <c r="AH85">
        <v>0</v>
      </c>
      <c r="AI85">
        <v>19825898.620000001</v>
      </c>
      <c r="AJ85">
        <v>0</v>
      </c>
      <c r="AK85">
        <v>0</v>
      </c>
      <c r="AL85">
        <v>5174545.5999999996</v>
      </c>
      <c r="AM85">
        <v>0</v>
      </c>
      <c r="AN85">
        <v>25000444.219999999</v>
      </c>
      <c r="AO85" t="s">
        <v>122</v>
      </c>
      <c r="AP85">
        <v>15</v>
      </c>
      <c r="AQ85">
        <v>2192.3200000000002</v>
      </c>
      <c r="AR85">
        <v>2973882.08</v>
      </c>
      <c r="AT85">
        <v>143758.79999999999</v>
      </c>
      <c r="AU85">
        <v>8769.2900000000009</v>
      </c>
      <c r="AV85">
        <v>195008812.19999999</v>
      </c>
      <c r="AW85">
        <v>11895541.890000001</v>
      </c>
    </row>
    <row r="86" spans="1:49" hidden="1" x14ac:dyDescent="0.35">
      <c r="A86">
        <v>5793510</v>
      </c>
      <c r="B86">
        <v>1250005793501</v>
      </c>
      <c r="D86">
        <v>30708858907</v>
      </c>
      <c r="E86" t="s">
        <v>284</v>
      </c>
      <c r="F86" t="s">
        <v>1</v>
      </c>
      <c r="G86" t="s">
        <v>282</v>
      </c>
      <c r="H86" t="s">
        <v>48</v>
      </c>
      <c r="I86">
        <v>6125</v>
      </c>
      <c r="J86">
        <v>3</v>
      </c>
      <c r="K86" t="s">
        <v>32</v>
      </c>
      <c r="L86">
        <v>4401</v>
      </c>
      <c r="M86" t="s">
        <v>132</v>
      </c>
      <c r="N86">
        <v>1</v>
      </c>
      <c r="O86" t="s">
        <v>125</v>
      </c>
      <c r="P86" t="s">
        <v>285</v>
      </c>
      <c r="Q86">
        <v>2007.5</v>
      </c>
      <c r="R86">
        <v>36500</v>
      </c>
      <c r="S86">
        <v>73</v>
      </c>
      <c r="T86">
        <v>500</v>
      </c>
      <c r="U86">
        <v>26</v>
      </c>
      <c r="V86">
        <v>1356.5</v>
      </c>
      <c r="W86" t="s">
        <v>121</v>
      </c>
      <c r="X86" t="s">
        <v>1</v>
      </c>
      <c r="Y86">
        <v>2723173.75</v>
      </c>
      <c r="Z86">
        <v>49512250</v>
      </c>
      <c r="AA86">
        <v>678250</v>
      </c>
      <c r="AB86">
        <v>214</v>
      </c>
      <c r="AC86" s="34">
        <v>45882</v>
      </c>
      <c r="AD86" s="34">
        <v>46022</v>
      </c>
      <c r="AF86">
        <v>0</v>
      </c>
      <c r="AG86">
        <v>2007.5</v>
      </c>
      <c r="AH86">
        <v>0</v>
      </c>
      <c r="AI86">
        <v>2723173.75</v>
      </c>
      <c r="AJ86">
        <v>0</v>
      </c>
      <c r="AK86">
        <v>0</v>
      </c>
      <c r="AL86">
        <v>713736.04</v>
      </c>
      <c r="AM86">
        <v>0</v>
      </c>
      <c r="AN86">
        <v>3436909.79</v>
      </c>
      <c r="AO86" t="s">
        <v>122</v>
      </c>
      <c r="AP86">
        <v>15</v>
      </c>
      <c r="AQ86">
        <v>301.13</v>
      </c>
      <c r="AR86">
        <v>408482.85</v>
      </c>
      <c r="AT86">
        <v>21900</v>
      </c>
      <c r="AU86">
        <v>1204.5</v>
      </c>
      <c r="AV86">
        <v>29707350</v>
      </c>
      <c r="AW86">
        <v>1633904.25</v>
      </c>
    </row>
    <row r="87" spans="1:49" hidden="1" x14ac:dyDescent="0.35">
      <c r="A87">
        <v>5793610</v>
      </c>
      <c r="B87">
        <v>1250005793601</v>
      </c>
      <c r="D87">
        <v>30518936405</v>
      </c>
      <c r="E87" t="s">
        <v>281</v>
      </c>
      <c r="F87" t="s">
        <v>1</v>
      </c>
      <c r="G87" t="s">
        <v>131</v>
      </c>
      <c r="H87" t="s">
        <v>23</v>
      </c>
      <c r="I87">
        <v>6105</v>
      </c>
      <c r="J87">
        <v>1</v>
      </c>
      <c r="K87" t="s">
        <v>16</v>
      </c>
      <c r="L87">
        <v>4401</v>
      </c>
      <c r="M87" t="s">
        <v>132</v>
      </c>
      <c r="N87">
        <v>1</v>
      </c>
      <c r="O87" t="s">
        <v>125</v>
      </c>
      <c r="P87" t="s">
        <v>286</v>
      </c>
      <c r="Q87">
        <v>6077.4</v>
      </c>
      <c r="R87">
        <v>110500</v>
      </c>
      <c r="S87">
        <v>221</v>
      </c>
      <c r="T87">
        <v>500</v>
      </c>
      <c r="U87">
        <v>26</v>
      </c>
      <c r="V87">
        <v>1356.5</v>
      </c>
      <c r="W87" t="s">
        <v>121</v>
      </c>
      <c r="X87" t="s">
        <v>1</v>
      </c>
      <c r="Y87">
        <v>8243993.0999999996</v>
      </c>
      <c r="Z87">
        <v>149893250</v>
      </c>
      <c r="AA87">
        <v>678250</v>
      </c>
      <c r="AB87">
        <v>214</v>
      </c>
      <c r="AC87" s="34">
        <v>45882</v>
      </c>
      <c r="AD87" s="34">
        <v>46022</v>
      </c>
      <c r="AE87" t="s">
        <v>134</v>
      </c>
      <c r="AF87">
        <v>0</v>
      </c>
      <c r="AG87">
        <v>6077.4</v>
      </c>
      <c r="AH87">
        <v>0</v>
      </c>
      <c r="AI87">
        <v>8243993.0999999996</v>
      </c>
      <c r="AJ87">
        <v>0</v>
      </c>
      <c r="AK87">
        <v>0</v>
      </c>
      <c r="AL87">
        <v>2069245.8</v>
      </c>
      <c r="AM87">
        <v>0</v>
      </c>
      <c r="AN87">
        <v>10313238.9</v>
      </c>
      <c r="AO87" t="s">
        <v>122</v>
      </c>
      <c r="AP87">
        <v>15</v>
      </c>
      <c r="AQ87">
        <v>911.61</v>
      </c>
      <c r="AR87">
        <v>1236598.97</v>
      </c>
      <c r="AT87">
        <v>66300</v>
      </c>
      <c r="AU87">
        <v>3646.44</v>
      </c>
      <c r="AV87">
        <v>89935950</v>
      </c>
      <c r="AW87">
        <v>4946395.8600000003</v>
      </c>
    </row>
    <row r="88" spans="1:49" hidden="1" x14ac:dyDescent="0.35">
      <c r="A88">
        <v>5793710</v>
      </c>
      <c r="B88">
        <v>5010005793701</v>
      </c>
      <c r="D88">
        <v>30614483179</v>
      </c>
      <c r="E88" t="s">
        <v>287</v>
      </c>
      <c r="F88" t="s">
        <v>1</v>
      </c>
      <c r="G88" t="s">
        <v>24</v>
      </c>
      <c r="H88" t="s">
        <v>24</v>
      </c>
      <c r="I88">
        <v>6070</v>
      </c>
      <c r="J88">
        <v>1</v>
      </c>
      <c r="K88" t="s">
        <v>16</v>
      </c>
      <c r="L88">
        <v>11014</v>
      </c>
      <c r="M88" t="s">
        <v>232</v>
      </c>
      <c r="N88">
        <v>1</v>
      </c>
      <c r="O88" t="s">
        <v>125</v>
      </c>
      <c r="P88" t="s">
        <v>288</v>
      </c>
      <c r="Q88">
        <v>2649.6</v>
      </c>
      <c r="R88">
        <v>110400</v>
      </c>
      <c r="S88">
        <v>184</v>
      </c>
      <c r="T88">
        <v>600</v>
      </c>
      <c r="U88">
        <v>26</v>
      </c>
      <c r="V88">
        <v>1356.5</v>
      </c>
      <c r="W88" t="s">
        <v>121</v>
      </c>
      <c r="X88" t="s">
        <v>1</v>
      </c>
      <c r="Y88">
        <v>3594182.4</v>
      </c>
      <c r="Z88">
        <v>149757600</v>
      </c>
      <c r="AA88">
        <v>813900</v>
      </c>
      <c r="AB88">
        <v>106</v>
      </c>
      <c r="AC88" s="34">
        <v>45892</v>
      </c>
      <c r="AD88" s="34">
        <v>46022</v>
      </c>
      <c r="AF88">
        <v>0</v>
      </c>
      <c r="AG88">
        <v>2649.6</v>
      </c>
      <c r="AH88">
        <v>0</v>
      </c>
      <c r="AI88">
        <v>3594182.4</v>
      </c>
      <c r="AJ88">
        <v>0</v>
      </c>
      <c r="AK88">
        <v>0</v>
      </c>
      <c r="AL88">
        <v>930911.69</v>
      </c>
      <c r="AM88">
        <v>0</v>
      </c>
      <c r="AN88">
        <v>4525094.09</v>
      </c>
      <c r="AO88" t="s">
        <v>122</v>
      </c>
      <c r="AP88">
        <v>15</v>
      </c>
      <c r="AQ88">
        <v>397.44</v>
      </c>
      <c r="AR88">
        <v>539127.36</v>
      </c>
      <c r="AT88">
        <v>66240</v>
      </c>
      <c r="AU88">
        <v>1589.76</v>
      </c>
      <c r="AV88">
        <v>89854560</v>
      </c>
      <c r="AW88">
        <v>2156509.44</v>
      </c>
    </row>
    <row r="89" spans="1:49" hidden="1" x14ac:dyDescent="0.35">
      <c r="A89">
        <v>5793910</v>
      </c>
      <c r="B89">
        <v>1170005793901</v>
      </c>
      <c r="D89">
        <v>33711077559</v>
      </c>
      <c r="E89" t="s">
        <v>289</v>
      </c>
      <c r="F89" t="s">
        <v>1</v>
      </c>
      <c r="G89" t="s">
        <v>290</v>
      </c>
      <c r="H89" t="s">
        <v>28</v>
      </c>
      <c r="I89">
        <v>2916</v>
      </c>
      <c r="J89">
        <v>1</v>
      </c>
      <c r="K89" t="s">
        <v>16</v>
      </c>
      <c r="L89">
        <v>8105</v>
      </c>
      <c r="M89" t="s">
        <v>199</v>
      </c>
      <c r="N89">
        <v>1</v>
      </c>
      <c r="O89" t="s">
        <v>125</v>
      </c>
      <c r="P89" t="s">
        <v>291</v>
      </c>
      <c r="Q89">
        <v>575.88</v>
      </c>
      <c r="R89">
        <v>19950</v>
      </c>
      <c r="S89">
        <v>57</v>
      </c>
      <c r="T89">
        <v>350</v>
      </c>
      <c r="U89">
        <v>26</v>
      </c>
      <c r="V89">
        <v>1349.5</v>
      </c>
      <c r="W89" t="s">
        <v>121</v>
      </c>
      <c r="X89" t="s">
        <v>1</v>
      </c>
      <c r="Y89">
        <v>777150.06</v>
      </c>
      <c r="Z89">
        <v>26922525</v>
      </c>
      <c r="AA89">
        <v>472325</v>
      </c>
      <c r="AB89">
        <v>106</v>
      </c>
      <c r="AC89" s="34">
        <v>45900</v>
      </c>
      <c r="AD89" s="34">
        <v>46022</v>
      </c>
      <c r="AE89" t="s">
        <v>161</v>
      </c>
      <c r="AF89">
        <v>0</v>
      </c>
      <c r="AG89">
        <v>575.88</v>
      </c>
      <c r="AH89">
        <v>0</v>
      </c>
      <c r="AI89">
        <v>777150.06</v>
      </c>
      <c r="AJ89">
        <v>0</v>
      </c>
      <c r="AK89">
        <v>0</v>
      </c>
      <c r="AL89">
        <v>195070.23</v>
      </c>
      <c r="AM89">
        <v>0</v>
      </c>
      <c r="AN89">
        <v>972220.29</v>
      </c>
      <c r="AO89" t="s">
        <v>122</v>
      </c>
      <c r="AP89">
        <v>12.000999999999999</v>
      </c>
      <c r="AQ89">
        <v>69.11</v>
      </c>
      <c r="AR89">
        <v>93263.95</v>
      </c>
      <c r="AT89">
        <v>11970</v>
      </c>
      <c r="AU89">
        <v>345.53</v>
      </c>
      <c r="AV89">
        <v>16153515</v>
      </c>
      <c r="AW89">
        <v>466292.74</v>
      </c>
    </row>
    <row r="90" spans="1:49" hidden="1" x14ac:dyDescent="0.35">
      <c r="A90">
        <v>5794010</v>
      </c>
      <c r="B90">
        <v>5010005794001</v>
      </c>
      <c r="D90">
        <v>30718042301</v>
      </c>
      <c r="E90" t="s">
        <v>292</v>
      </c>
      <c r="F90" t="s">
        <v>1</v>
      </c>
      <c r="G90" t="s">
        <v>293</v>
      </c>
      <c r="H90" t="s">
        <v>24</v>
      </c>
      <c r="I90">
        <v>6075</v>
      </c>
      <c r="J90">
        <v>1</v>
      </c>
      <c r="K90" t="s">
        <v>16</v>
      </c>
      <c r="L90">
        <v>11014</v>
      </c>
      <c r="M90" t="s">
        <v>232</v>
      </c>
      <c r="N90">
        <v>1</v>
      </c>
      <c r="O90" t="s">
        <v>125</v>
      </c>
      <c r="P90" t="s">
        <v>294</v>
      </c>
      <c r="Q90">
        <v>561.6</v>
      </c>
      <c r="R90">
        <v>23400</v>
      </c>
      <c r="S90">
        <v>39</v>
      </c>
      <c r="T90">
        <v>600</v>
      </c>
      <c r="U90">
        <v>26</v>
      </c>
      <c r="V90">
        <v>1333</v>
      </c>
      <c r="W90" t="s">
        <v>121</v>
      </c>
      <c r="X90" t="s">
        <v>1</v>
      </c>
      <c r="Y90">
        <v>748612.8</v>
      </c>
      <c r="Z90">
        <v>31192200</v>
      </c>
      <c r="AA90">
        <v>799800</v>
      </c>
      <c r="AB90">
        <v>106</v>
      </c>
      <c r="AC90" s="34">
        <v>45892</v>
      </c>
      <c r="AD90" s="34">
        <v>46022</v>
      </c>
      <c r="AF90">
        <v>0</v>
      </c>
      <c r="AG90">
        <v>561.6</v>
      </c>
      <c r="AH90">
        <v>0</v>
      </c>
      <c r="AI90">
        <v>748612.8</v>
      </c>
      <c r="AJ90">
        <v>0</v>
      </c>
      <c r="AK90">
        <v>0</v>
      </c>
      <c r="AL90">
        <v>187913.01</v>
      </c>
      <c r="AM90">
        <v>0</v>
      </c>
      <c r="AN90">
        <v>936525.81</v>
      </c>
      <c r="AO90" t="s">
        <v>122</v>
      </c>
      <c r="AP90">
        <v>15</v>
      </c>
      <c r="AQ90">
        <v>84.24</v>
      </c>
      <c r="AR90">
        <v>112291.92</v>
      </c>
      <c r="AT90">
        <v>14040</v>
      </c>
      <c r="AU90">
        <v>336.96</v>
      </c>
      <c r="AV90">
        <v>18715320</v>
      </c>
      <c r="AW90">
        <v>449167.68</v>
      </c>
    </row>
    <row r="91" spans="1:49" hidden="1" x14ac:dyDescent="0.35">
      <c r="A91">
        <v>5794110</v>
      </c>
      <c r="B91">
        <v>1170005794101</v>
      </c>
      <c r="D91">
        <v>20251803510</v>
      </c>
      <c r="E91" t="s">
        <v>295</v>
      </c>
      <c r="F91" t="s">
        <v>1</v>
      </c>
      <c r="G91" t="s">
        <v>296</v>
      </c>
      <c r="H91" t="s">
        <v>297</v>
      </c>
      <c r="I91">
        <v>2107</v>
      </c>
      <c r="J91">
        <v>12</v>
      </c>
      <c r="K91" t="s">
        <v>34</v>
      </c>
      <c r="L91">
        <v>10987</v>
      </c>
      <c r="M91" t="s">
        <v>298</v>
      </c>
      <c r="N91">
        <v>1</v>
      </c>
      <c r="O91" t="s">
        <v>125</v>
      </c>
      <c r="P91" t="s">
        <v>299</v>
      </c>
      <c r="Q91">
        <v>395497.08</v>
      </c>
      <c r="R91">
        <v>13316400</v>
      </c>
      <c r="S91">
        <v>18</v>
      </c>
      <c r="T91">
        <v>739800</v>
      </c>
      <c r="U91">
        <v>1</v>
      </c>
      <c r="V91">
        <v>1</v>
      </c>
      <c r="W91" t="s">
        <v>127</v>
      </c>
      <c r="X91">
        <v>24660</v>
      </c>
      <c r="Y91">
        <v>395497.08</v>
      </c>
      <c r="Z91">
        <v>13316400</v>
      </c>
      <c r="AA91">
        <v>739800</v>
      </c>
      <c r="AB91">
        <v>105</v>
      </c>
      <c r="AC91" s="34">
        <v>45878</v>
      </c>
      <c r="AD91" s="34">
        <v>46022</v>
      </c>
      <c r="AF91">
        <v>0</v>
      </c>
      <c r="AG91">
        <v>395497.08</v>
      </c>
      <c r="AH91">
        <v>0</v>
      </c>
      <c r="AI91">
        <v>395497.08</v>
      </c>
      <c r="AJ91">
        <v>0</v>
      </c>
      <c r="AK91">
        <v>0</v>
      </c>
      <c r="AL91">
        <v>101247.25</v>
      </c>
      <c r="AM91">
        <v>0</v>
      </c>
      <c r="AN91">
        <v>496744.33</v>
      </c>
      <c r="AO91" t="s">
        <v>122</v>
      </c>
      <c r="AP91">
        <v>15</v>
      </c>
      <c r="AQ91">
        <v>59324.56</v>
      </c>
      <c r="AR91">
        <v>59324.56</v>
      </c>
      <c r="AT91">
        <v>7989840</v>
      </c>
      <c r="AU91">
        <v>237298.25</v>
      </c>
      <c r="AV91">
        <v>7989840</v>
      </c>
      <c r="AW91">
        <v>237298.25</v>
      </c>
    </row>
    <row r="92" spans="1:49" hidden="1" x14ac:dyDescent="0.35">
      <c r="A92">
        <v>5794210</v>
      </c>
      <c r="B92">
        <v>1170005794201</v>
      </c>
      <c r="D92">
        <v>30711489858</v>
      </c>
      <c r="E92" t="s">
        <v>300</v>
      </c>
      <c r="F92" t="s">
        <v>1</v>
      </c>
      <c r="G92" t="s">
        <v>296</v>
      </c>
      <c r="H92" t="s">
        <v>297</v>
      </c>
      <c r="I92">
        <v>2107</v>
      </c>
      <c r="J92">
        <v>12</v>
      </c>
      <c r="K92" t="s">
        <v>34</v>
      </c>
      <c r="L92">
        <v>10987</v>
      </c>
      <c r="M92" t="s">
        <v>298</v>
      </c>
      <c r="N92">
        <v>1</v>
      </c>
      <c r="O92" t="s">
        <v>125</v>
      </c>
      <c r="P92" t="s">
        <v>301</v>
      </c>
      <c r="Q92">
        <v>379.2</v>
      </c>
      <c r="R92">
        <v>12000</v>
      </c>
      <c r="S92">
        <v>30</v>
      </c>
      <c r="T92">
        <v>400</v>
      </c>
      <c r="U92">
        <v>26</v>
      </c>
      <c r="V92">
        <v>1333</v>
      </c>
      <c r="W92" t="s">
        <v>121</v>
      </c>
      <c r="X92" t="s">
        <v>1</v>
      </c>
      <c r="Y92">
        <v>505473.6</v>
      </c>
      <c r="Z92">
        <v>15996000</v>
      </c>
      <c r="AA92">
        <v>533200</v>
      </c>
      <c r="AB92">
        <v>106</v>
      </c>
      <c r="AC92" s="34">
        <v>45878</v>
      </c>
      <c r="AD92" s="34">
        <v>46022</v>
      </c>
      <c r="AE92" t="s">
        <v>161</v>
      </c>
      <c r="AF92">
        <v>0</v>
      </c>
      <c r="AG92">
        <v>379.2</v>
      </c>
      <c r="AH92">
        <v>0</v>
      </c>
      <c r="AI92">
        <v>505473.6</v>
      </c>
      <c r="AJ92">
        <v>0</v>
      </c>
      <c r="AK92">
        <v>0</v>
      </c>
      <c r="AL92">
        <v>129420.97</v>
      </c>
      <c r="AM92">
        <v>0</v>
      </c>
      <c r="AN92">
        <v>634894.56999999995</v>
      </c>
      <c r="AO92" t="s">
        <v>122</v>
      </c>
      <c r="AP92">
        <v>15</v>
      </c>
      <c r="AQ92">
        <v>56.88</v>
      </c>
      <c r="AR92">
        <v>75821.039999999994</v>
      </c>
      <c r="AT92">
        <v>7200</v>
      </c>
      <c r="AU92">
        <v>227.52</v>
      </c>
      <c r="AV92">
        <v>9597600</v>
      </c>
      <c r="AW92">
        <v>303284.15999999997</v>
      </c>
    </row>
    <row r="93" spans="1:49" hidden="1" x14ac:dyDescent="0.35">
      <c r="A93">
        <v>5794310</v>
      </c>
      <c r="B93">
        <v>1170005794301</v>
      </c>
      <c r="D93">
        <v>30711489858</v>
      </c>
      <c r="E93" t="s">
        <v>300</v>
      </c>
      <c r="F93" t="s">
        <v>1</v>
      </c>
      <c r="G93" t="s">
        <v>296</v>
      </c>
      <c r="H93" t="s">
        <v>297</v>
      </c>
      <c r="I93">
        <v>2107</v>
      </c>
      <c r="J93">
        <v>12</v>
      </c>
      <c r="K93" t="s">
        <v>34</v>
      </c>
      <c r="L93">
        <v>10987</v>
      </c>
      <c r="M93" t="s">
        <v>298</v>
      </c>
      <c r="N93">
        <v>1</v>
      </c>
      <c r="O93" t="s">
        <v>125</v>
      </c>
      <c r="P93" t="s">
        <v>302</v>
      </c>
      <c r="Q93">
        <v>505357.38</v>
      </c>
      <c r="R93">
        <v>17015400</v>
      </c>
      <c r="S93">
        <v>23</v>
      </c>
      <c r="T93">
        <v>739800</v>
      </c>
      <c r="U93">
        <v>1</v>
      </c>
      <c r="V93">
        <v>1</v>
      </c>
      <c r="W93" t="s">
        <v>127</v>
      </c>
      <c r="X93">
        <v>24660</v>
      </c>
      <c r="Y93">
        <v>505357.38</v>
      </c>
      <c r="Z93">
        <v>17015400</v>
      </c>
      <c r="AA93">
        <v>739800</v>
      </c>
      <c r="AB93">
        <v>105</v>
      </c>
      <c r="AC93" s="34">
        <v>45878</v>
      </c>
      <c r="AD93" s="34">
        <v>46022</v>
      </c>
      <c r="AF93">
        <v>0</v>
      </c>
      <c r="AG93">
        <v>505357.38</v>
      </c>
      <c r="AH93">
        <v>0</v>
      </c>
      <c r="AI93">
        <v>505357.38</v>
      </c>
      <c r="AJ93">
        <v>0</v>
      </c>
      <c r="AK93">
        <v>0</v>
      </c>
      <c r="AL93">
        <v>129371.49</v>
      </c>
      <c r="AM93">
        <v>0</v>
      </c>
      <c r="AN93">
        <v>634728.87</v>
      </c>
      <c r="AO93" t="s">
        <v>122</v>
      </c>
      <c r="AP93">
        <v>15</v>
      </c>
      <c r="AQ93">
        <v>75803.61</v>
      </c>
      <c r="AR93">
        <v>75803.61</v>
      </c>
      <c r="AT93">
        <v>10209240</v>
      </c>
      <c r="AU93">
        <v>303214.43</v>
      </c>
      <c r="AV93">
        <v>10209240</v>
      </c>
      <c r="AW93">
        <v>303214.43</v>
      </c>
    </row>
    <row r="94" spans="1:49" hidden="1" x14ac:dyDescent="0.35">
      <c r="A94">
        <v>5794410</v>
      </c>
      <c r="B94">
        <v>1170005794401</v>
      </c>
      <c r="D94">
        <v>20295147149</v>
      </c>
      <c r="E94" t="s">
        <v>303</v>
      </c>
      <c r="F94" t="s">
        <v>1</v>
      </c>
      <c r="G94" t="s">
        <v>226</v>
      </c>
      <c r="H94" t="s">
        <v>63</v>
      </c>
      <c r="I94">
        <v>2535</v>
      </c>
      <c r="J94">
        <v>12</v>
      </c>
      <c r="K94" t="s">
        <v>34</v>
      </c>
      <c r="L94">
        <v>83429</v>
      </c>
      <c r="M94" t="s">
        <v>140</v>
      </c>
      <c r="N94">
        <v>1</v>
      </c>
      <c r="O94" t="s">
        <v>125</v>
      </c>
      <c r="P94" t="s">
        <v>304</v>
      </c>
      <c r="Q94">
        <v>1941975</v>
      </c>
      <c r="R94">
        <v>73980000</v>
      </c>
      <c r="S94">
        <v>100</v>
      </c>
      <c r="T94">
        <v>739800</v>
      </c>
      <c r="U94">
        <v>1</v>
      </c>
      <c r="V94">
        <v>1</v>
      </c>
      <c r="W94" t="s">
        <v>127</v>
      </c>
      <c r="X94">
        <v>24660</v>
      </c>
      <c r="Y94">
        <v>1941975</v>
      </c>
      <c r="Z94">
        <v>73980000</v>
      </c>
      <c r="AA94">
        <v>739800</v>
      </c>
      <c r="AB94">
        <v>214</v>
      </c>
      <c r="AC94" s="34">
        <v>45901</v>
      </c>
      <c r="AD94" s="34">
        <v>46053</v>
      </c>
      <c r="AF94">
        <v>0</v>
      </c>
      <c r="AG94">
        <v>1941975</v>
      </c>
      <c r="AH94">
        <v>0</v>
      </c>
      <c r="AI94">
        <v>1941975</v>
      </c>
      <c r="AJ94">
        <v>0</v>
      </c>
      <c r="AK94">
        <v>0</v>
      </c>
      <c r="AL94">
        <v>497145.61</v>
      </c>
      <c r="AM94">
        <v>0</v>
      </c>
      <c r="AN94">
        <v>2439120.61</v>
      </c>
      <c r="AO94" t="s">
        <v>122</v>
      </c>
      <c r="AP94">
        <v>15</v>
      </c>
      <c r="AQ94">
        <v>291296.25</v>
      </c>
      <c r="AR94">
        <v>291296.25</v>
      </c>
      <c r="AT94">
        <v>44388000</v>
      </c>
      <c r="AU94">
        <v>1165185</v>
      </c>
      <c r="AV94">
        <v>44388000</v>
      </c>
      <c r="AW94">
        <v>1165185</v>
      </c>
    </row>
    <row r="95" spans="1:49" hidden="1" x14ac:dyDescent="0.35">
      <c r="A95">
        <v>5794510</v>
      </c>
      <c r="B95">
        <v>1170005794501</v>
      </c>
      <c r="D95">
        <v>20272782874</v>
      </c>
      <c r="E95" t="s">
        <v>305</v>
      </c>
      <c r="F95" t="s">
        <v>1</v>
      </c>
      <c r="G95" t="s">
        <v>296</v>
      </c>
      <c r="H95" t="s">
        <v>297</v>
      </c>
      <c r="I95">
        <v>2107</v>
      </c>
      <c r="J95">
        <v>12</v>
      </c>
      <c r="K95" t="s">
        <v>34</v>
      </c>
      <c r="L95">
        <v>10987</v>
      </c>
      <c r="M95" t="s">
        <v>298</v>
      </c>
      <c r="N95">
        <v>1</v>
      </c>
      <c r="O95" t="s">
        <v>125</v>
      </c>
      <c r="P95" t="s">
        <v>306</v>
      </c>
      <c r="Q95">
        <v>823952.25</v>
      </c>
      <c r="R95">
        <v>27742500</v>
      </c>
      <c r="S95">
        <v>75</v>
      </c>
      <c r="T95">
        <v>369900</v>
      </c>
      <c r="U95">
        <v>1</v>
      </c>
      <c r="V95">
        <v>1</v>
      </c>
      <c r="W95" t="s">
        <v>127</v>
      </c>
      <c r="X95">
        <v>24660</v>
      </c>
      <c r="Y95">
        <v>823952.25</v>
      </c>
      <c r="Z95">
        <v>27742500</v>
      </c>
      <c r="AA95">
        <v>369900</v>
      </c>
      <c r="AB95">
        <v>105</v>
      </c>
      <c r="AC95" s="34">
        <v>45889</v>
      </c>
      <c r="AD95" s="34">
        <v>46022</v>
      </c>
      <c r="AF95">
        <v>0</v>
      </c>
      <c r="AG95">
        <v>823952.25</v>
      </c>
      <c r="AH95">
        <v>0</v>
      </c>
      <c r="AI95">
        <v>823952.25</v>
      </c>
      <c r="AJ95">
        <v>0</v>
      </c>
      <c r="AK95">
        <v>0</v>
      </c>
      <c r="AL95">
        <v>210931.78</v>
      </c>
      <c r="AM95">
        <v>0</v>
      </c>
      <c r="AN95">
        <v>1034884.03</v>
      </c>
      <c r="AO95" t="s">
        <v>122</v>
      </c>
      <c r="AP95">
        <v>15</v>
      </c>
      <c r="AQ95">
        <v>123592.84</v>
      </c>
      <c r="AR95">
        <v>123592.84</v>
      </c>
      <c r="AT95">
        <v>16645500</v>
      </c>
      <c r="AU95">
        <v>494371.35</v>
      </c>
      <c r="AV95">
        <v>16645500</v>
      </c>
      <c r="AW95">
        <v>494371.35</v>
      </c>
    </row>
    <row r="96" spans="1:49" hidden="1" x14ac:dyDescent="0.35">
      <c r="A96">
        <v>5794610</v>
      </c>
      <c r="B96">
        <v>1250005794601</v>
      </c>
      <c r="D96">
        <v>20231871935</v>
      </c>
      <c r="E96" t="s">
        <v>307</v>
      </c>
      <c r="F96" t="s">
        <v>1</v>
      </c>
      <c r="G96" t="s">
        <v>131</v>
      </c>
      <c r="H96" t="s">
        <v>23</v>
      </c>
      <c r="I96">
        <v>6105</v>
      </c>
      <c r="J96">
        <v>1</v>
      </c>
      <c r="K96" t="s">
        <v>16</v>
      </c>
      <c r="L96">
        <v>4401</v>
      </c>
      <c r="M96" t="s">
        <v>132</v>
      </c>
      <c r="N96">
        <v>1</v>
      </c>
      <c r="O96" t="s">
        <v>125</v>
      </c>
      <c r="P96" t="s">
        <v>308</v>
      </c>
      <c r="Q96">
        <v>1660000</v>
      </c>
      <c r="R96">
        <v>40000000</v>
      </c>
      <c r="S96">
        <v>80</v>
      </c>
      <c r="T96">
        <v>500000</v>
      </c>
      <c r="U96">
        <v>1</v>
      </c>
      <c r="V96">
        <v>1</v>
      </c>
      <c r="W96" t="s">
        <v>121</v>
      </c>
      <c r="X96" t="s">
        <v>1</v>
      </c>
      <c r="Y96">
        <v>1660000</v>
      </c>
      <c r="Z96">
        <v>40000000</v>
      </c>
      <c r="AA96">
        <v>500000</v>
      </c>
      <c r="AB96">
        <v>214</v>
      </c>
      <c r="AC96" s="34">
        <v>45900</v>
      </c>
      <c r="AD96" s="34">
        <v>46022</v>
      </c>
      <c r="AF96">
        <v>0</v>
      </c>
      <c r="AG96">
        <v>1660000</v>
      </c>
      <c r="AH96">
        <v>0</v>
      </c>
      <c r="AI96">
        <v>1660000</v>
      </c>
      <c r="AJ96">
        <v>0</v>
      </c>
      <c r="AK96">
        <v>0</v>
      </c>
      <c r="AL96">
        <v>416660</v>
      </c>
      <c r="AM96">
        <v>0</v>
      </c>
      <c r="AN96">
        <v>2076660</v>
      </c>
      <c r="AO96" t="s">
        <v>122</v>
      </c>
      <c r="AP96">
        <v>15</v>
      </c>
      <c r="AQ96">
        <v>249000</v>
      </c>
      <c r="AR96">
        <v>249000</v>
      </c>
      <c r="AT96">
        <v>24000000</v>
      </c>
      <c r="AU96">
        <v>996000</v>
      </c>
      <c r="AV96">
        <v>24000000</v>
      </c>
      <c r="AW96">
        <v>996000</v>
      </c>
    </row>
    <row r="97" spans="1:49" hidden="1" x14ac:dyDescent="0.35">
      <c r="A97">
        <v>5794710</v>
      </c>
      <c r="B97">
        <v>5010005794701</v>
      </c>
      <c r="D97">
        <v>30665880474</v>
      </c>
      <c r="E97" t="s">
        <v>309</v>
      </c>
      <c r="F97" t="s">
        <v>1</v>
      </c>
      <c r="G97" t="s">
        <v>24</v>
      </c>
      <c r="H97" t="s">
        <v>24</v>
      </c>
      <c r="I97">
        <v>6070</v>
      </c>
      <c r="J97">
        <v>1</v>
      </c>
      <c r="K97" t="s">
        <v>16</v>
      </c>
      <c r="L97">
        <v>11014</v>
      </c>
      <c r="M97" t="s">
        <v>232</v>
      </c>
      <c r="N97">
        <v>1</v>
      </c>
      <c r="O97" t="s">
        <v>125</v>
      </c>
      <c r="P97" t="s">
        <v>310</v>
      </c>
      <c r="Q97">
        <v>2485728</v>
      </c>
      <c r="R97">
        <v>103572000</v>
      </c>
      <c r="S97">
        <v>150</v>
      </c>
      <c r="T97">
        <v>690480</v>
      </c>
      <c r="U97">
        <v>1</v>
      </c>
      <c r="V97">
        <v>1</v>
      </c>
      <c r="W97" t="s">
        <v>127</v>
      </c>
      <c r="X97">
        <v>24660</v>
      </c>
      <c r="Y97">
        <v>2485728</v>
      </c>
      <c r="Z97">
        <v>103572000</v>
      </c>
      <c r="AA97">
        <v>690480</v>
      </c>
      <c r="AB97">
        <v>105</v>
      </c>
      <c r="AC97" s="34">
        <v>45901</v>
      </c>
      <c r="AD97" s="34">
        <v>46022</v>
      </c>
      <c r="AF97">
        <v>0</v>
      </c>
      <c r="AG97">
        <v>3314304</v>
      </c>
      <c r="AH97">
        <v>0</v>
      </c>
      <c r="AI97">
        <v>3314304</v>
      </c>
      <c r="AJ97">
        <v>0</v>
      </c>
      <c r="AK97">
        <v>0</v>
      </c>
      <c r="AL97">
        <v>831890.3</v>
      </c>
      <c r="AM97">
        <v>0</v>
      </c>
      <c r="AN97">
        <v>4146194.3</v>
      </c>
      <c r="AO97" t="s">
        <v>122</v>
      </c>
      <c r="AP97">
        <v>15</v>
      </c>
      <c r="AQ97">
        <v>497145.59999999998</v>
      </c>
      <c r="AR97">
        <v>497145.59999999998</v>
      </c>
      <c r="AT97">
        <v>62143200</v>
      </c>
      <c r="AU97">
        <v>1491436.8</v>
      </c>
      <c r="AV97">
        <v>62143200</v>
      </c>
      <c r="AW97">
        <v>1491436.8</v>
      </c>
    </row>
    <row r="98" spans="1:49" hidden="1" x14ac:dyDescent="0.35">
      <c r="A98">
        <v>5794710</v>
      </c>
      <c r="B98">
        <v>5010005794701</v>
      </c>
      <c r="D98">
        <v>30665880474</v>
      </c>
      <c r="E98" t="s">
        <v>309</v>
      </c>
      <c r="F98" t="s">
        <v>1</v>
      </c>
      <c r="G98" t="s">
        <v>24</v>
      </c>
      <c r="H98" t="s">
        <v>24</v>
      </c>
      <c r="I98">
        <v>6070</v>
      </c>
      <c r="J98">
        <v>1</v>
      </c>
      <c r="K98" t="s">
        <v>16</v>
      </c>
      <c r="L98">
        <v>11014</v>
      </c>
      <c r="M98" t="s">
        <v>232</v>
      </c>
      <c r="N98">
        <v>2</v>
      </c>
      <c r="O98" t="s">
        <v>125</v>
      </c>
      <c r="P98" t="s">
        <v>311</v>
      </c>
      <c r="Q98">
        <v>828576</v>
      </c>
      <c r="R98">
        <v>34524000</v>
      </c>
      <c r="S98">
        <v>50</v>
      </c>
      <c r="T98">
        <v>690480</v>
      </c>
      <c r="U98">
        <v>1</v>
      </c>
      <c r="V98">
        <v>1</v>
      </c>
      <c r="W98" t="s">
        <v>127</v>
      </c>
      <c r="X98">
        <v>24660</v>
      </c>
      <c r="Y98">
        <v>828576</v>
      </c>
      <c r="Z98">
        <v>34524000</v>
      </c>
      <c r="AA98">
        <v>690480</v>
      </c>
      <c r="AB98">
        <v>105</v>
      </c>
      <c r="AC98" s="34">
        <v>45901</v>
      </c>
      <c r="AD98" s="34">
        <v>46022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 t="s">
        <v>122</v>
      </c>
      <c r="AT98">
        <v>20714400</v>
      </c>
      <c r="AU98">
        <v>497145.59999999998</v>
      </c>
      <c r="AV98">
        <v>20714400</v>
      </c>
      <c r="AW98">
        <v>497145.59999999998</v>
      </c>
    </row>
    <row r="99" spans="1:49" hidden="1" x14ac:dyDescent="0.35">
      <c r="A99">
        <v>5794810</v>
      </c>
      <c r="B99">
        <v>1150005794801</v>
      </c>
      <c r="D99">
        <v>20142212480</v>
      </c>
      <c r="E99" t="s">
        <v>312</v>
      </c>
      <c r="F99" t="s">
        <v>1</v>
      </c>
      <c r="G99" t="s">
        <v>313</v>
      </c>
      <c r="H99" t="s">
        <v>50</v>
      </c>
      <c r="I99">
        <v>2436</v>
      </c>
      <c r="J99">
        <v>3</v>
      </c>
      <c r="K99" t="s">
        <v>32</v>
      </c>
      <c r="L99">
        <v>9262</v>
      </c>
      <c r="M99" t="s">
        <v>183</v>
      </c>
      <c r="N99">
        <v>1</v>
      </c>
      <c r="O99" t="s">
        <v>125</v>
      </c>
      <c r="P99" t="s">
        <v>314</v>
      </c>
      <c r="Q99">
        <v>1910903.4</v>
      </c>
      <c r="R99">
        <v>66582000</v>
      </c>
      <c r="S99">
        <v>90</v>
      </c>
      <c r="T99">
        <v>739800</v>
      </c>
      <c r="U99">
        <v>1</v>
      </c>
      <c r="V99">
        <v>1</v>
      </c>
      <c r="W99" t="s">
        <v>127</v>
      </c>
      <c r="X99">
        <v>24660</v>
      </c>
      <c r="Y99">
        <v>1910903.4</v>
      </c>
      <c r="Z99">
        <v>66582000</v>
      </c>
      <c r="AA99">
        <v>739800</v>
      </c>
      <c r="AB99">
        <v>105</v>
      </c>
      <c r="AC99" s="34">
        <v>45893</v>
      </c>
      <c r="AD99" s="34">
        <v>46022</v>
      </c>
      <c r="AF99">
        <v>0</v>
      </c>
      <c r="AG99">
        <v>1910903.4</v>
      </c>
      <c r="AH99">
        <v>0</v>
      </c>
      <c r="AI99">
        <v>1910903.4</v>
      </c>
      <c r="AJ99">
        <v>0</v>
      </c>
      <c r="AK99">
        <v>0</v>
      </c>
      <c r="AL99">
        <v>498745.78</v>
      </c>
      <c r="AM99">
        <v>0</v>
      </c>
      <c r="AN99">
        <v>2409649.1800000002</v>
      </c>
      <c r="AO99" t="s">
        <v>122</v>
      </c>
      <c r="AP99">
        <v>15</v>
      </c>
      <c r="AQ99">
        <v>286635.51</v>
      </c>
      <c r="AR99">
        <v>286635.51</v>
      </c>
      <c r="AT99">
        <v>39949200</v>
      </c>
      <c r="AU99">
        <v>1146542.04</v>
      </c>
      <c r="AV99">
        <v>39949200</v>
      </c>
      <c r="AW99">
        <v>1146542.04</v>
      </c>
    </row>
    <row r="100" spans="1:49" hidden="1" x14ac:dyDescent="0.35">
      <c r="A100">
        <v>5794910</v>
      </c>
      <c r="B100">
        <v>1150005794901</v>
      </c>
      <c r="D100">
        <v>23171662699</v>
      </c>
      <c r="E100" t="s">
        <v>315</v>
      </c>
      <c r="F100" t="s">
        <v>1</v>
      </c>
      <c r="G100" t="s">
        <v>316</v>
      </c>
      <c r="H100" t="s">
        <v>50</v>
      </c>
      <c r="I100">
        <v>2435</v>
      </c>
      <c r="J100">
        <v>3</v>
      </c>
      <c r="K100" t="s">
        <v>32</v>
      </c>
      <c r="L100">
        <v>9262</v>
      </c>
      <c r="M100" t="s">
        <v>183</v>
      </c>
      <c r="N100">
        <v>1</v>
      </c>
      <c r="O100" t="s">
        <v>125</v>
      </c>
      <c r="P100" t="s">
        <v>317</v>
      </c>
      <c r="Q100">
        <v>891754.92</v>
      </c>
      <c r="R100">
        <v>31071600</v>
      </c>
      <c r="S100">
        <v>42</v>
      </c>
      <c r="T100">
        <v>739800</v>
      </c>
      <c r="U100">
        <v>1</v>
      </c>
      <c r="V100">
        <v>1</v>
      </c>
      <c r="W100" t="s">
        <v>127</v>
      </c>
      <c r="X100">
        <v>24660</v>
      </c>
      <c r="Y100">
        <v>891754.92</v>
      </c>
      <c r="Z100">
        <v>31071600</v>
      </c>
      <c r="AA100">
        <v>739800</v>
      </c>
      <c r="AB100">
        <v>105</v>
      </c>
      <c r="AC100" s="34">
        <v>45880</v>
      </c>
      <c r="AD100" s="34">
        <v>46022</v>
      </c>
      <c r="AF100">
        <v>0</v>
      </c>
      <c r="AG100">
        <v>891754.92</v>
      </c>
      <c r="AH100">
        <v>0</v>
      </c>
      <c r="AI100">
        <v>891754.92</v>
      </c>
      <c r="AJ100">
        <v>0</v>
      </c>
      <c r="AK100">
        <v>0</v>
      </c>
      <c r="AL100">
        <v>232748.04</v>
      </c>
      <c r="AM100">
        <v>0</v>
      </c>
      <c r="AN100">
        <v>1124502.96</v>
      </c>
      <c r="AO100" t="s">
        <v>122</v>
      </c>
      <c r="AP100">
        <v>15</v>
      </c>
      <c r="AQ100">
        <v>133763.24</v>
      </c>
      <c r="AR100">
        <v>133763.24</v>
      </c>
      <c r="AT100">
        <v>18642960</v>
      </c>
      <c r="AU100">
        <v>535052.94999999995</v>
      </c>
      <c r="AV100">
        <v>18642960</v>
      </c>
      <c r="AW100">
        <v>535052.94999999995</v>
      </c>
    </row>
    <row r="101" spans="1:49" hidden="1" x14ac:dyDescent="0.35">
      <c r="A101">
        <v>5795010</v>
      </c>
      <c r="B101">
        <v>1150005795001</v>
      </c>
      <c r="D101">
        <v>20344600911</v>
      </c>
      <c r="E101" t="s">
        <v>318</v>
      </c>
      <c r="F101" t="s">
        <v>1</v>
      </c>
      <c r="G101" t="s">
        <v>319</v>
      </c>
      <c r="H101" t="s">
        <v>50</v>
      </c>
      <c r="I101">
        <v>2426</v>
      </c>
      <c r="J101">
        <v>3</v>
      </c>
      <c r="K101" t="s">
        <v>32</v>
      </c>
      <c r="L101">
        <v>9262</v>
      </c>
      <c r="M101" t="s">
        <v>183</v>
      </c>
      <c r="N101">
        <v>1</v>
      </c>
      <c r="O101" t="s">
        <v>125</v>
      </c>
      <c r="P101" t="s">
        <v>320</v>
      </c>
      <c r="Q101">
        <v>757283.94</v>
      </c>
      <c r="R101">
        <v>26386200</v>
      </c>
      <c r="S101">
        <v>214</v>
      </c>
      <c r="T101">
        <v>123300</v>
      </c>
      <c r="U101">
        <v>1</v>
      </c>
      <c r="V101">
        <v>1</v>
      </c>
      <c r="W101" t="s">
        <v>127</v>
      </c>
      <c r="X101">
        <v>24660</v>
      </c>
      <c r="Y101">
        <v>757283.94</v>
      </c>
      <c r="Z101">
        <v>26386200</v>
      </c>
      <c r="AA101">
        <v>123300</v>
      </c>
      <c r="AB101">
        <v>105</v>
      </c>
      <c r="AC101" s="34">
        <v>45901</v>
      </c>
      <c r="AD101" s="34">
        <v>46022</v>
      </c>
      <c r="AF101">
        <v>1</v>
      </c>
      <c r="AG101">
        <v>757283.94</v>
      </c>
      <c r="AH101">
        <v>0</v>
      </c>
      <c r="AI101">
        <v>757283.94</v>
      </c>
      <c r="AJ101">
        <v>0</v>
      </c>
      <c r="AK101">
        <v>0</v>
      </c>
      <c r="AL101">
        <v>197651.11</v>
      </c>
      <c r="AM101">
        <v>0</v>
      </c>
      <c r="AN101">
        <v>954935.05</v>
      </c>
      <c r="AO101" t="s">
        <v>122</v>
      </c>
      <c r="AP101">
        <v>15</v>
      </c>
      <c r="AQ101">
        <v>113592.6</v>
      </c>
      <c r="AR101">
        <v>113592.6</v>
      </c>
      <c r="AT101">
        <v>15831720</v>
      </c>
      <c r="AU101">
        <v>454370.36</v>
      </c>
      <c r="AV101">
        <v>15831720</v>
      </c>
      <c r="AW101">
        <v>454370.36</v>
      </c>
    </row>
    <row r="102" spans="1:49" hidden="1" x14ac:dyDescent="0.35">
      <c r="A102">
        <v>5795110</v>
      </c>
      <c r="B102">
        <v>1150005795101</v>
      </c>
      <c r="D102">
        <v>20180933574</v>
      </c>
      <c r="E102" t="s">
        <v>321</v>
      </c>
      <c r="F102" t="s">
        <v>1</v>
      </c>
      <c r="G102" t="s">
        <v>316</v>
      </c>
      <c r="H102" t="s">
        <v>50</v>
      </c>
      <c r="I102">
        <v>2435</v>
      </c>
      <c r="J102">
        <v>3</v>
      </c>
      <c r="K102" t="s">
        <v>32</v>
      </c>
      <c r="L102">
        <v>9262</v>
      </c>
      <c r="M102" t="s">
        <v>183</v>
      </c>
      <c r="N102">
        <v>1</v>
      </c>
      <c r="O102" t="s">
        <v>125</v>
      </c>
      <c r="P102" t="s">
        <v>320</v>
      </c>
      <c r="Q102">
        <v>757283.94</v>
      </c>
      <c r="R102">
        <v>26386200</v>
      </c>
      <c r="S102">
        <v>214</v>
      </c>
      <c r="T102">
        <v>123300</v>
      </c>
      <c r="U102">
        <v>1</v>
      </c>
      <c r="V102">
        <v>1</v>
      </c>
      <c r="W102" t="s">
        <v>127</v>
      </c>
      <c r="X102">
        <v>24660</v>
      </c>
      <c r="Y102">
        <v>757283.94</v>
      </c>
      <c r="Z102">
        <v>26386200</v>
      </c>
      <c r="AA102">
        <v>123300</v>
      </c>
      <c r="AB102">
        <v>105</v>
      </c>
      <c r="AC102" s="34">
        <v>45901</v>
      </c>
      <c r="AD102" s="34">
        <v>46022</v>
      </c>
      <c r="AF102">
        <v>1</v>
      </c>
      <c r="AG102">
        <v>757283.94</v>
      </c>
      <c r="AH102">
        <v>0</v>
      </c>
      <c r="AI102">
        <v>757283.94</v>
      </c>
      <c r="AJ102">
        <v>0</v>
      </c>
      <c r="AK102">
        <v>0</v>
      </c>
      <c r="AL102">
        <v>197651.11</v>
      </c>
      <c r="AM102">
        <v>0</v>
      </c>
      <c r="AN102">
        <v>954935.05</v>
      </c>
      <c r="AO102" t="s">
        <v>122</v>
      </c>
      <c r="AP102">
        <v>15</v>
      </c>
      <c r="AQ102">
        <v>113592.6</v>
      </c>
      <c r="AR102">
        <v>113592.6</v>
      </c>
      <c r="AT102">
        <v>15831720</v>
      </c>
      <c r="AU102">
        <v>454370.36</v>
      </c>
      <c r="AV102">
        <v>15831720</v>
      </c>
      <c r="AW102">
        <v>454370.36</v>
      </c>
    </row>
    <row r="103" spans="1:49" hidden="1" x14ac:dyDescent="0.35">
      <c r="A103">
        <v>5795210</v>
      </c>
      <c r="B103">
        <v>1150005795201</v>
      </c>
      <c r="D103">
        <v>20340396228</v>
      </c>
      <c r="E103" t="s">
        <v>322</v>
      </c>
      <c r="F103" t="s">
        <v>1</v>
      </c>
      <c r="G103" t="s">
        <v>319</v>
      </c>
      <c r="H103" t="s">
        <v>50</v>
      </c>
      <c r="I103">
        <v>2426</v>
      </c>
      <c r="J103">
        <v>3</v>
      </c>
      <c r="K103" t="s">
        <v>32</v>
      </c>
      <c r="L103">
        <v>9262</v>
      </c>
      <c r="M103" t="s">
        <v>183</v>
      </c>
      <c r="N103">
        <v>1</v>
      </c>
      <c r="O103" t="s">
        <v>125</v>
      </c>
      <c r="P103" t="s">
        <v>323</v>
      </c>
      <c r="Q103">
        <v>757283.94</v>
      </c>
      <c r="R103">
        <v>26386200</v>
      </c>
      <c r="S103">
        <v>214</v>
      </c>
      <c r="T103">
        <v>123300</v>
      </c>
      <c r="U103">
        <v>1</v>
      </c>
      <c r="V103">
        <v>1</v>
      </c>
      <c r="W103" t="s">
        <v>127</v>
      </c>
      <c r="X103">
        <v>24660</v>
      </c>
      <c r="Y103">
        <v>757283.94</v>
      </c>
      <c r="Z103">
        <v>26386200</v>
      </c>
      <c r="AA103">
        <v>123300</v>
      </c>
      <c r="AB103">
        <v>105</v>
      </c>
      <c r="AC103" s="34">
        <v>45901</v>
      </c>
      <c r="AD103" s="34">
        <v>46022</v>
      </c>
      <c r="AF103">
        <v>1</v>
      </c>
      <c r="AG103">
        <v>757283.94</v>
      </c>
      <c r="AH103">
        <v>0</v>
      </c>
      <c r="AI103">
        <v>757283.94</v>
      </c>
      <c r="AJ103">
        <v>0</v>
      </c>
      <c r="AK103">
        <v>0</v>
      </c>
      <c r="AL103">
        <v>197651.11</v>
      </c>
      <c r="AM103">
        <v>0</v>
      </c>
      <c r="AN103">
        <v>954935.05</v>
      </c>
      <c r="AO103" t="s">
        <v>122</v>
      </c>
      <c r="AP103">
        <v>15</v>
      </c>
      <c r="AQ103">
        <v>113592.6</v>
      </c>
      <c r="AR103">
        <v>113592.6</v>
      </c>
      <c r="AT103">
        <v>15831720</v>
      </c>
      <c r="AU103">
        <v>454370.36</v>
      </c>
      <c r="AV103">
        <v>15831720</v>
      </c>
      <c r="AW103">
        <v>454370.36</v>
      </c>
    </row>
    <row r="104" spans="1:49" hidden="1" x14ac:dyDescent="0.35">
      <c r="A104">
        <v>5795310</v>
      </c>
      <c r="B104">
        <v>1070005795301</v>
      </c>
      <c r="D104">
        <v>30665380048</v>
      </c>
      <c r="E104" t="s">
        <v>324</v>
      </c>
      <c r="F104" t="s">
        <v>1</v>
      </c>
      <c r="G104" t="s">
        <v>325</v>
      </c>
      <c r="H104" t="s">
        <v>70</v>
      </c>
      <c r="I104">
        <v>5850</v>
      </c>
      <c r="J104">
        <v>3</v>
      </c>
      <c r="K104" t="s">
        <v>32</v>
      </c>
      <c r="L104">
        <v>9056</v>
      </c>
      <c r="M104" t="s">
        <v>326</v>
      </c>
      <c r="N104">
        <v>1</v>
      </c>
      <c r="O104" t="s">
        <v>125</v>
      </c>
      <c r="P104" t="s">
        <v>327</v>
      </c>
      <c r="Q104">
        <v>2278.4</v>
      </c>
      <c r="R104">
        <v>32000</v>
      </c>
      <c r="S104">
        <v>80</v>
      </c>
      <c r="T104">
        <v>400</v>
      </c>
      <c r="U104">
        <v>26</v>
      </c>
      <c r="V104">
        <v>1342</v>
      </c>
      <c r="W104" t="s">
        <v>121</v>
      </c>
      <c r="X104" t="s">
        <v>1</v>
      </c>
      <c r="Y104">
        <v>3057612.7999999998</v>
      </c>
      <c r="Z104">
        <v>42944000</v>
      </c>
      <c r="AA104">
        <v>536800</v>
      </c>
      <c r="AB104">
        <v>106</v>
      </c>
      <c r="AC104" s="34">
        <v>45898</v>
      </c>
      <c r="AD104" s="34">
        <v>46022</v>
      </c>
      <c r="AF104">
        <v>1</v>
      </c>
      <c r="AG104">
        <v>2278.4</v>
      </c>
      <c r="AH104">
        <v>0</v>
      </c>
      <c r="AI104">
        <v>3057612.7999999998</v>
      </c>
      <c r="AJ104">
        <v>0</v>
      </c>
      <c r="AK104">
        <v>0</v>
      </c>
      <c r="AL104">
        <v>798020.3</v>
      </c>
      <c r="AM104">
        <v>0</v>
      </c>
      <c r="AN104">
        <v>3855633.1</v>
      </c>
      <c r="AO104" t="s">
        <v>122</v>
      </c>
      <c r="AP104">
        <v>15</v>
      </c>
      <c r="AQ104">
        <v>341.76</v>
      </c>
      <c r="AR104">
        <v>458641.91999999998</v>
      </c>
      <c r="AT104">
        <v>19200</v>
      </c>
      <c r="AU104">
        <v>1367.04</v>
      </c>
      <c r="AV104">
        <v>25766400</v>
      </c>
      <c r="AW104">
        <v>1834567.6799999999</v>
      </c>
    </row>
    <row r="105" spans="1:49" hidden="1" x14ac:dyDescent="0.35">
      <c r="A105">
        <v>5795410</v>
      </c>
      <c r="B105">
        <v>1070005795401</v>
      </c>
      <c r="D105">
        <v>30554216079</v>
      </c>
      <c r="E105" t="s">
        <v>328</v>
      </c>
      <c r="F105" t="s">
        <v>1</v>
      </c>
      <c r="G105" t="s">
        <v>21</v>
      </c>
      <c r="H105" t="s">
        <v>21</v>
      </c>
      <c r="I105">
        <v>2720</v>
      </c>
      <c r="J105">
        <v>1</v>
      </c>
      <c r="K105" t="s">
        <v>16</v>
      </c>
      <c r="L105">
        <v>9056</v>
      </c>
      <c r="M105" t="s">
        <v>326</v>
      </c>
      <c r="N105">
        <v>1</v>
      </c>
      <c r="O105" t="s">
        <v>125</v>
      </c>
      <c r="P105" t="s">
        <v>329</v>
      </c>
      <c r="Q105">
        <v>338833.73</v>
      </c>
      <c r="R105">
        <v>11972923.199999999</v>
      </c>
      <c r="S105">
        <v>142.80000000000001</v>
      </c>
      <c r="T105">
        <v>83844</v>
      </c>
      <c r="U105">
        <v>1</v>
      </c>
      <c r="V105">
        <v>1</v>
      </c>
      <c r="W105" t="s">
        <v>127</v>
      </c>
      <c r="X105">
        <v>24660</v>
      </c>
      <c r="Y105">
        <v>338833.73</v>
      </c>
      <c r="Z105">
        <v>11972923.199999999</v>
      </c>
      <c r="AA105">
        <v>83844</v>
      </c>
      <c r="AB105">
        <v>105</v>
      </c>
      <c r="AC105" s="34">
        <v>45901</v>
      </c>
      <c r="AD105" s="34">
        <v>46022</v>
      </c>
      <c r="AF105">
        <v>0</v>
      </c>
      <c r="AG105">
        <v>338833.73</v>
      </c>
      <c r="AH105">
        <v>0</v>
      </c>
      <c r="AI105">
        <v>338833.73</v>
      </c>
      <c r="AJ105">
        <v>0</v>
      </c>
      <c r="AK105">
        <v>0</v>
      </c>
      <c r="AL105">
        <v>85047.25</v>
      </c>
      <c r="AM105">
        <v>0</v>
      </c>
      <c r="AN105">
        <v>423880.98</v>
      </c>
      <c r="AO105" t="s">
        <v>122</v>
      </c>
      <c r="AP105">
        <v>15</v>
      </c>
      <c r="AQ105">
        <v>50825.06</v>
      </c>
      <c r="AR105">
        <v>50825.06</v>
      </c>
      <c r="AT105">
        <v>7183753.9199999999</v>
      </c>
      <c r="AU105">
        <v>203300.24</v>
      </c>
      <c r="AV105">
        <v>7183753.9199999999</v>
      </c>
      <c r="AW105">
        <v>203300.24</v>
      </c>
    </row>
    <row r="106" spans="1:49" hidden="1" x14ac:dyDescent="0.35">
      <c r="A106">
        <v>5795510</v>
      </c>
      <c r="B106">
        <v>1070005795501</v>
      </c>
      <c r="D106">
        <v>33511960849</v>
      </c>
      <c r="E106" t="s">
        <v>330</v>
      </c>
      <c r="F106" t="s">
        <v>1</v>
      </c>
      <c r="G106" t="s">
        <v>20</v>
      </c>
      <c r="H106" t="s">
        <v>20</v>
      </c>
      <c r="I106">
        <v>6620</v>
      </c>
      <c r="J106">
        <v>1</v>
      </c>
      <c r="K106" t="s">
        <v>16</v>
      </c>
      <c r="L106">
        <v>9056</v>
      </c>
      <c r="M106" t="s">
        <v>326</v>
      </c>
      <c r="N106">
        <v>1</v>
      </c>
      <c r="O106" t="s">
        <v>125</v>
      </c>
      <c r="P106" t="s">
        <v>331</v>
      </c>
      <c r="Q106">
        <v>2798.26</v>
      </c>
      <c r="R106">
        <v>101755</v>
      </c>
      <c r="S106">
        <v>216.5</v>
      </c>
      <c r="T106">
        <v>470</v>
      </c>
      <c r="U106">
        <v>26</v>
      </c>
      <c r="V106">
        <v>1342</v>
      </c>
      <c r="W106" t="s">
        <v>121</v>
      </c>
      <c r="X106" t="s">
        <v>1</v>
      </c>
      <c r="Y106">
        <v>3755264.92</v>
      </c>
      <c r="Z106">
        <v>136555210</v>
      </c>
      <c r="AA106">
        <v>630740</v>
      </c>
      <c r="AB106">
        <v>106</v>
      </c>
      <c r="AC106" s="34">
        <v>45900</v>
      </c>
      <c r="AD106" s="34">
        <v>46022</v>
      </c>
      <c r="AF106">
        <v>0</v>
      </c>
      <c r="AG106">
        <v>2798.26</v>
      </c>
      <c r="AH106">
        <v>0</v>
      </c>
      <c r="AI106">
        <v>3755264.92</v>
      </c>
      <c r="AJ106">
        <v>0</v>
      </c>
      <c r="AK106">
        <v>0</v>
      </c>
      <c r="AL106">
        <v>942567.12</v>
      </c>
      <c r="AM106">
        <v>0</v>
      </c>
      <c r="AN106">
        <v>4697832.04</v>
      </c>
      <c r="AO106" t="s">
        <v>122</v>
      </c>
      <c r="AP106">
        <v>15</v>
      </c>
      <c r="AQ106">
        <v>419.74</v>
      </c>
      <c r="AR106">
        <v>563291.07999999996</v>
      </c>
      <c r="AT106">
        <v>61053</v>
      </c>
      <c r="AU106">
        <v>1678.96</v>
      </c>
      <c r="AV106">
        <v>81933126</v>
      </c>
      <c r="AW106">
        <v>2253164.3199999998</v>
      </c>
    </row>
    <row r="107" spans="1:49" hidden="1" x14ac:dyDescent="0.35">
      <c r="A107">
        <v>5795610</v>
      </c>
      <c r="B107">
        <v>1070005795601</v>
      </c>
      <c r="D107">
        <v>33511960849</v>
      </c>
      <c r="E107" t="s">
        <v>330</v>
      </c>
      <c r="F107" t="s">
        <v>1</v>
      </c>
      <c r="G107" t="s">
        <v>159</v>
      </c>
      <c r="H107" t="s">
        <v>48</v>
      </c>
      <c r="I107">
        <v>6120</v>
      </c>
      <c r="J107">
        <v>3</v>
      </c>
      <c r="K107" t="s">
        <v>32</v>
      </c>
      <c r="L107">
        <v>9056</v>
      </c>
      <c r="M107" t="s">
        <v>326</v>
      </c>
      <c r="N107">
        <v>1</v>
      </c>
      <c r="O107" t="s">
        <v>125</v>
      </c>
      <c r="P107" t="s">
        <v>332</v>
      </c>
      <c r="Q107">
        <v>4160.6000000000004</v>
      </c>
      <c r="R107">
        <v>117200</v>
      </c>
      <c r="S107">
        <v>293</v>
      </c>
      <c r="T107">
        <v>400</v>
      </c>
      <c r="U107">
        <v>26</v>
      </c>
      <c r="V107">
        <v>1342</v>
      </c>
      <c r="W107" t="s">
        <v>121</v>
      </c>
      <c r="X107" t="s">
        <v>1</v>
      </c>
      <c r="Y107">
        <v>5583525.2000000002</v>
      </c>
      <c r="Z107">
        <v>157282400</v>
      </c>
      <c r="AA107">
        <v>536800</v>
      </c>
      <c r="AB107">
        <v>106</v>
      </c>
      <c r="AC107" s="34">
        <v>45900</v>
      </c>
      <c r="AD107" s="34">
        <v>46022</v>
      </c>
      <c r="AF107">
        <v>0</v>
      </c>
      <c r="AG107">
        <v>4160.6000000000004</v>
      </c>
      <c r="AH107">
        <v>0</v>
      </c>
      <c r="AI107">
        <v>5583525.2000000002</v>
      </c>
      <c r="AJ107">
        <v>0</v>
      </c>
      <c r="AK107">
        <v>0</v>
      </c>
      <c r="AL107">
        <v>1457304.64</v>
      </c>
      <c r="AM107">
        <v>0</v>
      </c>
      <c r="AN107">
        <v>7040829.8399999999</v>
      </c>
      <c r="AO107" t="s">
        <v>122</v>
      </c>
      <c r="AP107">
        <v>15</v>
      </c>
      <c r="AQ107">
        <v>624.09</v>
      </c>
      <c r="AR107">
        <v>837528.78</v>
      </c>
      <c r="AT107">
        <v>70320</v>
      </c>
      <c r="AU107">
        <v>2496.36</v>
      </c>
      <c r="AV107">
        <v>94369440</v>
      </c>
      <c r="AW107">
        <v>3350115.12</v>
      </c>
    </row>
    <row r="108" spans="1:49" hidden="1" x14ac:dyDescent="0.35">
      <c r="A108">
        <v>5795710</v>
      </c>
      <c r="B108">
        <v>1170005795701</v>
      </c>
      <c r="D108">
        <v>20162456165</v>
      </c>
      <c r="E108" t="s">
        <v>333</v>
      </c>
      <c r="F108" t="s">
        <v>1</v>
      </c>
      <c r="G108" t="s">
        <v>296</v>
      </c>
      <c r="H108" t="s">
        <v>297</v>
      </c>
      <c r="I108">
        <v>2107</v>
      </c>
      <c r="J108">
        <v>12</v>
      </c>
      <c r="K108" t="s">
        <v>34</v>
      </c>
      <c r="L108">
        <v>10987</v>
      </c>
      <c r="M108" t="s">
        <v>298</v>
      </c>
      <c r="N108">
        <v>1</v>
      </c>
      <c r="O108" t="s">
        <v>125</v>
      </c>
      <c r="P108" t="s">
        <v>306</v>
      </c>
      <c r="Q108">
        <v>823952.25</v>
      </c>
      <c r="R108">
        <v>27742500</v>
      </c>
      <c r="S108">
        <v>75</v>
      </c>
      <c r="T108">
        <v>369900</v>
      </c>
      <c r="U108">
        <v>1</v>
      </c>
      <c r="V108">
        <v>1</v>
      </c>
      <c r="W108" t="s">
        <v>127</v>
      </c>
      <c r="X108">
        <v>24660</v>
      </c>
      <c r="Y108">
        <v>823952.25</v>
      </c>
      <c r="Z108">
        <v>27742500</v>
      </c>
      <c r="AA108">
        <v>369900</v>
      </c>
      <c r="AB108">
        <v>105</v>
      </c>
      <c r="AC108" s="34">
        <v>45889</v>
      </c>
      <c r="AD108" s="34">
        <v>46022</v>
      </c>
      <c r="AF108">
        <v>0</v>
      </c>
      <c r="AG108">
        <v>823952.25</v>
      </c>
      <c r="AH108">
        <v>0</v>
      </c>
      <c r="AI108">
        <v>823952.25</v>
      </c>
      <c r="AJ108">
        <v>0</v>
      </c>
      <c r="AK108">
        <v>0</v>
      </c>
      <c r="AL108">
        <v>210931.78</v>
      </c>
      <c r="AM108">
        <v>0</v>
      </c>
      <c r="AN108">
        <v>1034884.03</v>
      </c>
      <c r="AO108" t="s">
        <v>122</v>
      </c>
      <c r="AP108">
        <v>15</v>
      </c>
      <c r="AQ108">
        <v>123592.84</v>
      </c>
      <c r="AR108">
        <v>123592.84</v>
      </c>
      <c r="AT108">
        <v>16645500</v>
      </c>
      <c r="AU108">
        <v>494371.35</v>
      </c>
      <c r="AV108">
        <v>16645500</v>
      </c>
      <c r="AW108">
        <v>494371.35</v>
      </c>
    </row>
    <row r="109" spans="1:49" hidden="1" x14ac:dyDescent="0.35">
      <c r="A109">
        <v>5795810</v>
      </c>
      <c r="B109">
        <v>1170005795801</v>
      </c>
      <c r="D109">
        <v>30681955999</v>
      </c>
      <c r="E109" t="s">
        <v>334</v>
      </c>
      <c r="F109" t="s">
        <v>1</v>
      </c>
      <c r="G109" t="s">
        <v>226</v>
      </c>
      <c r="H109" t="s">
        <v>63</v>
      </c>
      <c r="I109">
        <v>2535</v>
      </c>
      <c r="J109">
        <v>12</v>
      </c>
      <c r="K109" t="s">
        <v>34</v>
      </c>
      <c r="L109">
        <v>83429</v>
      </c>
      <c r="M109" t="s">
        <v>140</v>
      </c>
      <c r="N109">
        <v>1</v>
      </c>
      <c r="O109" t="s">
        <v>125</v>
      </c>
      <c r="P109" t="s">
        <v>335</v>
      </c>
      <c r="Q109">
        <v>1165185</v>
      </c>
      <c r="R109">
        <v>44388000</v>
      </c>
      <c r="S109">
        <v>60</v>
      </c>
      <c r="T109">
        <v>739800</v>
      </c>
      <c r="U109">
        <v>1</v>
      </c>
      <c r="V109">
        <v>1</v>
      </c>
      <c r="W109" t="s">
        <v>127</v>
      </c>
      <c r="X109">
        <v>24660</v>
      </c>
      <c r="Y109">
        <v>1165185</v>
      </c>
      <c r="Z109">
        <v>44388000</v>
      </c>
      <c r="AA109">
        <v>739800</v>
      </c>
      <c r="AB109">
        <v>214</v>
      </c>
      <c r="AC109" s="34">
        <v>45903</v>
      </c>
      <c r="AD109" s="34">
        <v>46053</v>
      </c>
      <c r="AF109">
        <v>0</v>
      </c>
      <c r="AG109">
        <v>1165185</v>
      </c>
      <c r="AH109">
        <v>0</v>
      </c>
      <c r="AI109">
        <v>1165185</v>
      </c>
      <c r="AJ109">
        <v>0</v>
      </c>
      <c r="AK109">
        <v>0</v>
      </c>
      <c r="AL109">
        <v>298287.37</v>
      </c>
      <c r="AM109">
        <v>0</v>
      </c>
      <c r="AN109">
        <v>1463472.37</v>
      </c>
      <c r="AO109" t="s">
        <v>122</v>
      </c>
      <c r="AP109">
        <v>14.521000000000001</v>
      </c>
      <c r="AQ109">
        <v>169202.25</v>
      </c>
      <c r="AR109">
        <v>169202.25</v>
      </c>
      <c r="AT109">
        <v>26632800</v>
      </c>
      <c r="AU109">
        <v>699111</v>
      </c>
      <c r="AV109">
        <v>26632800</v>
      </c>
      <c r="AW109">
        <v>699111</v>
      </c>
    </row>
    <row r="110" spans="1:49" hidden="1" x14ac:dyDescent="0.35">
      <c r="A110">
        <v>5795910</v>
      </c>
      <c r="B110">
        <v>1250005795901</v>
      </c>
      <c r="D110">
        <v>30601358502</v>
      </c>
      <c r="E110" t="s">
        <v>336</v>
      </c>
      <c r="F110" t="s">
        <v>1</v>
      </c>
      <c r="G110" t="s">
        <v>174</v>
      </c>
      <c r="H110" t="s">
        <v>51</v>
      </c>
      <c r="I110">
        <v>5929</v>
      </c>
      <c r="J110">
        <v>3</v>
      </c>
      <c r="K110" t="s">
        <v>32</v>
      </c>
      <c r="L110">
        <v>6435</v>
      </c>
      <c r="M110" t="s">
        <v>175</v>
      </c>
      <c r="N110">
        <v>1</v>
      </c>
      <c r="O110" t="s">
        <v>125</v>
      </c>
      <c r="P110" t="s">
        <v>337</v>
      </c>
      <c r="Q110">
        <v>3756211.2</v>
      </c>
      <c r="R110">
        <v>69048000</v>
      </c>
      <c r="S110">
        <v>140</v>
      </c>
      <c r="T110">
        <v>493200</v>
      </c>
      <c r="U110">
        <v>1</v>
      </c>
      <c r="V110">
        <v>1</v>
      </c>
      <c r="W110" t="s">
        <v>127</v>
      </c>
      <c r="X110">
        <v>24660</v>
      </c>
      <c r="Y110">
        <v>3756211.2</v>
      </c>
      <c r="Z110">
        <v>69048000</v>
      </c>
      <c r="AA110">
        <v>493200</v>
      </c>
      <c r="AB110">
        <v>214</v>
      </c>
      <c r="AC110" s="34">
        <v>45901</v>
      </c>
      <c r="AD110" s="34">
        <v>46022</v>
      </c>
      <c r="AF110">
        <v>1</v>
      </c>
      <c r="AG110">
        <v>3756211.2</v>
      </c>
      <c r="AH110">
        <v>0</v>
      </c>
      <c r="AI110">
        <v>3756211.2</v>
      </c>
      <c r="AJ110">
        <v>0</v>
      </c>
      <c r="AK110">
        <v>0</v>
      </c>
      <c r="AL110">
        <v>980371.13</v>
      </c>
      <c r="AM110">
        <v>0</v>
      </c>
      <c r="AN110">
        <v>4736582.33</v>
      </c>
      <c r="AO110" t="s">
        <v>122</v>
      </c>
      <c r="AP110">
        <v>15</v>
      </c>
      <c r="AQ110">
        <v>563431.68000000005</v>
      </c>
      <c r="AR110">
        <v>563431.68000000005</v>
      </c>
      <c r="AT110">
        <v>41428800</v>
      </c>
      <c r="AU110">
        <v>2253726.7200000002</v>
      </c>
      <c r="AV110">
        <v>41428800</v>
      </c>
      <c r="AW110">
        <v>2253726.7200000002</v>
      </c>
    </row>
    <row r="111" spans="1:49" hidden="1" x14ac:dyDescent="0.35">
      <c r="A111">
        <v>5796010</v>
      </c>
      <c r="B111">
        <v>1150005796001</v>
      </c>
      <c r="D111">
        <v>20244046194</v>
      </c>
      <c r="E111" t="s">
        <v>338</v>
      </c>
      <c r="F111" t="s">
        <v>1</v>
      </c>
      <c r="G111" t="s">
        <v>266</v>
      </c>
      <c r="H111" t="s">
        <v>266</v>
      </c>
      <c r="I111">
        <v>5127</v>
      </c>
      <c r="J111">
        <v>3</v>
      </c>
      <c r="K111" t="s">
        <v>32</v>
      </c>
      <c r="L111">
        <v>7067</v>
      </c>
      <c r="M111" t="s">
        <v>339</v>
      </c>
      <c r="N111">
        <v>1</v>
      </c>
      <c r="O111" t="s">
        <v>125</v>
      </c>
      <c r="P111" t="s">
        <v>340</v>
      </c>
      <c r="Q111">
        <v>1563.61</v>
      </c>
      <c r="R111">
        <v>37200</v>
      </c>
      <c r="S111">
        <v>93</v>
      </c>
      <c r="T111">
        <v>400</v>
      </c>
      <c r="U111">
        <v>26</v>
      </c>
      <c r="V111">
        <v>1361.5</v>
      </c>
      <c r="W111" t="s">
        <v>121</v>
      </c>
      <c r="X111" t="s">
        <v>1</v>
      </c>
      <c r="Y111">
        <v>2128855.02</v>
      </c>
      <c r="Z111">
        <v>50647800</v>
      </c>
      <c r="AA111">
        <v>544600</v>
      </c>
      <c r="AB111">
        <v>106</v>
      </c>
      <c r="AC111" s="34">
        <v>45906</v>
      </c>
      <c r="AD111" s="34">
        <v>46022</v>
      </c>
      <c r="AE111" t="s">
        <v>161</v>
      </c>
      <c r="AF111">
        <v>0</v>
      </c>
      <c r="AG111">
        <v>11701.9</v>
      </c>
      <c r="AH111">
        <v>0</v>
      </c>
      <c r="AI111">
        <v>15932136.85</v>
      </c>
      <c r="AJ111">
        <v>0</v>
      </c>
      <c r="AK111">
        <v>0</v>
      </c>
      <c r="AL111">
        <v>4158293.3</v>
      </c>
      <c r="AM111">
        <v>0</v>
      </c>
      <c r="AN111">
        <v>20090430.149999999</v>
      </c>
      <c r="AO111" t="s">
        <v>122</v>
      </c>
      <c r="AP111">
        <v>15</v>
      </c>
      <c r="AQ111">
        <v>1755.29</v>
      </c>
      <c r="AR111">
        <v>2389827.34</v>
      </c>
      <c r="AT111">
        <v>22320</v>
      </c>
      <c r="AU111">
        <v>938.17</v>
      </c>
      <c r="AV111">
        <v>30388680</v>
      </c>
      <c r="AW111">
        <v>1277318.46</v>
      </c>
    </row>
    <row r="112" spans="1:49" hidden="1" x14ac:dyDescent="0.35">
      <c r="A112">
        <v>5796010</v>
      </c>
      <c r="B112">
        <v>1150005796001</v>
      </c>
      <c r="D112">
        <v>20244046194</v>
      </c>
      <c r="E112" t="s">
        <v>338</v>
      </c>
      <c r="F112" t="s">
        <v>1</v>
      </c>
      <c r="G112" t="s">
        <v>266</v>
      </c>
      <c r="H112" t="s">
        <v>266</v>
      </c>
      <c r="I112">
        <v>5127</v>
      </c>
      <c r="J112">
        <v>3</v>
      </c>
      <c r="K112" t="s">
        <v>32</v>
      </c>
      <c r="L112">
        <v>7067</v>
      </c>
      <c r="M112" t="s">
        <v>339</v>
      </c>
      <c r="N112">
        <v>2</v>
      </c>
      <c r="O112" t="s">
        <v>125</v>
      </c>
      <c r="P112" t="s">
        <v>341</v>
      </c>
      <c r="Q112">
        <v>1563.66</v>
      </c>
      <c r="R112">
        <v>37200</v>
      </c>
      <c r="S112">
        <v>93</v>
      </c>
      <c r="T112">
        <v>400</v>
      </c>
      <c r="U112">
        <v>26</v>
      </c>
      <c r="V112">
        <v>1361.5</v>
      </c>
      <c r="W112" t="s">
        <v>121</v>
      </c>
      <c r="X112" t="s">
        <v>1</v>
      </c>
      <c r="Y112">
        <v>2128923.09</v>
      </c>
      <c r="Z112">
        <v>50647800</v>
      </c>
      <c r="AA112">
        <v>544600</v>
      </c>
      <c r="AB112">
        <v>106</v>
      </c>
      <c r="AC112" s="34">
        <v>45906</v>
      </c>
      <c r="AD112" s="34">
        <v>46022</v>
      </c>
      <c r="AE112" t="s">
        <v>161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 t="s">
        <v>122</v>
      </c>
      <c r="AT112">
        <v>22320</v>
      </c>
      <c r="AU112">
        <v>938.2</v>
      </c>
      <c r="AV112">
        <v>30388680</v>
      </c>
      <c r="AW112">
        <v>1277359.3</v>
      </c>
    </row>
    <row r="113" spans="1:49" hidden="1" x14ac:dyDescent="0.35">
      <c r="A113">
        <v>5796010</v>
      </c>
      <c r="B113">
        <v>1150005796001</v>
      </c>
      <c r="D113">
        <v>20244046194</v>
      </c>
      <c r="E113" t="s">
        <v>338</v>
      </c>
      <c r="F113" t="s">
        <v>1</v>
      </c>
      <c r="G113" t="s">
        <v>266</v>
      </c>
      <c r="H113" t="s">
        <v>266</v>
      </c>
      <c r="I113">
        <v>5127</v>
      </c>
      <c r="J113">
        <v>3</v>
      </c>
      <c r="K113" t="s">
        <v>32</v>
      </c>
      <c r="L113">
        <v>7067</v>
      </c>
      <c r="M113" t="s">
        <v>339</v>
      </c>
      <c r="N113">
        <v>3</v>
      </c>
      <c r="O113" t="s">
        <v>125</v>
      </c>
      <c r="P113" t="s">
        <v>342</v>
      </c>
      <c r="Q113">
        <v>4136</v>
      </c>
      <c r="R113">
        <v>98400</v>
      </c>
      <c r="S113">
        <v>246</v>
      </c>
      <c r="T113">
        <v>400</v>
      </c>
      <c r="U113">
        <v>26</v>
      </c>
      <c r="V113">
        <v>1361.5</v>
      </c>
      <c r="W113" t="s">
        <v>121</v>
      </c>
      <c r="X113" t="s">
        <v>1</v>
      </c>
      <c r="Y113">
        <v>5631164</v>
      </c>
      <c r="Z113">
        <v>133971600</v>
      </c>
      <c r="AA113">
        <v>544600</v>
      </c>
      <c r="AB113">
        <v>106</v>
      </c>
      <c r="AC113" s="34">
        <v>45906</v>
      </c>
      <c r="AD113" s="34">
        <v>46022</v>
      </c>
      <c r="AE113" t="s">
        <v>161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 t="s">
        <v>122</v>
      </c>
      <c r="AT113">
        <v>59040</v>
      </c>
      <c r="AU113">
        <v>2481.6</v>
      </c>
      <c r="AV113">
        <v>80382960</v>
      </c>
      <c r="AW113">
        <v>3378698.4</v>
      </c>
    </row>
    <row r="114" spans="1:49" hidden="1" x14ac:dyDescent="0.35">
      <c r="A114">
        <v>5796010</v>
      </c>
      <c r="B114">
        <v>1150005796001</v>
      </c>
      <c r="D114">
        <v>20244046194</v>
      </c>
      <c r="E114" t="s">
        <v>338</v>
      </c>
      <c r="F114" t="s">
        <v>1</v>
      </c>
      <c r="G114" t="s">
        <v>266</v>
      </c>
      <c r="H114" t="s">
        <v>266</v>
      </c>
      <c r="I114">
        <v>5127</v>
      </c>
      <c r="J114">
        <v>3</v>
      </c>
      <c r="K114" t="s">
        <v>32</v>
      </c>
      <c r="L114">
        <v>7067</v>
      </c>
      <c r="M114" t="s">
        <v>339</v>
      </c>
      <c r="N114">
        <v>4</v>
      </c>
      <c r="O114" t="s">
        <v>125</v>
      </c>
      <c r="P114" t="s">
        <v>343</v>
      </c>
      <c r="Q114">
        <v>4438.63</v>
      </c>
      <c r="R114">
        <v>105600</v>
      </c>
      <c r="S114">
        <v>264</v>
      </c>
      <c r="T114">
        <v>400</v>
      </c>
      <c r="U114">
        <v>26</v>
      </c>
      <c r="V114">
        <v>1361.5</v>
      </c>
      <c r="W114" t="s">
        <v>121</v>
      </c>
      <c r="X114" t="s">
        <v>1</v>
      </c>
      <c r="Y114">
        <v>6043194.75</v>
      </c>
      <c r="Z114">
        <v>143774400</v>
      </c>
      <c r="AA114">
        <v>544600</v>
      </c>
      <c r="AB114">
        <v>106</v>
      </c>
      <c r="AC114" s="34">
        <v>45906</v>
      </c>
      <c r="AD114" s="34">
        <v>46022</v>
      </c>
      <c r="AE114" t="s">
        <v>161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 t="s">
        <v>122</v>
      </c>
      <c r="AT114">
        <v>63360</v>
      </c>
      <c r="AU114">
        <v>2663.18</v>
      </c>
      <c r="AV114">
        <v>86264640</v>
      </c>
      <c r="AW114">
        <v>3625919.57</v>
      </c>
    </row>
    <row r="115" spans="1:49" hidden="1" x14ac:dyDescent="0.35">
      <c r="A115">
        <v>5796110</v>
      </c>
      <c r="B115">
        <v>1150005796101</v>
      </c>
      <c r="D115">
        <v>33718030329</v>
      </c>
      <c r="E115" t="s">
        <v>344</v>
      </c>
      <c r="F115" t="s">
        <v>1</v>
      </c>
      <c r="G115" t="s">
        <v>266</v>
      </c>
      <c r="H115" t="s">
        <v>266</v>
      </c>
      <c r="I115">
        <v>5127</v>
      </c>
      <c r="J115">
        <v>3</v>
      </c>
      <c r="K115" t="s">
        <v>32</v>
      </c>
      <c r="L115">
        <v>7067</v>
      </c>
      <c r="M115" t="s">
        <v>339</v>
      </c>
      <c r="N115">
        <v>1</v>
      </c>
      <c r="O115" t="s">
        <v>125</v>
      </c>
      <c r="P115" t="s">
        <v>345</v>
      </c>
      <c r="Q115">
        <v>907.2</v>
      </c>
      <c r="R115">
        <v>21600</v>
      </c>
      <c r="S115">
        <v>54</v>
      </c>
      <c r="T115">
        <v>400</v>
      </c>
      <c r="U115">
        <v>26</v>
      </c>
      <c r="V115">
        <v>1361.5</v>
      </c>
      <c r="W115" t="s">
        <v>121</v>
      </c>
      <c r="X115" t="s">
        <v>1</v>
      </c>
      <c r="Y115">
        <v>1235152.8</v>
      </c>
      <c r="Z115">
        <v>29408400</v>
      </c>
      <c r="AA115">
        <v>544600</v>
      </c>
      <c r="AB115">
        <v>106</v>
      </c>
      <c r="AC115" s="34">
        <v>45906</v>
      </c>
      <c r="AD115" s="34">
        <v>46022</v>
      </c>
      <c r="AE115" t="s">
        <v>161</v>
      </c>
      <c r="AF115">
        <v>0</v>
      </c>
      <c r="AG115">
        <v>3661.2</v>
      </c>
      <c r="AH115">
        <v>0</v>
      </c>
      <c r="AI115">
        <v>4984723.8</v>
      </c>
      <c r="AJ115">
        <v>0</v>
      </c>
      <c r="AK115">
        <v>0</v>
      </c>
      <c r="AL115">
        <v>1301022.17</v>
      </c>
      <c r="AM115">
        <v>0</v>
      </c>
      <c r="AN115">
        <v>6285745.9699999997</v>
      </c>
      <c r="AO115" t="s">
        <v>122</v>
      </c>
      <c r="AP115">
        <v>15</v>
      </c>
      <c r="AQ115">
        <v>549.17999999999995</v>
      </c>
      <c r="AR115">
        <v>747708.57</v>
      </c>
      <c r="AT115">
        <v>12960</v>
      </c>
      <c r="AU115">
        <v>544.32000000000005</v>
      </c>
      <c r="AV115">
        <v>17645040</v>
      </c>
      <c r="AW115">
        <v>741091.68</v>
      </c>
    </row>
    <row r="116" spans="1:49" hidden="1" x14ac:dyDescent="0.35">
      <c r="A116">
        <v>5796110</v>
      </c>
      <c r="B116">
        <v>1150005796101</v>
      </c>
      <c r="D116">
        <v>33718030329</v>
      </c>
      <c r="E116" t="s">
        <v>344</v>
      </c>
      <c r="F116" t="s">
        <v>1</v>
      </c>
      <c r="G116" t="s">
        <v>266</v>
      </c>
      <c r="H116" t="s">
        <v>266</v>
      </c>
      <c r="I116">
        <v>5127</v>
      </c>
      <c r="J116">
        <v>3</v>
      </c>
      <c r="K116" t="s">
        <v>32</v>
      </c>
      <c r="L116">
        <v>7067</v>
      </c>
      <c r="M116" t="s">
        <v>339</v>
      </c>
      <c r="N116">
        <v>2</v>
      </c>
      <c r="O116" t="s">
        <v>125</v>
      </c>
      <c r="P116" t="s">
        <v>346</v>
      </c>
      <c r="Q116">
        <v>2754</v>
      </c>
      <c r="R116">
        <v>64800</v>
      </c>
      <c r="S116">
        <v>162</v>
      </c>
      <c r="T116">
        <v>400</v>
      </c>
      <c r="U116">
        <v>26</v>
      </c>
      <c r="V116">
        <v>1361.5</v>
      </c>
      <c r="W116" t="s">
        <v>121</v>
      </c>
      <c r="X116" t="s">
        <v>1</v>
      </c>
      <c r="Y116">
        <v>3749571</v>
      </c>
      <c r="Z116">
        <v>88225200</v>
      </c>
      <c r="AA116">
        <v>544600</v>
      </c>
      <c r="AB116">
        <v>106</v>
      </c>
      <c r="AC116" s="34">
        <v>45906</v>
      </c>
      <c r="AD116" s="34">
        <v>46022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 t="s">
        <v>122</v>
      </c>
      <c r="AT116">
        <v>38880</v>
      </c>
      <c r="AU116">
        <v>1652.4</v>
      </c>
      <c r="AV116">
        <v>52935120</v>
      </c>
      <c r="AW116">
        <v>2249742.6</v>
      </c>
    </row>
    <row r="117" spans="1:49" hidden="1" x14ac:dyDescent="0.35">
      <c r="A117">
        <v>5796210</v>
      </c>
      <c r="B117">
        <v>1150005796201</v>
      </c>
      <c r="D117">
        <v>30711816689</v>
      </c>
      <c r="E117" t="s">
        <v>347</v>
      </c>
      <c r="F117" t="s">
        <v>1</v>
      </c>
      <c r="G117" t="s">
        <v>266</v>
      </c>
      <c r="H117" t="s">
        <v>266</v>
      </c>
      <c r="I117">
        <v>5127</v>
      </c>
      <c r="J117">
        <v>3</v>
      </c>
      <c r="K117" t="s">
        <v>32</v>
      </c>
      <c r="L117">
        <v>7067</v>
      </c>
      <c r="M117" t="s">
        <v>339</v>
      </c>
      <c r="N117">
        <v>1</v>
      </c>
      <c r="O117" t="s">
        <v>125</v>
      </c>
      <c r="P117" t="s">
        <v>348</v>
      </c>
      <c r="Q117">
        <v>3024</v>
      </c>
      <c r="R117">
        <v>72000</v>
      </c>
      <c r="S117">
        <v>180</v>
      </c>
      <c r="T117">
        <v>400</v>
      </c>
      <c r="U117">
        <v>26</v>
      </c>
      <c r="V117">
        <v>1355</v>
      </c>
      <c r="W117" t="s">
        <v>121</v>
      </c>
      <c r="X117" t="s">
        <v>1</v>
      </c>
      <c r="Y117">
        <v>4097520</v>
      </c>
      <c r="Z117">
        <v>97560000</v>
      </c>
      <c r="AA117">
        <v>542000</v>
      </c>
      <c r="AB117">
        <v>106</v>
      </c>
      <c r="AC117" s="34">
        <v>45906</v>
      </c>
      <c r="AD117" s="34">
        <v>46022</v>
      </c>
      <c r="AE117" t="s">
        <v>161</v>
      </c>
      <c r="AF117">
        <v>0</v>
      </c>
      <c r="AG117">
        <v>3024</v>
      </c>
      <c r="AH117">
        <v>0</v>
      </c>
      <c r="AI117">
        <v>4097520</v>
      </c>
      <c r="AJ117">
        <v>0</v>
      </c>
      <c r="AK117">
        <v>0</v>
      </c>
      <c r="AL117">
        <v>1069447.3</v>
      </c>
      <c r="AM117">
        <v>0</v>
      </c>
      <c r="AN117">
        <v>5166967.3</v>
      </c>
      <c r="AO117" t="s">
        <v>122</v>
      </c>
      <c r="AP117">
        <v>15</v>
      </c>
      <c r="AQ117">
        <v>453.6</v>
      </c>
      <c r="AR117">
        <v>614628</v>
      </c>
      <c r="AT117">
        <v>43200</v>
      </c>
      <c r="AU117">
        <v>1814.4</v>
      </c>
      <c r="AV117">
        <v>58536000</v>
      </c>
      <c r="AW117">
        <v>2458512</v>
      </c>
    </row>
    <row r="118" spans="1:49" hidden="1" x14ac:dyDescent="0.35">
      <c r="A118">
        <v>5796310</v>
      </c>
      <c r="B118">
        <v>1090005796301</v>
      </c>
      <c r="D118">
        <v>20145145040</v>
      </c>
      <c r="E118" t="s">
        <v>349</v>
      </c>
      <c r="F118" t="s">
        <v>1</v>
      </c>
      <c r="G118" t="s">
        <v>27</v>
      </c>
      <c r="H118" t="s">
        <v>27</v>
      </c>
      <c r="I118">
        <v>8180</v>
      </c>
      <c r="J118">
        <v>1</v>
      </c>
      <c r="K118" t="s">
        <v>16</v>
      </c>
      <c r="L118">
        <v>6039</v>
      </c>
      <c r="M118" t="s">
        <v>274</v>
      </c>
      <c r="N118">
        <v>1</v>
      </c>
      <c r="O118" t="s">
        <v>125</v>
      </c>
      <c r="P118" t="s">
        <v>350</v>
      </c>
      <c r="Q118">
        <v>835.2</v>
      </c>
      <c r="R118">
        <v>28800</v>
      </c>
      <c r="S118">
        <v>96</v>
      </c>
      <c r="T118">
        <v>300</v>
      </c>
      <c r="U118">
        <v>26</v>
      </c>
      <c r="V118">
        <v>1355</v>
      </c>
      <c r="W118" t="s">
        <v>121</v>
      </c>
      <c r="X118" t="s">
        <v>1</v>
      </c>
      <c r="Y118">
        <v>1131696</v>
      </c>
      <c r="Z118">
        <v>39024000</v>
      </c>
      <c r="AA118">
        <v>406500</v>
      </c>
      <c r="AB118">
        <v>106</v>
      </c>
      <c r="AC118" s="34">
        <v>45908</v>
      </c>
      <c r="AD118" s="34">
        <v>46053</v>
      </c>
      <c r="AF118">
        <v>0</v>
      </c>
      <c r="AG118">
        <v>4863.45</v>
      </c>
      <c r="AH118">
        <v>0</v>
      </c>
      <c r="AI118">
        <v>6589974.75</v>
      </c>
      <c r="AJ118">
        <v>0</v>
      </c>
      <c r="AK118">
        <v>0</v>
      </c>
      <c r="AL118">
        <v>1654075.6</v>
      </c>
      <c r="AM118">
        <v>0</v>
      </c>
      <c r="AN118">
        <v>8244050.3499999996</v>
      </c>
      <c r="AO118" t="s">
        <v>122</v>
      </c>
      <c r="AP118">
        <v>12</v>
      </c>
      <c r="AQ118">
        <v>583.61</v>
      </c>
      <c r="AR118">
        <v>790791.55</v>
      </c>
      <c r="AT118">
        <v>17280</v>
      </c>
      <c r="AU118">
        <v>501.12</v>
      </c>
      <c r="AV118">
        <v>23414400</v>
      </c>
      <c r="AW118">
        <v>679017.6</v>
      </c>
    </row>
    <row r="119" spans="1:49" hidden="1" x14ac:dyDescent="0.35">
      <c r="A119">
        <v>5796310</v>
      </c>
      <c r="B119">
        <v>1090005796301</v>
      </c>
      <c r="D119">
        <v>20145145040</v>
      </c>
      <c r="E119" t="s">
        <v>349</v>
      </c>
      <c r="F119" t="s">
        <v>1</v>
      </c>
      <c r="G119" t="s">
        <v>27</v>
      </c>
      <c r="H119" t="s">
        <v>27</v>
      </c>
      <c r="I119">
        <v>8180</v>
      </c>
      <c r="J119">
        <v>1</v>
      </c>
      <c r="K119" t="s">
        <v>16</v>
      </c>
      <c r="L119">
        <v>6039</v>
      </c>
      <c r="M119" t="s">
        <v>274</v>
      </c>
      <c r="N119">
        <v>2</v>
      </c>
      <c r="O119" t="s">
        <v>125</v>
      </c>
      <c r="P119" t="s">
        <v>351</v>
      </c>
      <c r="Q119">
        <v>522</v>
      </c>
      <c r="R119">
        <v>18000</v>
      </c>
      <c r="S119">
        <v>60</v>
      </c>
      <c r="T119">
        <v>300</v>
      </c>
      <c r="U119">
        <v>26</v>
      </c>
      <c r="V119">
        <v>1355</v>
      </c>
      <c r="W119" t="s">
        <v>121</v>
      </c>
      <c r="X119" t="s">
        <v>1</v>
      </c>
      <c r="Y119">
        <v>707310</v>
      </c>
      <c r="Z119">
        <v>24390000</v>
      </c>
      <c r="AA119">
        <v>406500</v>
      </c>
      <c r="AB119">
        <v>106</v>
      </c>
      <c r="AC119" s="34">
        <v>45908</v>
      </c>
      <c r="AD119" s="34">
        <v>46053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 t="s">
        <v>122</v>
      </c>
      <c r="AT119">
        <v>10800</v>
      </c>
      <c r="AU119">
        <v>313.2</v>
      </c>
      <c r="AV119">
        <v>14634000</v>
      </c>
      <c r="AW119">
        <v>424386</v>
      </c>
    </row>
    <row r="120" spans="1:49" hidden="1" x14ac:dyDescent="0.35">
      <c r="A120">
        <v>5796310</v>
      </c>
      <c r="B120">
        <v>1090005796301</v>
      </c>
      <c r="D120">
        <v>20145145040</v>
      </c>
      <c r="E120" t="s">
        <v>349</v>
      </c>
      <c r="F120" t="s">
        <v>1</v>
      </c>
      <c r="G120" t="s">
        <v>27</v>
      </c>
      <c r="H120" t="s">
        <v>27</v>
      </c>
      <c r="I120">
        <v>8180</v>
      </c>
      <c r="J120">
        <v>1</v>
      </c>
      <c r="K120" t="s">
        <v>16</v>
      </c>
      <c r="L120">
        <v>6039</v>
      </c>
      <c r="M120" t="s">
        <v>274</v>
      </c>
      <c r="N120">
        <v>3</v>
      </c>
      <c r="O120" t="s">
        <v>125</v>
      </c>
      <c r="P120" t="s">
        <v>352</v>
      </c>
      <c r="Q120">
        <v>435</v>
      </c>
      <c r="R120">
        <v>15000</v>
      </c>
      <c r="S120">
        <v>50</v>
      </c>
      <c r="T120">
        <v>300</v>
      </c>
      <c r="U120">
        <v>26</v>
      </c>
      <c r="V120">
        <v>1355</v>
      </c>
      <c r="W120" t="s">
        <v>121</v>
      </c>
      <c r="X120" t="s">
        <v>1</v>
      </c>
      <c r="Y120">
        <v>589425</v>
      </c>
      <c r="Z120">
        <v>20325000</v>
      </c>
      <c r="AA120">
        <v>406500</v>
      </c>
      <c r="AB120">
        <v>106</v>
      </c>
      <c r="AC120" s="34">
        <v>45908</v>
      </c>
      <c r="AD120" s="34">
        <v>46053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 t="s">
        <v>122</v>
      </c>
      <c r="AT120">
        <v>9000</v>
      </c>
      <c r="AU120">
        <v>261</v>
      </c>
      <c r="AV120">
        <v>12195000</v>
      </c>
      <c r="AW120">
        <v>353655</v>
      </c>
    </row>
    <row r="121" spans="1:49" hidden="1" x14ac:dyDescent="0.35">
      <c r="A121">
        <v>5796310</v>
      </c>
      <c r="B121">
        <v>1090005796301</v>
      </c>
      <c r="D121">
        <v>20145145040</v>
      </c>
      <c r="E121" t="s">
        <v>349</v>
      </c>
      <c r="F121" t="s">
        <v>1</v>
      </c>
      <c r="G121" t="s">
        <v>27</v>
      </c>
      <c r="H121" t="s">
        <v>27</v>
      </c>
      <c r="I121">
        <v>8180</v>
      </c>
      <c r="J121">
        <v>1</v>
      </c>
      <c r="K121" t="s">
        <v>16</v>
      </c>
      <c r="L121">
        <v>6039</v>
      </c>
      <c r="M121" t="s">
        <v>274</v>
      </c>
      <c r="N121">
        <v>4</v>
      </c>
      <c r="O121" t="s">
        <v>125</v>
      </c>
      <c r="P121" t="s">
        <v>353</v>
      </c>
      <c r="Q121">
        <v>435</v>
      </c>
      <c r="R121">
        <v>15000</v>
      </c>
      <c r="S121">
        <v>50</v>
      </c>
      <c r="T121">
        <v>300</v>
      </c>
      <c r="U121">
        <v>26</v>
      </c>
      <c r="V121">
        <v>1355</v>
      </c>
      <c r="W121" t="s">
        <v>121</v>
      </c>
      <c r="X121" t="s">
        <v>1</v>
      </c>
      <c r="Y121">
        <v>589425</v>
      </c>
      <c r="Z121">
        <v>20325000</v>
      </c>
      <c r="AA121">
        <v>406500</v>
      </c>
      <c r="AB121">
        <v>106</v>
      </c>
      <c r="AC121" s="34">
        <v>45908</v>
      </c>
      <c r="AD121" s="34">
        <v>46053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 t="s">
        <v>122</v>
      </c>
      <c r="AT121">
        <v>9000</v>
      </c>
      <c r="AU121">
        <v>261</v>
      </c>
      <c r="AV121">
        <v>12195000</v>
      </c>
      <c r="AW121">
        <v>353655</v>
      </c>
    </row>
    <row r="122" spans="1:49" hidden="1" x14ac:dyDescent="0.35">
      <c r="A122">
        <v>5796310</v>
      </c>
      <c r="B122">
        <v>1090005796301</v>
      </c>
      <c r="D122">
        <v>20145145040</v>
      </c>
      <c r="E122" t="s">
        <v>349</v>
      </c>
      <c r="F122" t="s">
        <v>1</v>
      </c>
      <c r="G122" t="s">
        <v>27</v>
      </c>
      <c r="H122" t="s">
        <v>27</v>
      </c>
      <c r="I122">
        <v>8180</v>
      </c>
      <c r="J122">
        <v>1</v>
      </c>
      <c r="K122" t="s">
        <v>16</v>
      </c>
      <c r="L122">
        <v>6039</v>
      </c>
      <c r="M122" t="s">
        <v>274</v>
      </c>
      <c r="N122">
        <v>5</v>
      </c>
      <c r="O122" t="s">
        <v>125</v>
      </c>
      <c r="P122" t="s">
        <v>354</v>
      </c>
      <c r="Q122">
        <v>570</v>
      </c>
      <c r="R122">
        <v>12000</v>
      </c>
      <c r="S122">
        <v>40</v>
      </c>
      <c r="T122">
        <v>300</v>
      </c>
      <c r="U122">
        <v>26</v>
      </c>
      <c r="V122">
        <v>1355</v>
      </c>
      <c r="W122" t="s">
        <v>121</v>
      </c>
      <c r="X122" t="s">
        <v>1</v>
      </c>
      <c r="Y122">
        <v>772350</v>
      </c>
      <c r="Z122">
        <v>16260000</v>
      </c>
      <c r="AA122">
        <v>406500</v>
      </c>
      <c r="AB122">
        <v>106</v>
      </c>
      <c r="AC122" s="34">
        <v>45908</v>
      </c>
      <c r="AD122" s="34">
        <v>46053</v>
      </c>
      <c r="AE122" t="s">
        <v>355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 t="s">
        <v>122</v>
      </c>
      <c r="AT122">
        <v>7200</v>
      </c>
      <c r="AU122">
        <v>342</v>
      </c>
      <c r="AV122">
        <v>9756000</v>
      </c>
      <c r="AW122">
        <v>463410</v>
      </c>
    </row>
    <row r="123" spans="1:49" hidden="1" x14ac:dyDescent="0.35">
      <c r="A123">
        <v>5796310</v>
      </c>
      <c r="B123">
        <v>1090005796301</v>
      </c>
      <c r="D123">
        <v>20145145040</v>
      </c>
      <c r="E123" t="s">
        <v>349</v>
      </c>
      <c r="F123" t="s">
        <v>1</v>
      </c>
      <c r="G123" t="s">
        <v>27</v>
      </c>
      <c r="H123" t="s">
        <v>27</v>
      </c>
      <c r="I123">
        <v>8180</v>
      </c>
      <c r="J123">
        <v>1</v>
      </c>
      <c r="K123" t="s">
        <v>16</v>
      </c>
      <c r="L123">
        <v>6039</v>
      </c>
      <c r="M123" t="s">
        <v>274</v>
      </c>
      <c r="N123">
        <v>6</v>
      </c>
      <c r="O123" t="s">
        <v>125</v>
      </c>
      <c r="P123" t="s">
        <v>356</v>
      </c>
      <c r="Q123">
        <v>356.25</v>
      </c>
      <c r="R123">
        <v>7500</v>
      </c>
      <c r="S123">
        <v>25</v>
      </c>
      <c r="T123">
        <v>300</v>
      </c>
      <c r="U123">
        <v>26</v>
      </c>
      <c r="V123">
        <v>1355</v>
      </c>
      <c r="W123" t="s">
        <v>121</v>
      </c>
      <c r="X123" t="s">
        <v>1</v>
      </c>
      <c r="Y123">
        <v>482718.75</v>
      </c>
      <c r="Z123">
        <v>10162500</v>
      </c>
      <c r="AA123">
        <v>406500</v>
      </c>
      <c r="AB123">
        <v>106</v>
      </c>
      <c r="AC123" s="34">
        <v>45908</v>
      </c>
      <c r="AD123" s="34">
        <v>46053</v>
      </c>
      <c r="AE123" t="s">
        <v>355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 t="s">
        <v>122</v>
      </c>
      <c r="AT123">
        <v>4500</v>
      </c>
      <c r="AU123">
        <v>213.75</v>
      </c>
      <c r="AV123">
        <v>6097500</v>
      </c>
      <c r="AW123">
        <v>289631.25</v>
      </c>
    </row>
    <row r="124" spans="1:49" hidden="1" x14ac:dyDescent="0.35">
      <c r="A124">
        <v>5796310</v>
      </c>
      <c r="B124">
        <v>1090005796301</v>
      </c>
      <c r="D124">
        <v>20145145040</v>
      </c>
      <c r="E124" t="s">
        <v>349</v>
      </c>
      <c r="F124" t="s">
        <v>1</v>
      </c>
      <c r="G124" t="s">
        <v>27</v>
      </c>
      <c r="H124" t="s">
        <v>27</v>
      </c>
      <c r="I124">
        <v>8180</v>
      </c>
      <c r="J124">
        <v>1</v>
      </c>
      <c r="K124" t="s">
        <v>16</v>
      </c>
      <c r="L124">
        <v>6039</v>
      </c>
      <c r="M124" t="s">
        <v>274</v>
      </c>
      <c r="N124">
        <v>7</v>
      </c>
      <c r="O124" t="s">
        <v>125</v>
      </c>
      <c r="P124" t="s">
        <v>357</v>
      </c>
      <c r="Q124">
        <v>712.5</v>
      </c>
      <c r="R124">
        <v>15000</v>
      </c>
      <c r="S124">
        <v>50</v>
      </c>
      <c r="T124">
        <v>300</v>
      </c>
      <c r="U124">
        <v>26</v>
      </c>
      <c r="V124">
        <v>1355</v>
      </c>
      <c r="W124" t="s">
        <v>121</v>
      </c>
      <c r="X124" t="s">
        <v>1</v>
      </c>
      <c r="Y124">
        <v>965437.5</v>
      </c>
      <c r="Z124">
        <v>20325000</v>
      </c>
      <c r="AA124">
        <v>406500</v>
      </c>
      <c r="AB124">
        <v>106</v>
      </c>
      <c r="AC124" s="34">
        <v>45908</v>
      </c>
      <c r="AD124" s="34">
        <v>46053</v>
      </c>
      <c r="AE124" t="s">
        <v>355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 t="s">
        <v>122</v>
      </c>
      <c r="AT124">
        <v>9000</v>
      </c>
      <c r="AU124">
        <v>427.5</v>
      </c>
      <c r="AV124">
        <v>12195000</v>
      </c>
      <c r="AW124">
        <v>579262.5</v>
      </c>
    </row>
    <row r="125" spans="1:49" hidden="1" x14ac:dyDescent="0.35">
      <c r="A125">
        <v>5796310</v>
      </c>
      <c r="B125">
        <v>1090005796301</v>
      </c>
      <c r="D125">
        <v>20145145040</v>
      </c>
      <c r="E125" t="s">
        <v>349</v>
      </c>
      <c r="F125" t="s">
        <v>1</v>
      </c>
      <c r="G125" t="s">
        <v>27</v>
      </c>
      <c r="H125" t="s">
        <v>27</v>
      </c>
      <c r="I125">
        <v>8180</v>
      </c>
      <c r="J125">
        <v>1</v>
      </c>
      <c r="K125" t="s">
        <v>16</v>
      </c>
      <c r="L125">
        <v>6039</v>
      </c>
      <c r="M125" t="s">
        <v>274</v>
      </c>
      <c r="N125">
        <v>8</v>
      </c>
      <c r="O125" t="s">
        <v>125</v>
      </c>
      <c r="P125" t="s">
        <v>358</v>
      </c>
      <c r="Q125">
        <v>997.5</v>
      </c>
      <c r="R125">
        <v>21000</v>
      </c>
      <c r="S125">
        <v>70</v>
      </c>
      <c r="T125">
        <v>300</v>
      </c>
      <c r="U125">
        <v>26</v>
      </c>
      <c r="V125">
        <v>1355</v>
      </c>
      <c r="W125" t="s">
        <v>121</v>
      </c>
      <c r="X125" t="s">
        <v>1</v>
      </c>
      <c r="Y125">
        <v>1351612.5</v>
      </c>
      <c r="Z125">
        <v>28455000</v>
      </c>
      <c r="AA125">
        <v>406500</v>
      </c>
      <c r="AB125">
        <v>106</v>
      </c>
      <c r="AC125" s="34">
        <v>45908</v>
      </c>
      <c r="AD125" s="34">
        <v>46053</v>
      </c>
      <c r="AE125" t="s">
        <v>355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 t="s">
        <v>122</v>
      </c>
      <c r="AT125">
        <v>12600</v>
      </c>
      <c r="AU125">
        <v>598.5</v>
      </c>
      <c r="AV125">
        <v>17073000</v>
      </c>
      <c r="AW125">
        <v>810967.5</v>
      </c>
    </row>
    <row r="126" spans="1:49" hidden="1" x14ac:dyDescent="0.35">
      <c r="A126">
        <v>5796410</v>
      </c>
      <c r="B126">
        <v>1070005796401</v>
      </c>
      <c r="D126">
        <v>24283849313</v>
      </c>
      <c r="E126" t="s">
        <v>359</v>
      </c>
      <c r="F126" t="s">
        <v>1</v>
      </c>
      <c r="G126" t="s">
        <v>360</v>
      </c>
      <c r="H126" t="s">
        <v>61</v>
      </c>
      <c r="I126">
        <v>2600</v>
      </c>
      <c r="J126">
        <v>12</v>
      </c>
      <c r="K126" t="s">
        <v>34</v>
      </c>
      <c r="L126">
        <v>9056</v>
      </c>
      <c r="M126" t="s">
        <v>326</v>
      </c>
      <c r="N126">
        <v>1</v>
      </c>
      <c r="O126" t="s">
        <v>125</v>
      </c>
      <c r="P126" t="s">
        <v>361</v>
      </c>
      <c r="Q126">
        <v>1250.27</v>
      </c>
      <c r="R126">
        <v>47180</v>
      </c>
      <c r="S126">
        <v>168.5</v>
      </c>
      <c r="T126">
        <v>280</v>
      </c>
      <c r="U126">
        <v>26</v>
      </c>
      <c r="V126">
        <v>1355</v>
      </c>
      <c r="W126" t="s">
        <v>121</v>
      </c>
      <c r="X126" t="s">
        <v>1</v>
      </c>
      <c r="Y126">
        <v>1694115.85</v>
      </c>
      <c r="Z126">
        <v>63928900</v>
      </c>
      <c r="AA126">
        <v>379400</v>
      </c>
      <c r="AB126">
        <v>106</v>
      </c>
      <c r="AC126" s="34">
        <v>45908</v>
      </c>
      <c r="AD126" s="34">
        <v>46022</v>
      </c>
      <c r="AF126">
        <v>1</v>
      </c>
      <c r="AG126">
        <v>1250.27</v>
      </c>
      <c r="AH126">
        <v>0</v>
      </c>
      <c r="AI126">
        <v>1694115.85</v>
      </c>
      <c r="AJ126">
        <v>0</v>
      </c>
      <c r="AK126">
        <v>0</v>
      </c>
      <c r="AL126">
        <v>433694.85</v>
      </c>
      <c r="AM126">
        <v>0</v>
      </c>
      <c r="AN126">
        <v>2127810.7000000002</v>
      </c>
      <c r="AO126" t="s">
        <v>122</v>
      </c>
      <c r="AP126">
        <v>15</v>
      </c>
      <c r="AQ126">
        <v>187.54</v>
      </c>
      <c r="AR126">
        <v>254116.7</v>
      </c>
      <c r="AT126">
        <v>28308</v>
      </c>
      <c r="AU126">
        <v>750.16</v>
      </c>
      <c r="AV126">
        <v>38357340</v>
      </c>
      <c r="AW126">
        <v>1016466.8</v>
      </c>
    </row>
    <row r="127" spans="1:49" hidden="1" x14ac:dyDescent="0.35">
      <c r="A127">
        <v>5796510</v>
      </c>
      <c r="B127">
        <v>1070005796501</v>
      </c>
      <c r="D127">
        <v>24283849313</v>
      </c>
      <c r="E127" t="s">
        <v>359</v>
      </c>
      <c r="F127" t="s">
        <v>1</v>
      </c>
      <c r="G127" t="s">
        <v>29</v>
      </c>
      <c r="H127" t="s">
        <v>29</v>
      </c>
      <c r="I127">
        <v>6237</v>
      </c>
      <c r="J127">
        <v>1</v>
      </c>
      <c r="K127" t="s">
        <v>16</v>
      </c>
      <c r="L127">
        <v>9056</v>
      </c>
      <c r="M127" t="s">
        <v>326</v>
      </c>
      <c r="N127">
        <v>1</v>
      </c>
      <c r="O127" t="s">
        <v>125</v>
      </c>
      <c r="P127" t="s">
        <v>362</v>
      </c>
      <c r="Q127">
        <v>1831.01</v>
      </c>
      <c r="R127">
        <v>61650</v>
      </c>
      <c r="S127">
        <v>342.5</v>
      </c>
      <c r="T127">
        <v>180</v>
      </c>
      <c r="U127">
        <v>26</v>
      </c>
      <c r="V127">
        <v>1355</v>
      </c>
      <c r="W127" t="s">
        <v>121</v>
      </c>
      <c r="X127" t="s">
        <v>1</v>
      </c>
      <c r="Y127">
        <v>2481018.5499999998</v>
      </c>
      <c r="Z127">
        <v>83535750</v>
      </c>
      <c r="AA127">
        <v>243900</v>
      </c>
      <c r="AB127">
        <v>106</v>
      </c>
      <c r="AC127" s="34">
        <v>45908</v>
      </c>
      <c r="AD127" s="34">
        <v>46022</v>
      </c>
      <c r="AF127">
        <v>0</v>
      </c>
      <c r="AG127">
        <v>1831.01</v>
      </c>
      <c r="AH127">
        <v>0</v>
      </c>
      <c r="AI127">
        <v>2481018.5499999998</v>
      </c>
      <c r="AJ127">
        <v>0</v>
      </c>
      <c r="AK127">
        <v>0</v>
      </c>
      <c r="AL127">
        <v>622744.44999999995</v>
      </c>
      <c r="AM127">
        <v>0</v>
      </c>
      <c r="AN127">
        <v>3103763</v>
      </c>
      <c r="AO127" t="s">
        <v>122</v>
      </c>
      <c r="AP127">
        <v>15</v>
      </c>
      <c r="AQ127">
        <v>274.64999999999998</v>
      </c>
      <c r="AR127">
        <v>372150.75</v>
      </c>
      <c r="AT127">
        <v>36990</v>
      </c>
      <c r="AU127">
        <v>1098.6099999999999</v>
      </c>
      <c r="AV127">
        <v>50121450</v>
      </c>
      <c r="AW127">
        <v>1488616.55</v>
      </c>
    </row>
    <row r="128" spans="1:49" hidden="1" x14ac:dyDescent="0.35">
      <c r="A128">
        <v>5796610</v>
      </c>
      <c r="B128">
        <v>1070005796601</v>
      </c>
      <c r="D128">
        <v>30659544160</v>
      </c>
      <c r="E128" t="s">
        <v>363</v>
      </c>
      <c r="F128" t="s">
        <v>1</v>
      </c>
      <c r="G128" t="s">
        <v>29</v>
      </c>
      <c r="H128" t="s">
        <v>29</v>
      </c>
      <c r="I128">
        <v>6237</v>
      </c>
      <c r="J128">
        <v>1</v>
      </c>
      <c r="K128" t="s">
        <v>16</v>
      </c>
      <c r="L128">
        <v>9056</v>
      </c>
      <c r="M128" t="s">
        <v>326</v>
      </c>
      <c r="N128">
        <v>1</v>
      </c>
      <c r="O128" t="s">
        <v>125</v>
      </c>
      <c r="P128" t="s">
        <v>362</v>
      </c>
      <c r="Q128">
        <v>1220.67</v>
      </c>
      <c r="R128">
        <v>41100</v>
      </c>
      <c r="S128">
        <v>342.5</v>
      </c>
      <c r="T128">
        <v>120</v>
      </c>
      <c r="U128">
        <v>26</v>
      </c>
      <c r="V128">
        <v>1355</v>
      </c>
      <c r="W128" t="s">
        <v>121</v>
      </c>
      <c r="X128" t="s">
        <v>1</v>
      </c>
      <c r="Y128">
        <v>1654007.85</v>
      </c>
      <c r="Z128">
        <v>55690500</v>
      </c>
      <c r="AA128">
        <v>162600</v>
      </c>
      <c r="AB128">
        <v>106</v>
      </c>
      <c r="AC128" s="34">
        <v>45908</v>
      </c>
      <c r="AD128" s="34">
        <v>46022</v>
      </c>
      <c r="AF128">
        <v>0</v>
      </c>
      <c r="AG128">
        <v>1220.67</v>
      </c>
      <c r="AH128">
        <v>0</v>
      </c>
      <c r="AI128">
        <v>1654007.85</v>
      </c>
      <c r="AJ128">
        <v>0</v>
      </c>
      <c r="AK128">
        <v>0</v>
      </c>
      <c r="AL128">
        <v>428383.25</v>
      </c>
      <c r="AM128">
        <v>0</v>
      </c>
      <c r="AN128">
        <v>2082391.1</v>
      </c>
      <c r="AO128" t="s">
        <v>122</v>
      </c>
      <c r="AP128">
        <v>15</v>
      </c>
      <c r="AQ128">
        <v>183.1</v>
      </c>
      <c r="AR128">
        <v>248100.5</v>
      </c>
      <c r="AT128">
        <v>24660</v>
      </c>
      <c r="AU128">
        <v>732.4</v>
      </c>
      <c r="AV128">
        <v>33414300</v>
      </c>
      <c r="AW128">
        <v>992402</v>
      </c>
    </row>
    <row r="129" spans="1:49" hidden="1" x14ac:dyDescent="0.35">
      <c r="A129">
        <v>5796710</v>
      </c>
      <c r="B129">
        <v>1070005796701</v>
      </c>
      <c r="D129">
        <v>20294801775</v>
      </c>
      <c r="E129" t="s">
        <v>364</v>
      </c>
      <c r="F129" t="s">
        <v>1</v>
      </c>
      <c r="G129" t="s">
        <v>365</v>
      </c>
      <c r="H129" t="s">
        <v>61</v>
      </c>
      <c r="I129">
        <v>2600</v>
      </c>
      <c r="J129">
        <v>12</v>
      </c>
      <c r="K129" t="s">
        <v>34</v>
      </c>
      <c r="L129">
        <v>9056</v>
      </c>
      <c r="M129" t="s">
        <v>326</v>
      </c>
      <c r="N129">
        <v>1</v>
      </c>
      <c r="O129" t="s">
        <v>125</v>
      </c>
      <c r="P129" t="s">
        <v>366</v>
      </c>
      <c r="Q129">
        <v>803.75</v>
      </c>
      <c r="R129">
        <v>30330</v>
      </c>
      <c r="S129">
        <v>168.5</v>
      </c>
      <c r="T129">
        <v>180</v>
      </c>
      <c r="U129">
        <v>26</v>
      </c>
      <c r="V129">
        <v>1355</v>
      </c>
      <c r="W129" t="s">
        <v>121</v>
      </c>
      <c r="X129" t="s">
        <v>1</v>
      </c>
      <c r="Y129">
        <v>1089081.25</v>
      </c>
      <c r="Z129">
        <v>41097150</v>
      </c>
      <c r="AA129">
        <v>243900</v>
      </c>
      <c r="AB129">
        <v>106</v>
      </c>
      <c r="AC129" s="34">
        <v>45908</v>
      </c>
      <c r="AD129" s="34">
        <v>46022</v>
      </c>
      <c r="AF129">
        <v>1</v>
      </c>
      <c r="AG129">
        <v>803.75</v>
      </c>
      <c r="AH129">
        <v>0</v>
      </c>
      <c r="AI129">
        <v>1089081.25</v>
      </c>
      <c r="AJ129">
        <v>0</v>
      </c>
      <c r="AK129">
        <v>0</v>
      </c>
      <c r="AL129">
        <v>278804.8</v>
      </c>
      <c r="AM129">
        <v>0</v>
      </c>
      <c r="AN129">
        <v>1367886.05</v>
      </c>
      <c r="AO129" t="s">
        <v>122</v>
      </c>
      <c r="AP129">
        <v>15</v>
      </c>
      <c r="AQ129">
        <v>120.56</v>
      </c>
      <c r="AR129">
        <v>163358.79999999999</v>
      </c>
      <c r="AT129">
        <v>18198</v>
      </c>
      <c r="AU129">
        <v>482.25</v>
      </c>
      <c r="AV129">
        <v>24658290</v>
      </c>
      <c r="AW129">
        <v>653448.75</v>
      </c>
    </row>
    <row r="130" spans="1:49" hidden="1" x14ac:dyDescent="0.35">
      <c r="A130">
        <v>5796810</v>
      </c>
      <c r="B130">
        <v>1070005796801</v>
      </c>
      <c r="D130">
        <v>20294801775</v>
      </c>
      <c r="E130" t="s">
        <v>364</v>
      </c>
      <c r="F130" t="s">
        <v>1</v>
      </c>
      <c r="G130" t="s">
        <v>367</v>
      </c>
      <c r="H130" t="s">
        <v>29</v>
      </c>
      <c r="I130">
        <v>6237</v>
      </c>
      <c r="J130">
        <v>1</v>
      </c>
      <c r="K130" t="s">
        <v>16</v>
      </c>
      <c r="L130">
        <v>9056</v>
      </c>
      <c r="M130" t="s">
        <v>326</v>
      </c>
      <c r="N130">
        <v>1</v>
      </c>
      <c r="O130" t="s">
        <v>125</v>
      </c>
      <c r="P130" t="s">
        <v>362</v>
      </c>
      <c r="Q130">
        <v>610.34</v>
      </c>
      <c r="R130">
        <v>20550</v>
      </c>
      <c r="S130">
        <v>342.5</v>
      </c>
      <c r="T130">
        <v>60</v>
      </c>
      <c r="U130">
        <v>26</v>
      </c>
      <c r="V130">
        <v>1355</v>
      </c>
      <c r="W130" t="s">
        <v>121</v>
      </c>
      <c r="X130" t="s">
        <v>1</v>
      </c>
      <c r="Y130">
        <v>827010.7</v>
      </c>
      <c r="Z130">
        <v>27845250</v>
      </c>
      <c r="AA130">
        <v>81300</v>
      </c>
      <c r="AB130">
        <v>106</v>
      </c>
      <c r="AC130" s="34">
        <v>45908</v>
      </c>
      <c r="AD130" s="34">
        <v>46022</v>
      </c>
      <c r="AF130">
        <v>0</v>
      </c>
      <c r="AG130">
        <v>610.34</v>
      </c>
      <c r="AH130">
        <v>0</v>
      </c>
      <c r="AI130">
        <v>827010.7</v>
      </c>
      <c r="AJ130">
        <v>0</v>
      </c>
      <c r="AK130">
        <v>0</v>
      </c>
      <c r="AL130">
        <v>207572.45</v>
      </c>
      <c r="AM130">
        <v>0</v>
      </c>
      <c r="AN130">
        <v>1034583.15</v>
      </c>
      <c r="AO130" t="s">
        <v>122</v>
      </c>
      <c r="AP130">
        <v>15</v>
      </c>
      <c r="AQ130">
        <v>91.55</v>
      </c>
      <c r="AR130">
        <v>124050.25</v>
      </c>
      <c r="AT130">
        <v>12330</v>
      </c>
      <c r="AU130">
        <v>366.2</v>
      </c>
      <c r="AV130">
        <v>16707150</v>
      </c>
      <c r="AW130">
        <v>496201</v>
      </c>
    </row>
    <row r="131" spans="1:49" hidden="1" x14ac:dyDescent="0.35">
      <c r="A131">
        <v>5796910</v>
      </c>
      <c r="B131">
        <v>1070005796901</v>
      </c>
      <c r="D131">
        <v>30710106351</v>
      </c>
      <c r="E131" t="s">
        <v>368</v>
      </c>
      <c r="F131" t="s">
        <v>1</v>
      </c>
      <c r="G131" t="s">
        <v>367</v>
      </c>
      <c r="H131" t="s">
        <v>29</v>
      </c>
      <c r="I131">
        <v>6237</v>
      </c>
      <c r="J131">
        <v>1</v>
      </c>
      <c r="K131" t="s">
        <v>16</v>
      </c>
      <c r="L131">
        <v>9056</v>
      </c>
      <c r="M131" t="s">
        <v>326</v>
      </c>
      <c r="N131">
        <v>1</v>
      </c>
      <c r="O131" t="s">
        <v>125</v>
      </c>
      <c r="P131" t="s">
        <v>362</v>
      </c>
      <c r="Q131">
        <v>915.5</v>
      </c>
      <c r="R131">
        <v>30825</v>
      </c>
      <c r="S131">
        <v>342.5</v>
      </c>
      <c r="T131">
        <v>90</v>
      </c>
      <c r="U131">
        <v>26</v>
      </c>
      <c r="V131">
        <v>1355</v>
      </c>
      <c r="W131" t="s">
        <v>121</v>
      </c>
      <c r="X131" t="s">
        <v>1</v>
      </c>
      <c r="Y131">
        <v>1240502.5</v>
      </c>
      <c r="Z131">
        <v>41767875</v>
      </c>
      <c r="AA131">
        <v>121950</v>
      </c>
      <c r="AB131">
        <v>106</v>
      </c>
      <c r="AC131" s="34">
        <v>45908</v>
      </c>
      <c r="AD131" s="34">
        <v>46022</v>
      </c>
      <c r="AF131">
        <v>0</v>
      </c>
      <c r="AG131">
        <v>915.5</v>
      </c>
      <c r="AH131">
        <v>0</v>
      </c>
      <c r="AI131">
        <v>1240502.5</v>
      </c>
      <c r="AJ131">
        <v>0</v>
      </c>
      <c r="AK131">
        <v>0</v>
      </c>
      <c r="AL131">
        <v>322544.2</v>
      </c>
      <c r="AM131">
        <v>0</v>
      </c>
      <c r="AN131">
        <v>1563046.7</v>
      </c>
      <c r="AO131" t="s">
        <v>122</v>
      </c>
      <c r="AP131">
        <v>15.000999999999999</v>
      </c>
      <c r="AQ131">
        <v>137.33000000000001</v>
      </c>
      <c r="AR131">
        <v>186082.15</v>
      </c>
      <c r="AT131">
        <v>18495</v>
      </c>
      <c r="AU131">
        <v>549.29999999999995</v>
      </c>
      <c r="AV131">
        <v>25060725</v>
      </c>
      <c r="AW131">
        <v>744301.5</v>
      </c>
    </row>
    <row r="132" spans="1:49" hidden="1" x14ac:dyDescent="0.35">
      <c r="A132">
        <v>5797010</v>
      </c>
      <c r="B132">
        <v>1090005797001</v>
      </c>
      <c r="D132">
        <v>30708777109</v>
      </c>
      <c r="E132" t="s">
        <v>369</v>
      </c>
      <c r="F132" t="s">
        <v>1</v>
      </c>
      <c r="G132" t="s">
        <v>370</v>
      </c>
      <c r="H132" t="s">
        <v>58</v>
      </c>
      <c r="I132">
        <v>6333</v>
      </c>
      <c r="J132">
        <v>21</v>
      </c>
      <c r="K132" t="s">
        <v>33</v>
      </c>
      <c r="L132">
        <v>6864</v>
      </c>
      <c r="M132" t="s">
        <v>371</v>
      </c>
      <c r="N132">
        <v>1</v>
      </c>
      <c r="O132" t="s">
        <v>125</v>
      </c>
      <c r="P132" t="s">
        <v>372</v>
      </c>
      <c r="Q132">
        <v>2016000</v>
      </c>
      <c r="R132">
        <v>64000000</v>
      </c>
      <c r="S132">
        <v>160</v>
      </c>
      <c r="T132">
        <v>400000</v>
      </c>
      <c r="U132">
        <v>1</v>
      </c>
      <c r="V132">
        <v>1</v>
      </c>
      <c r="W132" t="s">
        <v>121</v>
      </c>
      <c r="X132" t="s">
        <v>1</v>
      </c>
      <c r="Y132">
        <v>2016000</v>
      </c>
      <c r="Z132">
        <v>64000000</v>
      </c>
      <c r="AA132">
        <v>400000</v>
      </c>
      <c r="AB132">
        <v>214</v>
      </c>
      <c r="AC132" s="34">
        <v>45901</v>
      </c>
      <c r="AD132" s="34">
        <v>46022</v>
      </c>
      <c r="AF132">
        <v>0</v>
      </c>
      <c r="AG132">
        <v>5002200</v>
      </c>
      <c r="AH132">
        <v>0</v>
      </c>
      <c r="AI132">
        <v>5002200</v>
      </c>
      <c r="AJ132">
        <v>0</v>
      </c>
      <c r="AK132">
        <v>0</v>
      </c>
      <c r="AL132">
        <v>1255552.2</v>
      </c>
      <c r="AM132">
        <v>0</v>
      </c>
      <c r="AN132">
        <v>6257752.2000000002</v>
      </c>
      <c r="AO132" t="s">
        <v>122</v>
      </c>
      <c r="AP132">
        <v>12</v>
      </c>
      <c r="AQ132">
        <v>600264</v>
      </c>
      <c r="AR132">
        <v>600264</v>
      </c>
      <c r="AT132">
        <v>38400000</v>
      </c>
      <c r="AU132">
        <v>1209600</v>
      </c>
      <c r="AV132">
        <v>38400000</v>
      </c>
      <c r="AW132">
        <v>1209600</v>
      </c>
    </row>
    <row r="133" spans="1:49" hidden="1" x14ac:dyDescent="0.35">
      <c r="A133">
        <v>5797010</v>
      </c>
      <c r="B133">
        <v>1090005797001</v>
      </c>
      <c r="D133">
        <v>30708777109</v>
      </c>
      <c r="E133" t="s">
        <v>369</v>
      </c>
      <c r="F133" t="s">
        <v>1</v>
      </c>
      <c r="G133" t="s">
        <v>370</v>
      </c>
      <c r="H133" t="s">
        <v>58</v>
      </c>
      <c r="I133">
        <v>6333</v>
      </c>
      <c r="J133">
        <v>21</v>
      </c>
      <c r="K133" t="s">
        <v>33</v>
      </c>
      <c r="L133">
        <v>6864</v>
      </c>
      <c r="M133" t="s">
        <v>371</v>
      </c>
      <c r="N133">
        <v>2</v>
      </c>
      <c r="O133" t="s">
        <v>125</v>
      </c>
      <c r="P133" t="s">
        <v>373</v>
      </c>
      <c r="Q133">
        <v>1915200</v>
      </c>
      <c r="R133">
        <v>60800000</v>
      </c>
      <c r="S133">
        <v>152</v>
      </c>
      <c r="T133">
        <v>400000</v>
      </c>
      <c r="U133">
        <v>1</v>
      </c>
      <c r="V133">
        <v>1</v>
      </c>
      <c r="W133" t="s">
        <v>121</v>
      </c>
      <c r="X133" t="s">
        <v>1</v>
      </c>
      <c r="Y133">
        <v>1915200</v>
      </c>
      <c r="Z133">
        <v>60800000</v>
      </c>
      <c r="AA133">
        <v>400000</v>
      </c>
      <c r="AB133">
        <v>214</v>
      </c>
      <c r="AC133" s="34">
        <v>45901</v>
      </c>
      <c r="AD133" s="34">
        <v>46022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 t="s">
        <v>122</v>
      </c>
      <c r="AT133">
        <v>36480000</v>
      </c>
      <c r="AU133">
        <v>1149120</v>
      </c>
      <c r="AV133">
        <v>36480000</v>
      </c>
      <c r="AW133">
        <v>1149120</v>
      </c>
    </row>
    <row r="134" spans="1:49" hidden="1" x14ac:dyDescent="0.35">
      <c r="A134">
        <v>5797010</v>
      </c>
      <c r="B134">
        <v>1090005797001</v>
      </c>
      <c r="D134">
        <v>30708777109</v>
      </c>
      <c r="E134" t="s">
        <v>369</v>
      </c>
      <c r="F134" t="s">
        <v>1</v>
      </c>
      <c r="G134" t="s">
        <v>370</v>
      </c>
      <c r="H134" t="s">
        <v>58</v>
      </c>
      <c r="I134">
        <v>6333</v>
      </c>
      <c r="J134">
        <v>21</v>
      </c>
      <c r="K134" t="s">
        <v>33</v>
      </c>
      <c r="L134">
        <v>6864</v>
      </c>
      <c r="M134" t="s">
        <v>371</v>
      </c>
      <c r="N134">
        <v>3</v>
      </c>
      <c r="O134" t="s">
        <v>125</v>
      </c>
      <c r="P134" t="s">
        <v>374</v>
      </c>
      <c r="Q134">
        <v>1071000</v>
      </c>
      <c r="R134">
        <v>34000000</v>
      </c>
      <c r="S134">
        <v>85</v>
      </c>
      <c r="T134">
        <v>400000</v>
      </c>
      <c r="U134">
        <v>1</v>
      </c>
      <c r="V134">
        <v>1</v>
      </c>
      <c r="W134" t="s">
        <v>121</v>
      </c>
      <c r="X134" t="s">
        <v>1</v>
      </c>
      <c r="Y134">
        <v>1071000</v>
      </c>
      <c r="Z134">
        <v>34000000</v>
      </c>
      <c r="AA134">
        <v>400000</v>
      </c>
      <c r="AB134">
        <v>214</v>
      </c>
      <c r="AC134" s="34">
        <v>45901</v>
      </c>
      <c r="AD134" s="34">
        <v>46022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 t="s">
        <v>122</v>
      </c>
      <c r="AT134">
        <v>20400000</v>
      </c>
      <c r="AU134">
        <v>642600</v>
      </c>
      <c r="AV134">
        <v>20400000</v>
      </c>
      <c r="AW134">
        <v>642600</v>
      </c>
    </row>
    <row r="135" spans="1:49" hidden="1" x14ac:dyDescent="0.35">
      <c r="A135">
        <v>5797110</v>
      </c>
      <c r="B135">
        <v>1090005797101</v>
      </c>
      <c r="D135">
        <v>20177508382</v>
      </c>
      <c r="E135" t="s">
        <v>375</v>
      </c>
      <c r="F135" t="s">
        <v>1</v>
      </c>
      <c r="G135" t="s">
        <v>376</v>
      </c>
      <c r="H135" t="s">
        <v>19</v>
      </c>
      <c r="I135">
        <v>8185</v>
      </c>
      <c r="J135">
        <v>1</v>
      </c>
      <c r="K135" t="s">
        <v>16</v>
      </c>
      <c r="L135">
        <v>6039</v>
      </c>
      <c r="M135" t="s">
        <v>274</v>
      </c>
      <c r="N135">
        <v>1</v>
      </c>
      <c r="O135" t="s">
        <v>125</v>
      </c>
      <c r="P135" t="s">
        <v>377</v>
      </c>
      <c r="Q135">
        <v>657.4</v>
      </c>
      <c r="R135">
        <v>19000</v>
      </c>
      <c r="S135">
        <v>38</v>
      </c>
      <c r="T135">
        <v>500</v>
      </c>
      <c r="U135">
        <v>26</v>
      </c>
      <c r="V135">
        <v>1409</v>
      </c>
      <c r="W135" t="s">
        <v>121</v>
      </c>
      <c r="X135" t="s">
        <v>1</v>
      </c>
      <c r="Y135">
        <v>926276.6</v>
      </c>
      <c r="Z135">
        <v>26771000</v>
      </c>
      <c r="AA135">
        <v>704500</v>
      </c>
      <c r="AB135">
        <v>106</v>
      </c>
      <c r="AC135" s="34">
        <v>45913</v>
      </c>
      <c r="AD135" s="34">
        <v>46053</v>
      </c>
      <c r="AE135" t="s">
        <v>355</v>
      </c>
      <c r="AF135">
        <v>0</v>
      </c>
      <c r="AG135">
        <v>3026.8</v>
      </c>
      <c r="AH135">
        <v>0</v>
      </c>
      <c r="AI135">
        <v>4264761.2</v>
      </c>
      <c r="AJ135">
        <v>0</v>
      </c>
      <c r="AK135">
        <v>0</v>
      </c>
      <c r="AL135">
        <v>1070445.48</v>
      </c>
      <c r="AM135">
        <v>0</v>
      </c>
      <c r="AN135">
        <v>5335206.68</v>
      </c>
      <c r="AO135" t="s">
        <v>122</v>
      </c>
      <c r="AP135">
        <v>12</v>
      </c>
      <c r="AQ135">
        <v>363.22</v>
      </c>
      <c r="AR135">
        <v>511776.98</v>
      </c>
      <c r="AT135">
        <v>11400</v>
      </c>
      <c r="AU135">
        <v>394.44</v>
      </c>
      <c r="AV135">
        <v>16062600</v>
      </c>
      <c r="AW135">
        <v>555765.96</v>
      </c>
    </row>
    <row r="136" spans="1:49" hidden="1" x14ac:dyDescent="0.35">
      <c r="A136">
        <v>5797110</v>
      </c>
      <c r="B136">
        <v>1090005797101</v>
      </c>
      <c r="D136">
        <v>20177508382</v>
      </c>
      <c r="E136" t="s">
        <v>375</v>
      </c>
      <c r="F136" t="s">
        <v>1</v>
      </c>
      <c r="G136" t="s">
        <v>376</v>
      </c>
      <c r="H136" t="s">
        <v>19</v>
      </c>
      <c r="I136">
        <v>8185</v>
      </c>
      <c r="J136">
        <v>1</v>
      </c>
      <c r="K136" t="s">
        <v>16</v>
      </c>
      <c r="L136">
        <v>6039</v>
      </c>
      <c r="M136" t="s">
        <v>274</v>
      </c>
      <c r="N136">
        <v>2</v>
      </c>
      <c r="O136" t="s">
        <v>125</v>
      </c>
      <c r="P136" t="s">
        <v>378</v>
      </c>
      <c r="Q136">
        <v>1141.8</v>
      </c>
      <c r="R136">
        <v>33000</v>
      </c>
      <c r="S136">
        <v>66</v>
      </c>
      <c r="T136">
        <v>500</v>
      </c>
      <c r="U136">
        <v>26</v>
      </c>
      <c r="V136">
        <v>1409</v>
      </c>
      <c r="W136" t="s">
        <v>121</v>
      </c>
      <c r="X136" t="s">
        <v>1</v>
      </c>
      <c r="Y136">
        <v>1608796.2</v>
      </c>
      <c r="Z136">
        <v>46497000</v>
      </c>
      <c r="AA136">
        <v>704500</v>
      </c>
      <c r="AB136">
        <v>106</v>
      </c>
      <c r="AC136" s="34">
        <v>45913</v>
      </c>
      <c r="AD136" s="34">
        <v>46053</v>
      </c>
      <c r="AE136" t="s">
        <v>355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 t="s">
        <v>122</v>
      </c>
      <c r="AT136">
        <v>19800</v>
      </c>
      <c r="AU136">
        <v>685.08</v>
      </c>
      <c r="AV136">
        <v>27898200</v>
      </c>
      <c r="AW136">
        <v>965277.72</v>
      </c>
    </row>
    <row r="137" spans="1:49" hidden="1" x14ac:dyDescent="0.35">
      <c r="A137">
        <v>5797110</v>
      </c>
      <c r="B137">
        <v>1090005797101</v>
      </c>
      <c r="D137">
        <v>20177508382</v>
      </c>
      <c r="E137" t="s">
        <v>375</v>
      </c>
      <c r="F137" t="s">
        <v>1</v>
      </c>
      <c r="G137" t="s">
        <v>376</v>
      </c>
      <c r="H137" t="s">
        <v>19</v>
      </c>
      <c r="I137">
        <v>8185</v>
      </c>
      <c r="J137">
        <v>1</v>
      </c>
      <c r="K137" t="s">
        <v>16</v>
      </c>
      <c r="L137">
        <v>6039</v>
      </c>
      <c r="M137" t="s">
        <v>274</v>
      </c>
      <c r="N137">
        <v>3</v>
      </c>
      <c r="O137" t="s">
        <v>125</v>
      </c>
      <c r="P137" t="s">
        <v>379</v>
      </c>
      <c r="Q137">
        <v>290.64</v>
      </c>
      <c r="R137">
        <v>8400</v>
      </c>
      <c r="S137">
        <v>28</v>
      </c>
      <c r="T137">
        <v>300</v>
      </c>
      <c r="U137">
        <v>26</v>
      </c>
      <c r="V137">
        <v>1409</v>
      </c>
      <c r="W137" t="s">
        <v>121</v>
      </c>
      <c r="X137" t="s">
        <v>1</v>
      </c>
      <c r="Y137">
        <v>409511.76</v>
      </c>
      <c r="Z137">
        <v>11835600</v>
      </c>
      <c r="AA137">
        <v>422700</v>
      </c>
      <c r="AB137">
        <v>106</v>
      </c>
      <c r="AC137" s="34">
        <v>45913</v>
      </c>
      <c r="AD137" s="34">
        <v>46053</v>
      </c>
      <c r="AE137" t="s">
        <v>355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 t="s">
        <v>122</v>
      </c>
      <c r="AT137">
        <v>5040</v>
      </c>
      <c r="AU137">
        <v>174.38</v>
      </c>
      <c r="AV137">
        <v>7101360</v>
      </c>
      <c r="AW137">
        <v>245701.42</v>
      </c>
    </row>
    <row r="138" spans="1:49" hidden="1" x14ac:dyDescent="0.35">
      <c r="A138">
        <v>5797110</v>
      </c>
      <c r="B138">
        <v>1090005797101</v>
      </c>
      <c r="D138">
        <v>20177508382</v>
      </c>
      <c r="E138" t="s">
        <v>375</v>
      </c>
      <c r="F138" t="s">
        <v>1</v>
      </c>
      <c r="G138" t="s">
        <v>376</v>
      </c>
      <c r="H138" t="s">
        <v>19</v>
      </c>
      <c r="I138">
        <v>8185</v>
      </c>
      <c r="J138">
        <v>1</v>
      </c>
      <c r="K138" t="s">
        <v>16</v>
      </c>
      <c r="L138">
        <v>6039</v>
      </c>
      <c r="M138" t="s">
        <v>274</v>
      </c>
      <c r="N138">
        <v>4</v>
      </c>
      <c r="O138" t="s">
        <v>125</v>
      </c>
      <c r="P138" t="s">
        <v>380</v>
      </c>
      <c r="Q138">
        <v>936.96</v>
      </c>
      <c r="R138">
        <v>19200</v>
      </c>
      <c r="S138">
        <v>32</v>
      </c>
      <c r="T138">
        <v>600</v>
      </c>
      <c r="U138">
        <v>26</v>
      </c>
      <c r="V138">
        <v>1409</v>
      </c>
      <c r="W138" t="s">
        <v>121</v>
      </c>
      <c r="X138" t="s">
        <v>1</v>
      </c>
      <c r="Y138">
        <v>1320176.6399999999</v>
      </c>
      <c r="Z138">
        <v>27052800</v>
      </c>
      <c r="AA138">
        <v>845400</v>
      </c>
      <c r="AB138">
        <v>106</v>
      </c>
      <c r="AC138" s="34">
        <v>45913</v>
      </c>
      <c r="AD138" s="34">
        <v>46053</v>
      </c>
      <c r="AE138" t="s">
        <v>134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 t="s">
        <v>122</v>
      </c>
      <c r="AT138">
        <v>11520</v>
      </c>
      <c r="AU138">
        <v>562.17999999999995</v>
      </c>
      <c r="AV138">
        <v>16231680</v>
      </c>
      <c r="AW138">
        <v>792111.62</v>
      </c>
    </row>
    <row r="139" spans="1:49" hidden="1" x14ac:dyDescent="0.35">
      <c r="A139">
        <v>5797210</v>
      </c>
      <c r="B139">
        <v>1090005797201</v>
      </c>
      <c r="D139">
        <v>20146559523</v>
      </c>
      <c r="E139" t="s">
        <v>381</v>
      </c>
      <c r="F139" t="s">
        <v>1</v>
      </c>
      <c r="G139" t="s">
        <v>27</v>
      </c>
      <c r="H139" t="s">
        <v>27</v>
      </c>
      <c r="I139">
        <v>8180</v>
      </c>
      <c r="J139">
        <v>1</v>
      </c>
      <c r="K139" t="s">
        <v>16</v>
      </c>
      <c r="L139">
        <v>6039</v>
      </c>
      <c r="M139" t="s">
        <v>274</v>
      </c>
      <c r="N139">
        <v>1</v>
      </c>
      <c r="O139" t="s">
        <v>125</v>
      </c>
      <c r="P139" t="s">
        <v>382</v>
      </c>
      <c r="Q139">
        <v>1167.6500000000001</v>
      </c>
      <c r="R139">
        <v>51900</v>
      </c>
      <c r="S139">
        <v>173</v>
      </c>
      <c r="T139">
        <v>300</v>
      </c>
      <c r="U139">
        <v>26</v>
      </c>
      <c r="V139">
        <v>1409</v>
      </c>
      <c r="W139" t="s">
        <v>121</v>
      </c>
      <c r="X139" t="s">
        <v>1</v>
      </c>
      <c r="Y139">
        <v>1645218.85</v>
      </c>
      <c r="Z139">
        <v>73127100</v>
      </c>
      <c r="AA139">
        <v>422700</v>
      </c>
      <c r="AB139">
        <v>106</v>
      </c>
      <c r="AC139" s="34">
        <v>45908</v>
      </c>
      <c r="AD139" s="34">
        <v>46053</v>
      </c>
      <c r="AF139">
        <v>0</v>
      </c>
      <c r="AG139">
        <v>9037.51</v>
      </c>
      <c r="AH139">
        <v>0</v>
      </c>
      <c r="AI139">
        <v>12733851.59</v>
      </c>
      <c r="AJ139">
        <v>0</v>
      </c>
      <c r="AK139">
        <v>0</v>
      </c>
      <c r="AL139">
        <v>3210843.29</v>
      </c>
      <c r="AM139">
        <v>0</v>
      </c>
      <c r="AN139">
        <v>15944694.880000001</v>
      </c>
      <c r="AO139" t="s">
        <v>122</v>
      </c>
      <c r="AP139">
        <v>12</v>
      </c>
      <c r="AQ139">
        <v>1084.5</v>
      </c>
      <c r="AR139">
        <v>1528060.5</v>
      </c>
      <c r="AT139">
        <v>31140</v>
      </c>
      <c r="AU139">
        <v>700.6</v>
      </c>
      <c r="AV139">
        <v>43876260</v>
      </c>
      <c r="AW139">
        <v>987145.4</v>
      </c>
    </row>
    <row r="140" spans="1:49" hidden="1" x14ac:dyDescent="0.35">
      <c r="A140">
        <v>5797210</v>
      </c>
      <c r="B140">
        <v>1090005797201</v>
      </c>
      <c r="D140">
        <v>20146559523</v>
      </c>
      <c r="E140" t="s">
        <v>381</v>
      </c>
      <c r="F140" t="s">
        <v>1</v>
      </c>
      <c r="G140" t="s">
        <v>27</v>
      </c>
      <c r="H140" t="s">
        <v>27</v>
      </c>
      <c r="I140">
        <v>8180</v>
      </c>
      <c r="J140">
        <v>1</v>
      </c>
      <c r="K140" t="s">
        <v>16</v>
      </c>
      <c r="L140">
        <v>6039</v>
      </c>
      <c r="M140" t="s">
        <v>274</v>
      </c>
      <c r="N140">
        <v>2</v>
      </c>
      <c r="O140" t="s">
        <v>125</v>
      </c>
      <c r="P140" t="s">
        <v>383</v>
      </c>
      <c r="Q140">
        <v>3826.94</v>
      </c>
      <c r="R140">
        <v>170100</v>
      </c>
      <c r="S140">
        <v>567</v>
      </c>
      <c r="T140">
        <v>300</v>
      </c>
      <c r="U140">
        <v>26</v>
      </c>
      <c r="V140">
        <v>1409</v>
      </c>
      <c r="W140" t="s">
        <v>121</v>
      </c>
      <c r="X140" t="s">
        <v>1</v>
      </c>
      <c r="Y140">
        <v>5392158.46</v>
      </c>
      <c r="Z140">
        <v>239670900</v>
      </c>
      <c r="AA140">
        <v>422700</v>
      </c>
      <c r="AB140">
        <v>106</v>
      </c>
      <c r="AC140" s="34">
        <v>45908</v>
      </c>
      <c r="AD140" s="34">
        <v>46053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 t="s">
        <v>122</v>
      </c>
      <c r="AT140">
        <v>102060</v>
      </c>
      <c r="AU140">
        <v>2296.16</v>
      </c>
      <c r="AV140">
        <v>143802540</v>
      </c>
      <c r="AW140">
        <v>3235289.44</v>
      </c>
    </row>
    <row r="141" spans="1:49" hidden="1" x14ac:dyDescent="0.35">
      <c r="A141">
        <v>5797210</v>
      </c>
      <c r="B141">
        <v>1090005797201</v>
      </c>
      <c r="D141">
        <v>20146559523</v>
      </c>
      <c r="E141" t="s">
        <v>381</v>
      </c>
      <c r="F141" t="s">
        <v>1</v>
      </c>
      <c r="G141" t="s">
        <v>27</v>
      </c>
      <c r="H141" t="s">
        <v>27</v>
      </c>
      <c r="I141">
        <v>8180</v>
      </c>
      <c r="J141">
        <v>1</v>
      </c>
      <c r="K141" t="s">
        <v>16</v>
      </c>
      <c r="L141">
        <v>6039</v>
      </c>
      <c r="M141" t="s">
        <v>274</v>
      </c>
      <c r="N141">
        <v>3</v>
      </c>
      <c r="O141" t="s">
        <v>125</v>
      </c>
      <c r="P141" t="s">
        <v>384</v>
      </c>
      <c r="Q141">
        <v>620.95000000000005</v>
      </c>
      <c r="R141">
        <v>27600</v>
      </c>
      <c r="S141">
        <v>92</v>
      </c>
      <c r="T141">
        <v>300</v>
      </c>
      <c r="U141">
        <v>26</v>
      </c>
      <c r="V141">
        <v>1409</v>
      </c>
      <c r="W141" t="s">
        <v>121</v>
      </c>
      <c r="X141" t="s">
        <v>1</v>
      </c>
      <c r="Y141">
        <v>874918.55</v>
      </c>
      <c r="Z141">
        <v>38888400</v>
      </c>
      <c r="AA141">
        <v>422700</v>
      </c>
      <c r="AB141">
        <v>106</v>
      </c>
      <c r="AC141" s="34">
        <v>45908</v>
      </c>
      <c r="AD141" s="34">
        <v>46053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 t="s">
        <v>122</v>
      </c>
      <c r="AT141">
        <v>16560</v>
      </c>
      <c r="AU141">
        <v>372.57</v>
      </c>
      <c r="AV141">
        <v>23333040</v>
      </c>
      <c r="AW141">
        <v>524951.13</v>
      </c>
    </row>
    <row r="142" spans="1:49" hidden="1" x14ac:dyDescent="0.35">
      <c r="A142">
        <v>5797210</v>
      </c>
      <c r="B142">
        <v>1090005797201</v>
      </c>
      <c r="D142">
        <v>20146559523</v>
      </c>
      <c r="E142" t="s">
        <v>381</v>
      </c>
      <c r="F142" t="s">
        <v>1</v>
      </c>
      <c r="G142" t="s">
        <v>27</v>
      </c>
      <c r="H142" t="s">
        <v>27</v>
      </c>
      <c r="I142">
        <v>8180</v>
      </c>
      <c r="J142">
        <v>1</v>
      </c>
      <c r="K142" t="s">
        <v>16</v>
      </c>
      <c r="L142">
        <v>6039</v>
      </c>
      <c r="M142" t="s">
        <v>274</v>
      </c>
      <c r="N142">
        <v>4</v>
      </c>
      <c r="O142" t="s">
        <v>125</v>
      </c>
      <c r="P142" t="s">
        <v>385</v>
      </c>
      <c r="Q142">
        <v>992.17</v>
      </c>
      <c r="R142">
        <v>44100</v>
      </c>
      <c r="S142">
        <v>147</v>
      </c>
      <c r="T142">
        <v>300</v>
      </c>
      <c r="U142">
        <v>26</v>
      </c>
      <c r="V142">
        <v>1409</v>
      </c>
      <c r="W142" t="s">
        <v>121</v>
      </c>
      <c r="X142" t="s">
        <v>1</v>
      </c>
      <c r="Y142">
        <v>1397967.53</v>
      </c>
      <c r="Z142">
        <v>62136900</v>
      </c>
      <c r="AA142">
        <v>422700</v>
      </c>
      <c r="AB142">
        <v>106</v>
      </c>
      <c r="AC142" s="34">
        <v>45908</v>
      </c>
      <c r="AD142" s="34">
        <v>46053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 t="s">
        <v>122</v>
      </c>
      <c r="AT142">
        <v>26460</v>
      </c>
      <c r="AU142">
        <v>595.29999999999995</v>
      </c>
      <c r="AV142">
        <v>37282140</v>
      </c>
      <c r="AW142">
        <v>838777.7</v>
      </c>
    </row>
    <row r="143" spans="1:49" hidden="1" x14ac:dyDescent="0.35">
      <c r="A143">
        <v>5797210</v>
      </c>
      <c r="B143">
        <v>1090005797201</v>
      </c>
      <c r="D143">
        <v>20146559523</v>
      </c>
      <c r="E143" t="s">
        <v>381</v>
      </c>
      <c r="F143" t="s">
        <v>1</v>
      </c>
      <c r="G143" t="s">
        <v>19</v>
      </c>
      <c r="H143" t="s">
        <v>19</v>
      </c>
      <c r="I143">
        <v>6430</v>
      </c>
      <c r="J143">
        <v>1</v>
      </c>
      <c r="K143" t="s">
        <v>16</v>
      </c>
      <c r="L143">
        <v>6039</v>
      </c>
      <c r="M143" t="s">
        <v>274</v>
      </c>
      <c r="N143">
        <v>5</v>
      </c>
      <c r="O143" t="s">
        <v>125</v>
      </c>
      <c r="P143" t="s">
        <v>386</v>
      </c>
      <c r="Q143">
        <v>2429.8000000000002</v>
      </c>
      <c r="R143">
        <v>108000</v>
      </c>
      <c r="S143">
        <v>360</v>
      </c>
      <c r="T143">
        <v>300</v>
      </c>
      <c r="U143">
        <v>26</v>
      </c>
      <c r="V143">
        <v>1409</v>
      </c>
      <c r="W143" t="s">
        <v>121</v>
      </c>
      <c r="X143" t="s">
        <v>1</v>
      </c>
      <c r="Y143">
        <v>3423588.2</v>
      </c>
      <c r="Z143">
        <v>152172000</v>
      </c>
      <c r="AA143">
        <v>422700</v>
      </c>
      <c r="AB143">
        <v>106</v>
      </c>
      <c r="AC143" s="34">
        <v>45908</v>
      </c>
      <c r="AD143" s="34">
        <v>46053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 t="s">
        <v>122</v>
      </c>
      <c r="AT143">
        <v>64800</v>
      </c>
      <c r="AU143">
        <v>1457.88</v>
      </c>
      <c r="AV143">
        <v>91303200</v>
      </c>
      <c r="AW143">
        <v>2054152.92</v>
      </c>
    </row>
    <row r="144" spans="1:49" hidden="1" x14ac:dyDescent="0.35">
      <c r="A144">
        <v>5797310</v>
      </c>
      <c r="B144">
        <v>1090005797301</v>
      </c>
      <c r="D144">
        <v>20146559523</v>
      </c>
      <c r="E144" t="s">
        <v>381</v>
      </c>
      <c r="F144" t="s">
        <v>1</v>
      </c>
      <c r="G144" t="s">
        <v>27</v>
      </c>
      <c r="H144" t="s">
        <v>27</v>
      </c>
      <c r="I144">
        <v>8180</v>
      </c>
      <c r="J144">
        <v>1</v>
      </c>
      <c r="K144" t="s">
        <v>16</v>
      </c>
      <c r="L144">
        <v>6039</v>
      </c>
      <c r="M144" t="s">
        <v>274</v>
      </c>
      <c r="N144">
        <v>1</v>
      </c>
      <c r="O144" t="s">
        <v>125</v>
      </c>
      <c r="P144" t="s">
        <v>387</v>
      </c>
      <c r="Q144">
        <v>6156</v>
      </c>
      <c r="R144">
        <v>129600</v>
      </c>
      <c r="S144">
        <v>432</v>
      </c>
      <c r="T144">
        <v>300</v>
      </c>
      <c r="U144">
        <v>26</v>
      </c>
      <c r="V144">
        <v>1409</v>
      </c>
      <c r="W144" t="s">
        <v>121</v>
      </c>
      <c r="X144" t="s">
        <v>1</v>
      </c>
      <c r="Y144">
        <v>8673804</v>
      </c>
      <c r="Z144">
        <v>182606400</v>
      </c>
      <c r="AA144">
        <v>422700</v>
      </c>
      <c r="AB144">
        <v>106</v>
      </c>
      <c r="AC144" s="34">
        <v>45908</v>
      </c>
      <c r="AD144" s="34">
        <v>46053</v>
      </c>
      <c r="AE144" t="s">
        <v>134</v>
      </c>
      <c r="AF144">
        <v>1</v>
      </c>
      <c r="AG144">
        <v>33159.75</v>
      </c>
      <c r="AH144">
        <v>0</v>
      </c>
      <c r="AI144">
        <v>46722087.75</v>
      </c>
      <c r="AJ144">
        <v>0</v>
      </c>
      <c r="AK144">
        <v>0</v>
      </c>
      <c r="AL144">
        <v>11727247.9</v>
      </c>
      <c r="AM144">
        <v>0</v>
      </c>
      <c r="AN144">
        <v>58449335.649999999</v>
      </c>
      <c r="AO144" t="s">
        <v>122</v>
      </c>
      <c r="AP144">
        <v>12</v>
      </c>
      <c r="AQ144">
        <v>3979.17</v>
      </c>
      <c r="AR144">
        <v>5606650.5300000003</v>
      </c>
      <c r="AT144">
        <v>77760</v>
      </c>
      <c r="AU144">
        <v>3693.6</v>
      </c>
      <c r="AV144">
        <v>109563840</v>
      </c>
      <c r="AW144">
        <v>5204282.4000000004</v>
      </c>
    </row>
    <row r="145" spans="1:49" hidden="1" x14ac:dyDescent="0.35">
      <c r="A145">
        <v>5797310</v>
      </c>
      <c r="B145">
        <v>1090005797301</v>
      </c>
      <c r="D145">
        <v>20146559523</v>
      </c>
      <c r="E145" t="s">
        <v>381</v>
      </c>
      <c r="F145" t="s">
        <v>1</v>
      </c>
      <c r="G145" t="s">
        <v>388</v>
      </c>
      <c r="H145" t="s">
        <v>27</v>
      </c>
      <c r="I145">
        <v>8183</v>
      </c>
      <c r="J145">
        <v>1</v>
      </c>
      <c r="K145" t="s">
        <v>16</v>
      </c>
      <c r="L145">
        <v>6039</v>
      </c>
      <c r="M145" t="s">
        <v>274</v>
      </c>
      <c r="N145">
        <v>2</v>
      </c>
      <c r="O145" t="s">
        <v>125</v>
      </c>
      <c r="P145" t="s">
        <v>389</v>
      </c>
      <c r="Q145">
        <v>6369.75</v>
      </c>
      <c r="R145">
        <v>134100</v>
      </c>
      <c r="S145">
        <v>447</v>
      </c>
      <c r="T145">
        <v>300</v>
      </c>
      <c r="U145">
        <v>26</v>
      </c>
      <c r="V145">
        <v>1409</v>
      </c>
      <c r="W145" t="s">
        <v>121</v>
      </c>
      <c r="X145" t="s">
        <v>1</v>
      </c>
      <c r="Y145">
        <v>8974977.75</v>
      </c>
      <c r="Z145">
        <v>188946900</v>
      </c>
      <c r="AA145">
        <v>422700</v>
      </c>
      <c r="AB145">
        <v>106</v>
      </c>
      <c r="AC145" s="34">
        <v>45908</v>
      </c>
      <c r="AD145" s="34">
        <v>46053</v>
      </c>
      <c r="AE145" t="s">
        <v>134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 t="s">
        <v>122</v>
      </c>
      <c r="AT145">
        <v>80460</v>
      </c>
      <c r="AU145">
        <v>3821.85</v>
      </c>
      <c r="AV145">
        <v>113368140</v>
      </c>
      <c r="AW145">
        <v>5384986.6500000004</v>
      </c>
    </row>
    <row r="146" spans="1:49" hidden="1" x14ac:dyDescent="0.35">
      <c r="A146">
        <v>5797310</v>
      </c>
      <c r="B146">
        <v>1090005797301</v>
      </c>
      <c r="D146">
        <v>20146559523</v>
      </c>
      <c r="E146" t="s">
        <v>381</v>
      </c>
      <c r="F146" t="s">
        <v>1</v>
      </c>
      <c r="G146" t="s">
        <v>19</v>
      </c>
      <c r="H146" t="s">
        <v>19</v>
      </c>
      <c r="I146">
        <v>6430</v>
      </c>
      <c r="J146">
        <v>1</v>
      </c>
      <c r="K146" t="s">
        <v>16</v>
      </c>
      <c r="L146">
        <v>6039</v>
      </c>
      <c r="M146" t="s">
        <v>274</v>
      </c>
      <c r="N146">
        <v>3</v>
      </c>
      <c r="O146" t="s">
        <v>125</v>
      </c>
      <c r="P146" t="s">
        <v>390</v>
      </c>
      <c r="Q146">
        <v>20634</v>
      </c>
      <c r="R146">
        <v>434400</v>
      </c>
      <c r="S146">
        <v>1448</v>
      </c>
      <c r="T146">
        <v>300</v>
      </c>
      <c r="U146">
        <v>26</v>
      </c>
      <c r="V146">
        <v>1409</v>
      </c>
      <c r="W146" t="s">
        <v>121</v>
      </c>
      <c r="X146" t="s">
        <v>1</v>
      </c>
      <c r="Y146">
        <v>29073306</v>
      </c>
      <c r="Z146">
        <v>612069600</v>
      </c>
      <c r="AA146">
        <v>422700</v>
      </c>
      <c r="AB146">
        <v>106</v>
      </c>
      <c r="AC146" s="34">
        <v>45908</v>
      </c>
      <c r="AD146" s="34">
        <v>46053</v>
      </c>
      <c r="AE146" t="s">
        <v>134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 t="s">
        <v>122</v>
      </c>
      <c r="AT146">
        <v>260640</v>
      </c>
      <c r="AU146">
        <v>12380.4</v>
      </c>
      <c r="AV146">
        <v>367241760</v>
      </c>
      <c r="AW146">
        <v>17443983.600000001</v>
      </c>
    </row>
    <row r="147" spans="1:49" hidden="1" x14ac:dyDescent="0.35">
      <c r="A147">
        <v>5797410</v>
      </c>
      <c r="B147">
        <v>1070005797401</v>
      </c>
      <c r="D147">
        <v>30717836592</v>
      </c>
      <c r="E147" t="s">
        <v>391</v>
      </c>
      <c r="F147" t="s">
        <v>1</v>
      </c>
      <c r="G147" t="s">
        <v>24</v>
      </c>
      <c r="H147" t="s">
        <v>24</v>
      </c>
      <c r="I147">
        <v>6070</v>
      </c>
      <c r="J147">
        <v>1</v>
      </c>
      <c r="K147" t="s">
        <v>16</v>
      </c>
      <c r="L147">
        <v>9056</v>
      </c>
      <c r="M147" t="s">
        <v>326</v>
      </c>
      <c r="N147">
        <v>1</v>
      </c>
      <c r="O147" t="s">
        <v>125</v>
      </c>
      <c r="P147" t="s">
        <v>392</v>
      </c>
      <c r="Q147">
        <v>5036.96</v>
      </c>
      <c r="R147">
        <v>188650</v>
      </c>
      <c r="S147">
        <v>385</v>
      </c>
      <c r="T147">
        <v>490</v>
      </c>
      <c r="U147">
        <v>26</v>
      </c>
      <c r="V147">
        <v>1409</v>
      </c>
      <c r="W147" t="s">
        <v>121</v>
      </c>
      <c r="X147" t="s">
        <v>1</v>
      </c>
      <c r="Y147">
        <v>7097076.6399999997</v>
      </c>
      <c r="Z147">
        <v>265807850</v>
      </c>
      <c r="AA147">
        <v>690410</v>
      </c>
      <c r="AB147">
        <v>106</v>
      </c>
      <c r="AC147" s="34">
        <v>45907</v>
      </c>
      <c r="AD147" s="34">
        <v>46022</v>
      </c>
      <c r="AF147">
        <v>0</v>
      </c>
      <c r="AG147">
        <v>5036.96</v>
      </c>
      <c r="AH147">
        <v>0</v>
      </c>
      <c r="AI147">
        <v>7097076.6399999997</v>
      </c>
      <c r="AJ147">
        <v>0</v>
      </c>
      <c r="AK147">
        <v>0</v>
      </c>
      <c r="AL147">
        <v>1781356.43</v>
      </c>
      <c r="AM147">
        <v>0</v>
      </c>
      <c r="AN147">
        <v>8878433.0700000003</v>
      </c>
      <c r="AO147" t="s">
        <v>122</v>
      </c>
      <c r="AP147">
        <v>15</v>
      </c>
      <c r="AQ147">
        <v>755.54</v>
      </c>
      <c r="AR147">
        <v>1064555.8600000001</v>
      </c>
      <c r="AT147">
        <v>113190</v>
      </c>
      <c r="AU147">
        <v>3022.18</v>
      </c>
      <c r="AV147">
        <v>159484710</v>
      </c>
      <c r="AW147">
        <v>4258251.62</v>
      </c>
    </row>
    <row r="148" spans="1:49" hidden="1" x14ac:dyDescent="0.35">
      <c r="A148">
        <v>5797510</v>
      </c>
      <c r="B148">
        <v>1070005797501</v>
      </c>
      <c r="D148">
        <v>30533907055</v>
      </c>
      <c r="E148" t="s">
        <v>393</v>
      </c>
      <c r="F148" t="s">
        <v>1</v>
      </c>
      <c r="G148" t="s">
        <v>24</v>
      </c>
      <c r="H148" t="s">
        <v>24</v>
      </c>
      <c r="I148">
        <v>6070</v>
      </c>
      <c r="J148">
        <v>1</v>
      </c>
      <c r="K148" t="s">
        <v>16</v>
      </c>
      <c r="L148">
        <v>9056</v>
      </c>
      <c r="M148" t="s">
        <v>326</v>
      </c>
      <c r="N148">
        <v>1</v>
      </c>
      <c r="O148" t="s">
        <v>125</v>
      </c>
      <c r="P148" t="s">
        <v>392</v>
      </c>
      <c r="Q148">
        <v>2158.6999999999998</v>
      </c>
      <c r="R148">
        <v>80850</v>
      </c>
      <c r="S148">
        <v>385</v>
      </c>
      <c r="T148">
        <v>210</v>
      </c>
      <c r="U148">
        <v>26</v>
      </c>
      <c r="V148">
        <v>1409</v>
      </c>
      <c r="W148" t="s">
        <v>121</v>
      </c>
      <c r="X148" t="s">
        <v>1</v>
      </c>
      <c r="Y148">
        <v>3041608.3</v>
      </c>
      <c r="Z148">
        <v>113917650</v>
      </c>
      <c r="AA148">
        <v>295890</v>
      </c>
      <c r="AB148">
        <v>106</v>
      </c>
      <c r="AC148" s="34">
        <v>45907</v>
      </c>
      <c r="AD148" s="34">
        <v>46022</v>
      </c>
      <c r="AF148">
        <v>0</v>
      </c>
      <c r="AG148">
        <v>2158.6999999999998</v>
      </c>
      <c r="AH148">
        <v>0</v>
      </c>
      <c r="AI148">
        <v>3041608.3</v>
      </c>
      <c r="AJ148">
        <v>0</v>
      </c>
      <c r="AK148">
        <v>0</v>
      </c>
      <c r="AL148">
        <v>763438.47</v>
      </c>
      <c r="AM148">
        <v>0</v>
      </c>
      <c r="AN148">
        <v>3805046.77</v>
      </c>
      <c r="AO148" t="s">
        <v>122</v>
      </c>
      <c r="AP148">
        <v>15</v>
      </c>
      <c r="AQ148">
        <v>323.81</v>
      </c>
      <c r="AR148">
        <v>456248.29</v>
      </c>
      <c r="AT148">
        <v>48510</v>
      </c>
      <c r="AU148">
        <v>1295.22</v>
      </c>
      <c r="AV148">
        <v>68350590</v>
      </c>
      <c r="AW148">
        <v>1824964.98</v>
      </c>
    </row>
    <row r="149" spans="1:49" hidden="1" x14ac:dyDescent="0.35">
      <c r="A149">
        <v>5797610</v>
      </c>
      <c r="B149">
        <v>1090005797601</v>
      </c>
      <c r="D149">
        <v>30717570215</v>
      </c>
      <c r="E149" t="s">
        <v>394</v>
      </c>
      <c r="F149" t="s">
        <v>1</v>
      </c>
      <c r="G149" t="s">
        <v>395</v>
      </c>
      <c r="H149" t="s">
        <v>56</v>
      </c>
      <c r="I149">
        <v>6380</v>
      </c>
      <c r="J149">
        <v>21</v>
      </c>
      <c r="K149" t="s">
        <v>33</v>
      </c>
      <c r="L149">
        <v>82963</v>
      </c>
      <c r="M149" t="s">
        <v>396</v>
      </c>
      <c r="N149">
        <v>1</v>
      </c>
      <c r="O149" t="s">
        <v>125</v>
      </c>
      <c r="P149" t="s">
        <v>397</v>
      </c>
      <c r="Q149">
        <v>1248480</v>
      </c>
      <c r="R149">
        <v>20400000</v>
      </c>
      <c r="S149">
        <v>102</v>
      </c>
      <c r="T149">
        <v>200000</v>
      </c>
      <c r="U149">
        <v>1</v>
      </c>
      <c r="V149">
        <v>1</v>
      </c>
      <c r="W149" t="s">
        <v>121</v>
      </c>
      <c r="X149" t="s">
        <v>1</v>
      </c>
      <c r="Y149">
        <v>1248480</v>
      </c>
      <c r="Z149">
        <v>20400000</v>
      </c>
      <c r="AA149">
        <v>200000</v>
      </c>
      <c r="AB149">
        <v>105</v>
      </c>
      <c r="AC149" s="34">
        <v>45908</v>
      </c>
      <c r="AD149" s="34">
        <v>46053</v>
      </c>
      <c r="AF149">
        <v>0</v>
      </c>
      <c r="AG149">
        <v>2900880</v>
      </c>
      <c r="AH149">
        <v>0</v>
      </c>
      <c r="AI149">
        <v>2900880</v>
      </c>
      <c r="AJ149">
        <v>0</v>
      </c>
      <c r="AK149">
        <v>0</v>
      </c>
      <c r="AL149">
        <v>728120.88</v>
      </c>
      <c r="AM149">
        <v>0</v>
      </c>
      <c r="AN149">
        <v>3629000.88</v>
      </c>
      <c r="AO149" t="s">
        <v>122</v>
      </c>
      <c r="AP149">
        <v>15</v>
      </c>
      <c r="AQ149">
        <v>435132</v>
      </c>
      <c r="AR149">
        <v>435132</v>
      </c>
      <c r="AT149">
        <v>12240000</v>
      </c>
      <c r="AU149">
        <v>749088</v>
      </c>
      <c r="AV149">
        <v>12240000</v>
      </c>
      <c r="AW149">
        <v>749088</v>
      </c>
    </row>
    <row r="150" spans="1:49" hidden="1" x14ac:dyDescent="0.35">
      <c r="A150">
        <v>5797610</v>
      </c>
      <c r="B150">
        <v>1090005797601</v>
      </c>
      <c r="D150">
        <v>30717570215</v>
      </c>
      <c r="E150" t="s">
        <v>394</v>
      </c>
      <c r="F150" t="s">
        <v>1</v>
      </c>
      <c r="G150" t="s">
        <v>395</v>
      </c>
      <c r="H150" t="s">
        <v>56</v>
      </c>
      <c r="I150">
        <v>6380</v>
      </c>
      <c r="J150">
        <v>21</v>
      </c>
      <c r="K150" t="s">
        <v>33</v>
      </c>
      <c r="L150">
        <v>82963</v>
      </c>
      <c r="M150" t="s">
        <v>396</v>
      </c>
      <c r="N150">
        <v>2</v>
      </c>
      <c r="O150" t="s">
        <v>125</v>
      </c>
      <c r="P150" t="s">
        <v>398</v>
      </c>
      <c r="Q150">
        <v>795600</v>
      </c>
      <c r="R150">
        <v>13000000</v>
      </c>
      <c r="S150">
        <v>65</v>
      </c>
      <c r="T150">
        <v>200000</v>
      </c>
      <c r="U150">
        <v>1</v>
      </c>
      <c r="V150">
        <v>1</v>
      </c>
      <c r="W150" t="s">
        <v>121</v>
      </c>
      <c r="X150" t="s">
        <v>1</v>
      </c>
      <c r="Y150">
        <v>795600</v>
      </c>
      <c r="Z150">
        <v>13000000</v>
      </c>
      <c r="AA150">
        <v>200000</v>
      </c>
      <c r="AB150">
        <v>105</v>
      </c>
      <c r="AC150" s="34">
        <v>45908</v>
      </c>
      <c r="AD150" s="34">
        <v>46053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 t="s">
        <v>122</v>
      </c>
      <c r="AT150">
        <v>7800000</v>
      </c>
      <c r="AU150">
        <v>477360</v>
      </c>
      <c r="AV150">
        <v>7800000</v>
      </c>
      <c r="AW150">
        <v>477360</v>
      </c>
    </row>
    <row r="151" spans="1:49" hidden="1" x14ac:dyDescent="0.35">
      <c r="A151">
        <v>5797610</v>
      </c>
      <c r="B151">
        <v>1090005797601</v>
      </c>
      <c r="D151">
        <v>30717570215</v>
      </c>
      <c r="E151" t="s">
        <v>394</v>
      </c>
      <c r="F151" t="s">
        <v>1</v>
      </c>
      <c r="G151" t="s">
        <v>395</v>
      </c>
      <c r="H151" t="s">
        <v>56</v>
      </c>
      <c r="I151">
        <v>6380</v>
      </c>
      <c r="J151">
        <v>21</v>
      </c>
      <c r="K151" t="s">
        <v>33</v>
      </c>
      <c r="L151">
        <v>82963</v>
      </c>
      <c r="M151" t="s">
        <v>396</v>
      </c>
      <c r="N151">
        <v>3</v>
      </c>
      <c r="O151" t="s">
        <v>125</v>
      </c>
      <c r="P151" t="s">
        <v>399</v>
      </c>
      <c r="Q151">
        <v>856800</v>
      </c>
      <c r="R151">
        <v>14000000</v>
      </c>
      <c r="S151">
        <v>70</v>
      </c>
      <c r="T151">
        <v>200000</v>
      </c>
      <c r="U151">
        <v>1</v>
      </c>
      <c r="V151">
        <v>1</v>
      </c>
      <c r="W151" t="s">
        <v>121</v>
      </c>
      <c r="X151" t="s">
        <v>1</v>
      </c>
      <c r="Y151">
        <v>856800</v>
      </c>
      <c r="Z151">
        <v>14000000</v>
      </c>
      <c r="AA151">
        <v>200000</v>
      </c>
      <c r="AB151">
        <v>105</v>
      </c>
      <c r="AC151" s="34">
        <v>45908</v>
      </c>
      <c r="AD151" s="34">
        <v>46053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 t="s">
        <v>122</v>
      </c>
      <c r="AT151">
        <v>8400000</v>
      </c>
      <c r="AU151">
        <v>514080</v>
      </c>
      <c r="AV151">
        <v>8400000</v>
      </c>
      <c r="AW151">
        <v>514080</v>
      </c>
    </row>
    <row r="152" spans="1:49" hidden="1" x14ac:dyDescent="0.35">
      <c r="A152">
        <v>5797710</v>
      </c>
      <c r="B152">
        <v>1090005797701</v>
      </c>
      <c r="D152">
        <v>20146559523</v>
      </c>
      <c r="E152" t="s">
        <v>381</v>
      </c>
      <c r="F152" t="s">
        <v>1</v>
      </c>
      <c r="G152" t="s">
        <v>400</v>
      </c>
      <c r="H152" t="s">
        <v>400</v>
      </c>
      <c r="I152">
        <v>6311</v>
      </c>
      <c r="J152">
        <v>21</v>
      </c>
      <c r="K152" t="s">
        <v>33</v>
      </c>
      <c r="L152">
        <v>6039</v>
      </c>
      <c r="M152" t="s">
        <v>274</v>
      </c>
      <c r="N152">
        <v>1</v>
      </c>
      <c r="O152" t="s">
        <v>125</v>
      </c>
      <c r="P152" t="s">
        <v>401</v>
      </c>
      <c r="Q152">
        <v>4252.1499999999996</v>
      </c>
      <c r="R152">
        <v>189000</v>
      </c>
      <c r="S152">
        <v>630</v>
      </c>
      <c r="T152">
        <v>300</v>
      </c>
      <c r="U152">
        <v>26</v>
      </c>
      <c r="V152">
        <v>1416.5</v>
      </c>
      <c r="W152" t="s">
        <v>121</v>
      </c>
      <c r="X152" t="s">
        <v>1</v>
      </c>
      <c r="Y152">
        <v>6023170.4800000004</v>
      </c>
      <c r="Z152">
        <v>267718500</v>
      </c>
      <c r="AA152">
        <v>424950</v>
      </c>
      <c r="AB152">
        <v>106</v>
      </c>
      <c r="AC152" s="34">
        <v>45908</v>
      </c>
      <c r="AD152" s="34">
        <v>46053</v>
      </c>
      <c r="AF152">
        <v>1</v>
      </c>
      <c r="AG152">
        <v>4252.1499999999996</v>
      </c>
      <c r="AH152">
        <v>0</v>
      </c>
      <c r="AI152">
        <v>6023170.4800000004</v>
      </c>
      <c r="AJ152">
        <v>0</v>
      </c>
      <c r="AK152">
        <v>0</v>
      </c>
      <c r="AL152">
        <v>1511802.12</v>
      </c>
      <c r="AM152">
        <v>0</v>
      </c>
      <c r="AN152">
        <v>7534972.5999999996</v>
      </c>
      <c r="AO152" t="s">
        <v>122</v>
      </c>
      <c r="AP152">
        <v>12</v>
      </c>
      <c r="AQ152">
        <v>510.26</v>
      </c>
      <c r="AR152">
        <v>722783.29</v>
      </c>
      <c r="AT152">
        <v>113400</v>
      </c>
      <c r="AU152">
        <v>2551.29</v>
      </c>
      <c r="AV152">
        <v>160631100</v>
      </c>
      <c r="AW152">
        <v>3613902.29</v>
      </c>
    </row>
    <row r="153" spans="1:49" hidden="1" x14ac:dyDescent="0.35">
      <c r="A153">
        <v>5797810</v>
      </c>
      <c r="B153">
        <v>1090005797801</v>
      </c>
      <c r="D153">
        <v>20054687460</v>
      </c>
      <c r="E153" t="s">
        <v>402</v>
      </c>
      <c r="F153" t="s">
        <v>1</v>
      </c>
      <c r="G153" t="s">
        <v>66</v>
      </c>
      <c r="H153" t="s">
        <v>66</v>
      </c>
      <c r="I153">
        <v>7540</v>
      </c>
      <c r="J153">
        <v>1</v>
      </c>
      <c r="K153" t="s">
        <v>16</v>
      </c>
      <c r="L153">
        <v>12320</v>
      </c>
      <c r="M153" t="s">
        <v>403</v>
      </c>
      <c r="N153">
        <v>1</v>
      </c>
      <c r="O153" t="s">
        <v>125</v>
      </c>
      <c r="P153" t="s">
        <v>404</v>
      </c>
      <c r="Q153">
        <v>691.2</v>
      </c>
      <c r="R153">
        <v>14400</v>
      </c>
      <c r="S153">
        <v>48</v>
      </c>
      <c r="T153">
        <v>300</v>
      </c>
      <c r="U153">
        <v>26</v>
      </c>
      <c r="V153">
        <v>1416.5</v>
      </c>
      <c r="W153" t="s">
        <v>121</v>
      </c>
      <c r="X153" t="s">
        <v>1</v>
      </c>
      <c r="Y153">
        <v>979084.80000000005</v>
      </c>
      <c r="Z153">
        <v>20397600</v>
      </c>
      <c r="AA153">
        <v>424950</v>
      </c>
      <c r="AB153">
        <v>106</v>
      </c>
      <c r="AC153" s="34">
        <v>45906</v>
      </c>
      <c r="AD153" s="34">
        <v>46022</v>
      </c>
      <c r="AE153" t="s">
        <v>134</v>
      </c>
      <c r="AF153">
        <v>1</v>
      </c>
      <c r="AG153">
        <v>1699.2</v>
      </c>
      <c r="AH153">
        <v>0</v>
      </c>
      <c r="AI153">
        <v>2406916.7999999998</v>
      </c>
      <c r="AJ153">
        <v>0</v>
      </c>
      <c r="AK153">
        <v>0</v>
      </c>
      <c r="AL153">
        <v>604151.42000000004</v>
      </c>
      <c r="AM153">
        <v>0</v>
      </c>
      <c r="AN153">
        <v>3011068.22</v>
      </c>
      <c r="AO153" t="s">
        <v>122</v>
      </c>
      <c r="AP153">
        <v>12</v>
      </c>
      <c r="AQ153">
        <v>203.9</v>
      </c>
      <c r="AR153">
        <v>288824.34999999998</v>
      </c>
      <c r="AT153">
        <v>8640</v>
      </c>
      <c r="AU153">
        <v>414.72</v>
      </c>
      <c r="AV153">
        <v>12238560</v>
      </c>
      <c r="AW153">
        <v>587450.88</v>
      </c>
    </row>
    <row r="154" spans="1:49" hidden="1" x14ac:dyDescent="0.35">
      <c r="A154">
        <v>5797810</v>
      </c>
      <c r="B154">
        <v>1090005797801</v>
      </c>
      <c r="D154">
        <v>20054687460</v>
      </c>
      <c r="E154" t="s">
        <v>402</v>
      </c>
      <c r="F154" t="s">
        <v>1</v>
      </c>
      <c r="G154" t="s">
        <v>66</v>
      </c>
      <c r="H154" t="s">
        <v>66</v>
      </c>
      <c r="I154">
        <v>7540</v>
      </c>
      <c r="J154">
        <v>1</v>
      </c>
      <c r="K154" t="s">
        <v>16</v>
      </c>
      <c r="L154">
        <v>12320</v>
      </c>
      <c r="M154" t="s">
        <v>403</v>
      </c>
      <c r="N154">
        <v>2</v>
      </c>
      <c r="O154" t="s">
        <v>125</v>
      </c>
      <c r="P154" t="s">
        <v>405</v>
      </c>
      <c r="Q154">
        <v>1008</v>
      </c>
      <c r="R154">
        <v>21000</v>
      </c>
      <c r="S154">
        <v>70</v>
      </c>
      <c r="T154">
        <v>300</v>
      </c>
      <c r="U154">
        <v>26</v>
      </c>
      <c r="V154">
        <v>1416.5</v>
      </c>
      <c r="W154" t="s">
        <v>121</v>
      </c>
      <c r="X154" t="s">
        <v>1</v>
      </c>
      <c r="Y154">
        <v>1427832</v>
      </c>
      <c r="Z154">
        <v>29746500</v>
      </c>
      <c r="AA154">
        <v>424950</v>
      </c>
      <c r="AB154">
        <v>106</v>
      </c>
      <c r="AC154" s="34">
        <v>45906</v>
      </c>
      <c r="AD154" s="34">
        <v>46022</v>
      </c>
      <c r="AE154" t="s">
        <v>134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 t="s">
        <v>122</v>
      </c>
      <c r="AT154">
        <v>12600</v>
      </c>
      <c r="AU154">
        <v>604.79999999999995</v>
      </c>
      <c r="AV154">
        <v>17847900</v>
      </c>
      <c r="AW154">
        <v>856699.2</v>
      </c>
    </row>
    <row r="155" spans="1:49" hidden="1" x14ac:dyDescent="0.35">
      <c r="A155">
        <v>5797910</v>
      </c>
      <c r="B155">
        <v>1090005797901</v>
      </c>
      <c r="D155">
        <v>20146559523</v>
      </c>
      <c r="E155" t="s">
        <v>381</v>
      </c>
      <c r="F155" t="s">
        <v>1</v>
      </c>
      <c r="G155" t="s">
        <v>400</v>
      </c>
      <c r="H155" t="s">
        <v>400</v>
      </c>
      <c r="I155">
        <v>6311</v>
      </c>
      <c r="J155">
        <v>21</v>
      </c>
      <c r="K155" t="s">
        <v>33</v>
      </c>
      <c r="L155">
        <v>6039</v>
      </c>
      <c r="M155" t="s">
        <v>274</v>
      </c>
      <c r="N155">
        <v>1</v>
      </c>
      <c r="O155" t="s">
        <v>125</v>
      </c>
      <c r="P155" t="s">
        <v>406</v>
      </c>
      <c r="Q155">
        <v>8835</v>
      </c>
      <c r="R155">
        <v>186000</v>
      </c>
      <c r="S155">
        <v>620</v>
      </c>
      <c r="T155">
        <v>300</v>
      </c>
      <c r="U155">
        <v>26</v>
      </c>
      <c r="V155">
        <v>1416.5</v>
      </c>
      <c r="W155" t="s">
        <v>121</v>
      </c>
      <c r="X155" t="s">
        <v>1</v>
      </c>
      <c r="Y155">
        <v>12514777.5</v>
      </c>
      <c r="Z155">
        <v>263469000</v>
      </c>
      <c r="AA155">
        <v>424950</v>
      </c>
      <c r="AB155">
        <v>106</v>
      </c>
      <c r="AC155" s="34">
        <v>45908</v>
      </c>
      <c r="AD155" s="34">
        <v>46053</v>
      </c>
      <c r="AE155" t="s">
        <v>134</v>
      </c>
      <c r="AF155">
        <v>1</v>
      </c>
      <c r="AG155">
        <v>8835</v>
      </c>
      <c r="AH155">
        <v>0</v>
      </c>
      <c r="AI155">
        <v>12514777.5</v>
      </c>
      <c r="AJ155">
        <v>0</v>
      </c>
      <c r="AK155">
        <v>0</v>
      </c>
      <c r="AL155">
        <v>3141216.24</v>
      </c>
      <c r="AM155">
        <v>0</v>
      </c>
      <c r="AN155">
        <v>15655993.74</v>
      </c>
      <c r="AO155" t="s">
        <v>122</v>
      </c>
      <c r="AP155">
        <v>12</v>
      </c>
      <c r="AQ155">
        <v>1060.2</v>
      </c>
      <c r="AR155">
        <v>1501773.3</v>
      </c>
      <c r="AT155">
        <v>111600</v>
      </c>
      <c r="AU155">
        <v>5301</v>
      </c>
      <c r="AV155">
        <v>158081400</v>
      </c>
      <c r="AW155">
        <v>7508866.5</v>
      </c>
    </row>
    <row r="156" spans="1:49" hidden="1" x14ac:dyDescent="0.35">
      <c r="A156">
        <v>5798010</v>
      </c>
      <c r="B156">
        <v>1170005798001</v>
      </c>
      <c r="D156">
        <v>30708002212</v>
      </c>
      <c r="E156" t="s">
        <v>407</v>
      </c>
      <c r="F156" t="s">
        <v>1</v>
      </c>
      <c r="G156" t="s">
        <v>198</v>
      </c>
      <c r="H156" t="s">
        <v>28</v>
      </c>
      <c r="I156">
        <v>2914</v>
      </c>
      <c r="J156">
        <v>1</v>
      </c>
      <c r="K156" t="s">
        <v>16</v>
      </c>
      <c r="L156">
        <v>8105</v>
      </c>
      <c r="M156" t="s">
        <v>199</v>
      </c>
      <c r="N156">
        <v>1</v>
      </c>
      <c r="O156" t="s">
        <v>125</v>
      </c>
      <c r="P156" t="s">
        <v>408</v>
      </c>
      <c r="Q156">
        <v>808.25</v>
      </c>
      <c r="R156">
        <v>28000</v>
      </c>
      <c r="S156">
        <v>56</v>
      </c>
      <c r="T156">
        <v>500</v>
      </c>
      <c r="U156">
        <v>26</v>
      </c>
      <c r="V156">
        <v>1416.5</v>
      </c>
      <c r="W156" t="s">
        <v>121</v>
      </c>
      <c r="X156" t="s">
        <v>1</v>
      </c>
      <c r="Y156">
        <v>1144886.1299999999</v>
      </c>
      <c r="Z156">
        <v>39662000</v>
      </c>
      <c r="AA156">
        <v>708250</v>
      </c>
      <c r="AB156">
        <v>106</v>
      </c>
      <c r="AC156" s="34">
        <v>45914</v>
      </c>
      <c r="AD156" s="34">
        <v>46022</v>
      </c>
      <c r="AE156" t="s">
        <v>161</v>
      </c>
      <c r="AF156">
        <v>0</v>
      </c>
      <c r="AG156">
        <v>1508.26</v>
      </c>
      <c r="AH156">
        <v>0</v>
      </c>
      <c r="AI156">
        <v>2136450.29</v>
      </c>
      <c r="AJ156">
        <v>0</v>
      </c>
      <c r="AK156">
        <v>0</v>
      </c>
      <c r="AL156">
        <v>536244.41</v>
      </c>
      <c r="AM156">
        <v>0</v>
      </c>
      <c r="AN156">
        <v>2672694.7000000002</v>
      </c>
      <c r="AO156" t="s">
        <v>122</v>
      </c>
      <c r="AP156">
        <v>12</v>
      </c>
      <c r="AQ156">
        <v>180.99</v>
      </c>
      <c r="AR156">
        <v>256372.34</v>
      </c>
      <c r="AT156">
        <v>16800</v>
      </c>
      <c r="AU156">
        <v>484.95</v>
      </c>
      <c r="AV156">
        <v>23797200</v>
      </c>
      <c r="AW156">
        <v>686931.68</v>
      </c>
    </row>
    <row r="157" spans="1:49" hidden="1" x14ac:dyDescent="0.35">
      <c r="A157">
        <v>5798010</v>
      </c>
      <c r="B157">
        <v>1170005798001</v>
      </c>
      <c r="D157">
        <v>30708002212</v>
      </c>
      <c r="E157" t="s">
        <v>407</v>
      </c>
      <c r="F157" t="s">
        <v>1</v>
      </c>
      <c r="G157" t="s">
        <v>198</v>
      </c>
      <c r="H157" t="s">
        <v>28</v>
      </c>
      <c r="I157">
        <v>2914</v>
      </c>
      <c r="J157">
        <v>1</v>
      </c>
      <c r="K157" t="s">
        <v>16</v>
      </c>
      <c r="L157">
        <v>8105</v>
      </c>
      <c r="M157" t="s">
        <v>199</v>
      </c>
      <c r="N157">
        <v>2</v>
      </c>
      <c r="O157" t="s">
        <v>125</v>
      </c>
      <c r="P157" t="s">
        <v>409</v>
      </c>
      <c r="Q157">
        <v>483.51</v>
      </c>
      <c r="R157">
        <v>16750</v>
      </c>
      <c r="S157">
        <v>67</v>
      </c>
      <c r="T157">
        <v>250</v>
      </c>
      <c r="U157">
        <v>26</v>
      </c>
      <c r="V157">
        <v>1416.5</v>
      </c>
      <c r="W157" t="s">
        <v>121</v>
      </c>
      <c r="X157" t="s">
        <v>1</v>
      </c>
      <c r="Y157">
        <v>684891.92</v>
      </c>
      <c r="Z157">
        <v>23726375</v>
      </c>
      <c r="AA157">
        <v>354125</v>
      </c>
      <c r="AB157">
        <v>106</v>
      </c>
      <c r="AC157" s="34">
        <v>45914</v>
      </c>
      <c r="AD157" s="34">
        <v>46022</v>
      </c>
      <c r="AE157" t="s">
        <v>161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 t="s">
        <v>122</v>
      </c>
      <c r="AT157">
        <v>10050</v>
      </c>
      <c r="AU157">
        <v>290.11</v>
      </c>
      <c r="AV157">
        <v>14235825</v>
      </c>
      <c r="AW157">
        <v>410940.82</v>
      </c>
    </row>
    <row r="158" spans="1:49" hidden="1" x14ac:dyDescent="0.35">
      <c r="A158">
        <v>5798010</v>
      </c>
      <c r="B158">
        <v>1170005798001</v>
      </c>
      <c r="D158">
        <v>30708002212</v>
      </c>
      <c r="E158" t="s">
        <v>407</v>
      </c>
      <c r="F158" t="s">
        <v>1</v>
      </c>
      <c r="G158" t="s">
        <v>198</v>
      </c>
      <c r="H158" t="s">
        <v>28</v>
      </c>
      <c r="I158">
        <v>2914</v>
      </c>
      <c r="J158">
        <v>1</v>
      </c>
      <c r="K158" t="s">
        <v>16</v>
      </c>
      <c r="L158">
        <v>8105</v>
      </c>
      <c r="M158" t="s">
        <v>199</v>
      </c>
      <c r="N158">
        <v>3</v>
      </c>
      <c r="O158" t="s">
        <v>125</v>
      </c>
      <c r="P158" t="s">
        <v>410</v>
      </c>
      <c r="Q158">
        <v>216.5</v>
      </c>
      <c r="R158">
        <v>7500</v>
      </c>
      <c r="S158">
        <v>30</v>
      </c>
      <c r="T158">
        <v>250</v>
      </c>
      <c r="U158">
        <v>26</v>
      </c>
      <c r="V158">
        <v>1416.5</v>
      </c>
      <c r="W158" t="s">
        <v>121</v>
      </c>
      <c r="X158" t="s">
        <v>1</v>
      </c>
      <c r="Y158">
        <v>306672.25</v>
      </c>
      <c r="Z158">
        <v>10623750</v>
      </c>
      <c r="AA158">
        <v>354125</v>
      </c>
      <c r="AB158">
        <v>106</v>
      </c>
      <c r="AC158" s="34">
        <v>45914</v>
      </c>
      <c r="AD158" s="34">
        <v>46022</v>
      </c>
      <c r="AE158" t="s">
        <v>161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 t="s">
        <v>122</v>
      </c>
      <c r="AT158">
        <v>4500</v>
      </c>
      <c r="AU158">
        <v>129.9</v>
      </c>
      <c r="AV158">
        <v>6374250</v>
      </c>
      <c r="AW158">
        <v>184003.35</v>
      </c>
    </row>
    <row r="159" spans="1:49" hidden="1" x14ac:dyDescent="0.35">
      <c r="A159">
        <v>5798110</v>
      </c>
      <c r="B159">
        <v>1090005798101</v>
      </c>
      <c r="D159">
        <v>20149280430</v>
      </c>
      <c r="E159" t="s">
        <v>411</v>
      </c>
      <c r="F159" t="s">
        <v>1</v>
      </c>
      <c r="G159" t="s">
        <v>412</v>
      </c>
      <c r="H159" t="s">
        <v>412</v>
      </c>
      <c r="I159">
        <v>6369</v>
      </c>
      <c r="J159">
        <v>21</v>
      </c>
      <c r="K159" t="s">
        <v>33</v>
      </c>
      <c r="L159">
        <v>6127</v>
      </c>
      <c r="M159" t="s">
        <v>118</v>
      </c>
      <c r="N159">
        <v>1</v>
      </c>
      <c r="O159" t="s">
        <v>125</v>
      </c>
      <c r="P159" t="s">
        <v>413</v>
      </c>
      <c r="Q159">
        <v>900</v>
      </c>
      <c r="R159">
        <v>22500</v>
      </c>
      <c r="S159">
        <v>100</v>
      </c>
      <c r="T159">
        <v>225</v>
      </c>
      <c r="U159">
        <v>26</v>
      </c>
      <c r="V159">
        <v>1416.5</v>
      </c>
      <c r="W159" t="s">
        <v>121</v>
      </c>
      <c r="X159" t="s">
        <v>1</v>
      </c>
      <c r="Y159">
        <v>1274850</v>
      </c>
      <c r="Z159">
        <v>31871250</v>
      </c>
      <c r="AA159">
        <v>318712.5</v>
      </c>
      <c r="AB159">
        <v>106</v>
      </c>
      <c r="AC159" s="34">
        <v>45914</v>
      </c>
      <c r="AD159" s="34">
        <v>46022</v>
      </c>
      <c r="AE159" t="s">
        <v>161</v>
      </c>
      <c r="AF159">
        <v>0</v>
      </c>
      <c r="AG159">
        <v>900</v>
      </c>
      <c r="AH159">
        <v>0</v>
      </c>
      <c r="AI159">
        <v>1274850</v>
      </c>
      <c r="AJ159">
        <v>0</v>
      </c>
      <c r="AK159">
        <v>0</v>
      </c>
      <c r="AL159">
        <v>319987.34999999998</v>
      </c>
      <c r="AM159">
        <v>0</v>
      </c>
      <c r="AN159">
        <v>1594837.35</v>
      </c>
      <c r="AO159" t="s">
        <v>122</v>
      </c>
      <c r="AP159">
        <v>10</v>
      </c>
      <c r="AQ159">
        <v>90</v>
      </c>
      <c r="AR159">
        <v>127485</v>
      </c>
      <c r="AT159">
        <v>13500</v>
      </c>
      <c r="AU159">
        <v>540</v>
      </c>
      <c r="AV159">
        <v>19122750</v>
      </c>
      <c r="AW159">
        <v>764910</v>
      </c>
    </row>
    <row r="160" spans="1:49" hidden="1" x14ac:dyDescent="0.35">
      <c r="A160">
        <v>5798210</v>
      </c>
      <c r="B160">
        <v>1250005798201</v>
      </c>
      <c r="D160">
        <v>30708662735</v>
      </c>
      <c r="E160" t="s">
        <v>414</v>
      </c>
      <c r="F160" t="s">
        <v>1</v>
      </c>
      <c r="G160" t="s">
        <v>415</v>
      </c>
      <c r="H160" t="s">
        <v>48</v>
      </c>
      <c r="I160">
        <v>6132</v>
      </c>
      <c r="J160">
        <v>3</v>
      </c>
      <c r="K160" t="s">
        <v>32</v>
      </c>
      <c r="L160">
        <v>8274</v>
      </c>
      <c r="M160" t="s">
        <v>416</v>
      </c>
      <c r="N160">
        <v>1</v>
      </c>
      <c r="O160" t="s">
        <v>125</v>
      </c>
      <c r="P160" t="s">
        <v>417</v>
      </c>
      <c r="Q160">
        <v>1045.75</v>
      </c>
      <c r="R160">
        <v>23500</v>
      </c>
      <c r="S160">
        <v>235</v>
      </c>
      <c r="T160">
        <v>100</v>
      </c>
      <c r="U160">
        <v>26</v>
      </c>
      <c r="V160">
        <v>1416.5</v>
      </c>
      <c r="W160" t="s">
        <v>121</v>
      </c>
      <c r="X160" t="s">
        <v>1</v>
      </c>
      <c r="Y160">
        <v>1481304.88</v>
      </c>
      <c r="Z160">
        <v>33287750</v>
      </c>
      <c r="AA160">
        <v>141650</v>
      </c>
      <c r="AB160">
        <v>106</v>
      </c>
      <c r="AC160" s="34">
        <v>45902</v>
      </c>
      <c r="AD160" s="34">
        <v>46022</v>
      </c>
      <c r="AE160" t="s">
        <v>161</v>
      </c>
      <c r="AF160">
        <v>1</v>
      </c>
      <c r="AG160">
        <v>1045.75</v>
      </c>
      <c r="AH160">
        <v>0</v>
      </c>
      <c r="AI160">
        <v>1481304.88</v>
      </c>
      <c r="AJ160">
        <v>0</v>
      </c>
      <c r="AK160">
        <v>0</v>
      </c>
      <c r="AL160">
        <v>386619.51</v>
      </c>
      <c r="AM160">
        <v>0</v>
      </c>
      <c r="AN160">
        <v>1867924.39</v>
      </c>
      <c r="AO160" t="s">
        <v>122</v>
      </c>
      <c r="AP160">
        <v>15</v>
      </c>
      <c r="AQ160">
        <v>156.86000000000001</v>
      </c>
      <c r="AR160">
        <v>222192.19</v>
      </c>
      <c r="AT160">
        <v>14100</v>
      </c>
      <c r="AU160">
        <v>627.45000000000005</v>
      </c>
      <c r="AV160">
        <v>19972650</v>
      </c>
      <c r="AW160">
        <v>888782.93</v>
      </c>
    </row>
    <row r="161" spans="1:49" hidden="1" x14ac:dyDescent="0.35">
      <c r="A161">
        <v>5798310</v>
      </c>
      <c r="B161">
        <v>1250005798301</v>
      </c>
      <c r="D161">
        <v>20256989817</v>
      </c>
      <c r="E161" t="s">
        <v>418</v>
      </c>
      <c r="F161" t="s">
        <v>1</v>
      </c>
      <c r="G161" t="s">
        <v>415</v>
      </c>
      <c r="H161" t="s">
        <v>48</v>
      </c>
      <c r="I161">
        <v>6132</v>
      </c>
      <c r="J161">
        <v>3</v>
      </c>
      <c r="K161" t="s">
        <v>32</v>
      </c>
      <c r="L161">
        <v>8274</v>
      </c>
      <c r="M161" t="s">
        <v>416</v>
      </c>
      <c r="N161">
        <v>1</v>
      </c>
      <c r="O161" t="s">
        <v>125</v>
      </c>
      <c r="P161" t="s">
        <v>419</v>
      </c>
      <c r="Q161">
        <v>1045.75</v>
      </c>
      <c r="R161">
        <v>23500</v>
      </c>
      <c r="S161">
        <v>235</v>
      </c>
      <c r="T161">
        <v>100</v>
      </c>
      <c r="U161">
        <v>26</v>
      </c>
      <c r="V161">
        <v>1416.5</v>
      </c>
      <c r="W161" t="s">
        <v>121</v>
      </c>
      <c r="X161" t="s">
        <v>1</v>
      </c>
      <c r="Y161">
        <v>1481304.88</v>
      </c>
      <c r="Z161">
        <v>33287750</v>
      </c>
      <c r="AA161">
        <v>141650</v>
      </c>
      <c r="AB161">
        <v>106</v>
      </c>
      <c r="AC161" s="34">
        <v>45902</v>
      </c>
      <c r="AD161" s="34">
        <v>46022</v>
      </c>
      <c r="AE161" t="s">
        <v>161</v>
      </c>
      <c r="AF161">
        <v>1</v>
      </c>
      <c r="AG161">
        <v>1045.75</v>
      </c>
      <c r="AH161">
        <v>0</v>
      </c>
      <c r="AI161">
        <v>1481304.88</v>
      </c>
      <c r="AJ161">
        <v>0</v>
      </c>
      <c r="AK161">
        <v>0</v>
      </c>
      <c r="AL161">
        <v>386619.51</v>
      </c>
      <c r="AM161">
        <v>0</v>
      </c>
      <c r="AN161">
        <v>1867924.39</v>
      </c>
      <c r="AO161" t="s">
        <v>122</v>
      </c>
      <c r="AP161">
        <v>15</v>
      </c>
      <c r="AQ161">
        <v>156.86000000000001</v>
      </c>
      <c r="AR161">
        <v>222192.19</v>
      </c>
      <c r="AT161">
        <v>14100</v>
      </c>
      <c r="AU161">
        <v>627.45000000000005</v>
      </c>
      <c r="AV161">
        <v>19972650</v>
      </c>
      <c r="AW161">
        <v>888782.93</v>
      </c>
    </row>
    <row r="162" spans="1:49" hidden="1" x14ac:dyDescent="0.35">
      <c r="A162">
        <v>5798410</v>
      </c>
      <c r="B162">
        <v>1250005798401</v>
      </c>
      <c r="D162">
        <v>30715624555</v>
      </c>
      <c r="E162" t="s">
        <v>420</v>
      </c>
      <c r="F162" t="s">
        <v>1</v>
      </c>
      <c r="G162" t="s">
        <v>415</v>
      </c>
      <c r="H162" t="s">
        <v>48</v>
      </c>
      <c r="I162">
        <v>6132</v>
      </c>
      <c r="J162">
        <v>3</v>
      </c>
      <c r="K162" t="s">
        <v>32</v>
      </c>
      <c r="L162">
        <v>8274</v>
      </c>
      <c r="M162" t="s">
        <v>416</v>
      </c>
      <c r="N162">
        <v>1</v>
      </c>
      <c r="O162" t="s">
        <v>125</v>
      </c>
      <c r="P162" t="s">
        <v>417</v>
      </c>
      <c r="Q162">
        <v>1045.75</v>
      </c>
      <c r="R162">
        <v>23500</v>
      </c>
      <c r="S162">
        <v>235</v>
      </c>
      <c r="T162">
        <v>100</v>
      </c>
      <c r="U162">
        <v>26</v>
      </c>
      <c r="V162">
        <v>1416.5</v>
      </c>
      <c r="W162" t="s">
        <v>121</v>
      </c>
      <c r="X162" t="s">
        <v>1</v>
      </c>
      <c r="Y162">
        <v>1481304.88</v>
      </c>
      <c r="Z162">
        <v>33287750</v>
      </c>
      <c r="AA162">
        <v>141650</v>
      </c>
      <c r="AB162">
        <v>106</v>
      </c>
      <c r="AC162" s="34">
        <v>45902</v>
      </c>
      <c r="AD162" s="34">
        <v>46022</v>
      </c>
      <c r="AE162" t="s">
        <v>161</v>
      </c>
      <c r="AF162">
        <v>1</v>
      </c>
      <c r="AG162">
        <v>1045.75</v>
      </c>
      <c r="AH162">
        <v>0</v>
      </c>
      <c r="AI162">
        <v>1481304.88</v>
      </c>
      <c r="AJ162">
        <v>0</v>
      </c>
      <c r="AK162">
        <v>0</v>
      </c>
      <c r="AL162">
        <v>386619.51</v>
      </c>
      <c r="AM162">
        <v>0</v>
      </c>
      <c r="AN162">
        <v>1867924.39</v>
      </c>
      <c r="AO162" t="s">
        <v>122</v>
      </c>
      <c r="AP162">
        <v>15</v>
      </c>
      <c r="AQ162">
        <v>156.86000000000001</v>
      </c>
      <c r="AR162">
        <v>222192.19</v>
      </c>
      <c r="AT162">
        <v>14100</v>
      </c>
      <c r="AU162">
        <v>627.45000000000005</v>
      </c>
      <c r="AV162">
        <v>19972650</v>
      </c>
      <c r="AW162">
        <v>888782.93</v>
      </c>
    </row>
    <row r="163" spans="1:49" hidden="1" x14ac:dyDescent="0.35">
      <c r="A163">
        <v>5798510</v>
      </c>
      <c r="B163">
        <v>1000005798501</v>
      </c>
      <c r="D163">
        <v>30509276125</v>
      </c>
      <c r="E163" t="s">
        <v>421</v>
      </c>
      <c r="F163" t="s">
        <v>1</v>
      </c>
      <c r="G163" t="s">
        <v>422</v>
      </c>
      <c r="H163" t="s">
        <v>422</v>
      </c>
      <c r="I163">
        <v>6550</v>
      </c>
      <c r="J163">
        <v>1</v>
      </c>
      <c r="K163" t="s">
        <v>16</v>
      </c>
      <c r="L163">
        <v>7993</v>
      </c>
      <c r="M163" t="s">
        <v>423</v>
      </c>
      <c r="N163">
        <v>1</v>
      </c>
      <c r="O163" t="s">
        <v>125</v>
      </c>
      <c r="P163" t="s">
        <v>424</v>
      </c>
      <c r="Q163">
        <v>3336.22</v>
      </c>
      <c r="R163">
        <v>89925</v>
      </c>
      <c r="S163">
        <v>165</v>
      </c>
      <c r="T163">
        <v>545</v>
      </c>
      <c r="U163">
        <v>26</v>
      </c>
      <c r="V163">
        <v>1432</v>
      </c>
      <c r="W163" t="s">
        <v>121</v>
      </c>
      <c r="X163" t="s">
        <v>1</v>
      </c>
      <c r="Y163">
        <v>4777467.04</v>
      </c>
      <c r="Z163">
        <v>128772600</v>
      </c>
      <c r="AA163">
        <v>780440</v>
      </c>
      <c r="AB163">
        <v>214</v>
      </c>
      <c r="AC163" s="34">
        <v>45908</v>
      </c>
      <c r="AD163" s="34">
        <v>46022</v>
      </c>
      <c r="AE163" t="s">
        <v>134</v>
      </c>
      <c r="AF163">
        <v>2</v>
      </c>
      <c r="AG163">
        <v>3336.22</v>
      </c>
      <c r="AH163">
        <v>0</v>
      </c>
      <c r="AI163">
        <v>4777467.04</v>
      </c>
      <c r="AJ163">
        <v>0</v>
      </c>
      <c r="AK163">
        <v>0</v>
      </c>
      <c r="AL163">
        <v>1199156.8</v>
      </c>
      <c r="AM163">
        <v>0</v>
      </c>
      <c r="AN163">
        <v>5976623.8399999999</v>
      </c>
      <c r="AO163" t="s">
        <v>122</v>
      </c>
      <c r="AP163">
        <v>15</v>
      </c>
      <c r="AQ163">
        <v>500.43</v>
      </c>
      <c r="AR163">
        <v>716615.76</v>
      </c>
      <c r="AT163">
        <v>53955</v>
      </c>
      <c r="AU163">
        <v>2001.73</v>
      </c>
      <c r="AV163">
        <v>77263560</v>
      </c>
      <c r="AW163">
        <v>2866477.36</v>
      </c>
    </row>
    <row r="164" spans="1:49" hidden="1" x14ac:dyDescent="0.35">
      <c r="A164">
        <v>5798610</v>
      </c>
      <c r="B164">
        <v>1090005798601</v>
      </c>
      <c r="D164">
        <v>30710897871</v>
      </c>
      <c r="E164" t="s">
        <v>425</v>
      </c>
      <c r="F164" t="s">
        <v>1</v>
      </c>
      <c r="G164" t="s">
        <v>412</v>
      </c>
      <c r="H164" t="s">
        <v>412</v>
      </c>
      <c r="I164">
        <v>6369</v>
      </c>
      <c r="J164">
        <v>21</v>
      </c>
      <c r="K164" t="s">
        <v>33</v>
      </c>
      <c r="L164">
        <v>6127</v>
      </c>
      <c r="M164" t="s">
        <v>118</v>
      </c>
      <c r="N164">
        <v>1</v>
      </c>
      <c r="O164" t="s">
        <v>125</v>
      </c>
      <c r="P164" t="s">
        <v>426</v>
      </c>
      <c r="Q164">
        <v>900</v>
      </c>
      <c r="R164">
        <v>22500</v>
      </c>
      <c r="S164">
        <v>100</v>
      </c>
      <c r="T164">
        <v>225</v>
      </c>
      <c r="U164">
        <v>26</v>
      </c>
      <c r="V164">
        <v>1432</v>
      </c>
      <c r="W164" t="s">
        <v>121</v>
      </c>
      <c r="X164" t="s">
        <v>1</v>
      </c>
      <c r="Y164">
        <v>1288800</v>
      </c>
      <c r="Z164">
        <v>32220000</v>
      </c>
      <c r="AA164">
        <v>322200</v>
      </c>
      <c r="AB164">
        <v>106</v>
      </c>
      <c r="AC164" s="34">
        <v>45914</v>
      </c>
      <c r="AD164" s="34">
        <v>46022</v>
      </c>
      <c r="AE164" t="s">
        <v>161</v>
      </c>
      <c r="AF164">
        <v>0</v>
      </c>
      <c r="AG164">
        <v>900</v>
      </c>
      <c r="AH164">
        <v>0</v>
      </c>
      <c r="AI164">
        <v>1288800</v>
      </c>
      <c r="AJ164">
        <v>0</v>
      </c>
      <c r="AK164">
        <v>0</v>
      </c>
      <c r="AL164">
        <v>323488.8</v>
      </c>
      <c r="AM164">
        <v>0</v>
      </c>
      <c r="AN164">
        <v>1612288.8</v>
      </c>
      <c r="AO164" t="s">
        <v>122</v>
      </c>
      <c r="AP164">
        <v>10</v>
      </c>
      <c r="AQ164">
        <v>90</v>
      </c>
      <c r="AR164">
        <v>128880</v>
      </c>
      <c r="AT164">
        <v>13500</v>
      </c>
      <c r="AU164">
        <v>540</v>
      </c>
      <c r="AV164">
        <v>19332000</v>
      </c>
      <c r="AW164">
        <v>773280</v>
      </c>
    </row>
    <row r="165" spans="1:49" hidden="1" x14ac:dyDescent="0.35">
      <c r="A165">
        <v>5798710</v>
      </c>
      <c r="B165">
        <v>5010005798701</v>
      </c>
      <c r="D165">
        <v>20286933697</v>
      </c>
      <c r="E165" t="s">
        <v>427</v>
      </c>
      <c r="F165" t="s">
        <v>1</v>
      </c>
      <c r="G165" t="s">
        <v>428</v>
      </c>
      <c r="H165" t="s">
        <v>55</v>
      </c>
      <c r="I165">
        <v>6221</v>
      </c>
      <c r="J165">
        <v>21</v>
      </c>
      <c r="K165" t="s">
        <v>33</v>
      </c>
      <c r="L165">
        <v>13212</v>
      </c>
      <c r="M165" t="s">
        <v>429</v>
      </c>
      <c r="N165">
        <v>1</v>
      </c>
      <c r="O165" t="s">
        <v>125</v>
      </c>
      <c r="P165" t="s">
        <v>430</v>
      </c>
      <c r="Q165">
        <v>1106148.96</v>
      </c>
      <c r="R165">
        <v>20714400</v>
      </c>
      <c r="S165">
        <v>42</v>
      </c>
      <c r="T165">
        <v>493200</v>
      </c>
      <c r="U165">
        <v>1</v>
      </c>
      <c r="V165">
        <v>1</v>
      </c>
      <c r="W165" t="s">
        <v>127</v>
      </c>
      <c r="X165">
        <v>24660</v>
      </c>
      <c r="Y165">
        <v>1106148.96</v>
      </c>
      <c r="Z165">
        <v>20714400</v>
      </c>
      <c r="AA165">
        <v>493200</v>
      </c>
      <c r="AB165">
        <v>214</v>
      </c>
      <c r="AC165" s="34">
        <v>45894</v>
      </c>
      <c r="AD165" s="34">
        <v>46022</v>
      </c>
      <c r="AE165" t="s">
        <v>134</v>
      </c>
      <c r="AF165">
        <v>0</v>
      </c>
      <c r="AG165">
        <v>1106148.96</v>
      </c>
      <c r="AH165">
        <v>0</v>
      </c>
      <c r="AI165">
        <v>1106148.96</v>
      </c>
      <c r="AJ165">
        <v>0</v>
      </c>
      <c r="AK165">
        <v>0</v>
      </c>
      <c r="AL165">
        <v>277643.37</v>
      </c>
      <c r="AM165">
        <v>0</v>
      </c>
      <c r="AN165">
        <v>1383792.33</v>
      </c>
      <c r="AO165" t="s">
        <v>122</v>
      </c>
      <c r="AP165">
        <v>15</v>
      </c>
      <c r="AQ165">
        <v>165922.34</v>
      </c>
      <c r="AR165">
        <v>165922.34</v>
      </c>
      <c r="AT165">
        <v>12428640</v>
      </c>
      <c r="AU165">
        <v>663689.38</v>
      </c>
      <c r="AV165">
        <v>12428640</v>
      </c>
      <c r="AW165">
        <v>663689.38</v>
      </c>
    </row>
    <row r="166" spans="1:49" hidden="1" x14ac:dyDescent="0.35">
      <c r="A166">
        <v>5798810</v>
      </c>
      <c r="B166">
        <v>1250005798801</v>
      </c>
      <c r="D166">
        <v>20109349683</v>
      </c>
      <c r="E166" t="s">
        <v>431</v>
      </c>
      <c r="F166" t="s">
        <v>1</v>
      </c>
      <c r="G166" t="s">
        <v>432</v>
      </c>
      <c r="H166" t="s">
        <v>48</v>
      </c>
      <c r="I166">
        <v>6128</v>
      </c>
      <c r="J166">
        <v>3</v>
      </c>
      <c r="K166" t="s">
        <v>32</v>
      </c>
      <c r="L166">
        <v>4401</v>
      </c>
      <c r="M166" t="s">
        <v>132</v>
      </c>
      <c r="N166">
        <v>1</v>
      </c>
      <c r="O166" t="s">
        <v>125</v>
      </c>
      <c r="P166" t="s">
        <v>433</v>
      </c>
      <c r="Q166">
        <v>890</v>
      </c>
      <c r="R166">
        <v>20000</v>
      </c>
      <c r="S166">
        <v>40</v>
      </c>
      <c r="T166">
        <v>500</v>
      </c>
      <c r="U166">
        <v>26</v>
      </c>
      <c r="V166">
        <v>1432</v>
      </c>
      <c r="W166" t="s">
        <v>121</v>
      </c>
      <c r="X166" t="s">
        <v>1</v>
      </c>
      <c r="Y166">
        <v>1274480</v>
      </c>
      <c r="Z166">
        <v>28640000</v>
      </c>
      <c r="AA166">
        <v>716000</v>
      </c>
      <c r="AB166">
        <v>214</v>
      </c>
      <c r="AC166" s="34">
        <v>45913</v>
      </c>
      <c r="AD166" s="34">
        <v>46022</v>
      </c>
      <c r="AF166">
        <v>0</v>
      </c>
      <c r="AG166">
        <v>890</v>
      </c>
      <c r="AH166">
        <v>0</v>
      </c>
      <c r="AI166">
        <v>1274480</v>
      </c>
      <c r="AJ166">
        <v>0</v>
      </c>
      <c r="AK166">
        <v>0</v>
      </c>
      <c r="AL166">
        <v>332639.28000000003</v>
      </c>
      <c r="AM166">
        <v>0</v>
      </c>
      <c r="AN166">
        <v>1607119.28</v>
      </c>
      <c r="AO166" t="s">
        <v>122</v>
      </c>
      <c r="AP166">
        <v>15</v>
      </c>
      <c r="AQ166">
        <v>133.5</v>
      </c>
      <c r="AR166">
        <v>191172</v>
      </c>
      <c r="AT166">
        <v>12000</v>
      </c>
      <c r="AU166">
        <v>534</v>
      </c>
      <c r="AV166">
        <v>17184000</v>
      </c>
      <c r="AW166">
        <v>764688</v>
      </c>
    </row>
    <row r="167" spans="1:49" hidden="1" x14ac:dyDescent="0.35">
      <c r="A167">
        <v>5798910</v>
      </c>
      <c r="B167">
        <v>1250005798901</v>
      </c>
      <c r="D167">
        <v>30708722843</v>
      </c>
      <c r="E167" t="s">
        <v>434</v>
      </c>
      <c r="F167" t="s">
        <v>1</v>
      </c>
      <c r="G167" t="s">
        <v>435</v>
      </c>
      <c r="H167" t="s">
        <v>68</v>
      </c>
      <c r="I167">
        <v>6127</v>
      </c>
      <c r="J167">
        <v>3</v>
      </c>
      <c r="K167" t="s">
        <v>32</v>
      </c>
      <c r="L167">
        <v>8274</v>
      </c>
      <c r="M167" t="s">
        <v>416</v>
      </c>
      <c r="N167">
        <v>1</v>
      </c>
      <c r="O167" t="s">
        <v>125</v>
      </c>
      <c r="P167" t="s">
        <v>436</v>
      </c>
      <c r="Q167">
        <v>5333218.2</v>
      </c>
      <c r="R167">
        <v>119847600</v>
      </c>
      <c r="S167">
        <v>162</v>
      </c>
      <c r="T167">
        <v>739800</v>
      </c>
      <c r="U167">
        <v>1</v>
      </c>
      <c r="V167">
        <v>1</v>
      </c>
      <c r="W167" t="s">
        <v>127</v>
      </c>
      <c r="X167">
        <v>24660</v>
      </c>
      <c r="Y167">
        <v>5333218.2</v>
      </c>
      <c r="Z167">
        <v>119847600</v>
      </c>
      <c r="AA167">
        <v>739800</v>
      </c>
      <c r="AB167">
        <v>105</v>
      </c>
      <c r="AC167" s="34">
        <v>45902</v>
      </c>
      <c r="AD167" s="34">
        <v>46022</v>
      </c>
      <c r="AF167">
        <v>1</v>
      </c>
      <c r="AG167">
        <v>5333218.2</v>
      </c>
      <c r="AH167">
        <v>0</v>
      </c>
      <c r="AI167">
        <v>5333218.2</v>
      </c>
      <c r="AJ167">
        <v>0</v>
      </c>
      <c r="AK167">
        <v>0</v>
      </c>
      <c r="AL167">
        <v>1391969.96</v>
      </c>
      <c r="AM167">
        <v>0</v>
      </c>
      <c r="AN167">
        <v>6725188.1600000001</v>
      </c>
      <c r="AO167" t="s">
        <v>122</v>
      </c>
      <c r="AP167">
        <v>15</v>
      </c>
      <c r="AQ167">
        <v>799982.73</v>
      </c>
      <c r="AR167">
        <v>799982.73</v>
      </c>
      <c r="AT167">
        <v>71908560</v>
      </c>
      <c r="AU167">
        <v>3199930.92</v>
      </c>
      <c r="AV167">
        <v>71908560</v>
      </c>
      <c r="AW167">
        <v>3199930.92</v>
      </c>
    </row>
    <row r="168" spans="1:49" hidden="1" x14ac:dyDescent="0.35">
      <c r="A168">
        <v>5799010</v>
      </c>
      <c r="B168">
        <v>1170005799001</v>
      </c>
      <c r="D168">
        <v>20160777681</v>
      </c>
      <c r="E168" t="s">
        <v>437</v>
      </c>
      <c r="F168" t="s">
        <v>1</v>
      </c>
      <c r="G168" t="s">
        <v>198</v>
      </c>
      <c r="H168" t="s">
        <v>28</v>
      </c>
      <c r="I168">
        <v>2914</v>
      </c>
      <c r="J168">
        <v>1</v>
      </c>
      <c r="K168" t="s">
        <v>16</v>
      </c>
      <c r="L168">
        <v>8105</v>
      </c>
      <c r="M168" t="s">
        <v>199</v>
      </c>
      <c r="N168">
        <v>1</v>
      </c>
      <c r="O168" t="s">
        <v>125</v>
      </c>
      <c r="P168" t="s">
        <v>438</v>
      </c>
      <c r="Q168">
        <v>432783</v>
      </c>
      <c r="R168">
        <v>17459280</v>
      </c>
      <c r="S168">
        <v>118</v>
      </c>
      <c r="T168">
        <v>147960</v>
      </c>
      <c r="U168">
        <v>1</v>
      </c>
      <c r="V168">
        <v>1</v>
      </c>
      <c r="W168" t="s">
        <v>127</v>
      </c>
      <c r="X168">
        <v>24660</v>
      </c>
      <c r="Y168">
        <v>432783</v>
      </c>
      <c r="Z168">
        <v>17459280</v>
      </c>
      <c r="AA168">
        <v>147960</v>
      </c>
      <c r="AB168">
        <v>105</v>
      </c>
      <c r="AC168" s="34">
        <v>45915</v>
      </c>
      <c r="AD168" s="34">
        <v>46022</v>
      </c>
      <c r="AF168">
        <v>0</v>
      </c>
      <c r="AG168">
        <v>432783</v>
      </c>
      <c r="AH168">
        <v>0</v>
      </c>
      <c r="AI168">
        <v>432783</v>
      </c>
      <c r="AJ168">
        <v>0</v>
      </c>
      <c r="AK168">
        <v>0</v>
      </c>
      <c r="AL168">
        <v>108628.54</v>
      </c>
      <c r="AM168">
        <v>0</v>
      </c>
      <c r="AN168">
        <v>541411.54</v>
      </c>
      <c r="AO168" t="s">
        <v>122</v>
      </c>
      <c r="AP168">
        <v>12</v>
      </c>
      <c r="AQ168">
        <v>51933.96</v>
      </c>
      <c r="AR168">
        <v>51933.96</v>
      </c>
      <c r="AT168">
        <v>10475568</v>
      </c>
      <c r="AU168">
        <v>259669.8</v>
      </c>
      <c r="AV168">
        <v>10475568</v>
      </c>
      <c r="AW168">
        <v>259669.8</v>
      </c>
    </row>
    <row r="169" spans="1:49" hidden="1" x14ac:dyDescent="0.35">
      <c r="A169">
        <v>5799110</v>
      </c>
      <c r="B169">
        <v>1170005799101</v>
      </c>
      <c r="D169">
        <v>30709131482</v>
      </c>
      <c r="E169" t="s">
        <v>197</v>
      </c>
      <c r="F169" t="s">
        <v>1</v>
      </c>
      <c r="G169" t="s">
        <v>198</v>
      </c>
      <c r="H169" t="s">
        <v>28</v>
      </c>
      <c r="I169">
        <v>2914</v>
      </c>
      <c r="J169">
        <v>1</v>
      </c>
      <c r="K169" t="s">
        <v>16</v>
      </c>
      <c r="L169">
        <v>8105</v>
      </c>
      <c r="M169" t="s">
        <v>199</v>
      </c>
      <c r="N169">
        <v>1</v>
      </c>
      <c r="O169" t="s">
        <v>125</v>
      </c>
      <c r="P169" t="s">
        <v>439</v>
      </c>
      <c r="Q169">
        <v>142534.79999999999</v>
      </c>
      <c r="R169">
        <v>5178600</v>
      </c>
      <c r="S169">
        <v>35</v>
      </c>
      <c r="T169">
        <v>147960</v>
      </c>
      <c r="U169">
        <v>1</v>
      </c>
      <c r="V169">
        <v>1</v>
      </c>
      <c r="W169" t="s">
        <v>127</v>
      </c>
      <c r="X169">
        <v>24660</v>
      </c>
      <c r="Y169">
        <v>142534.79999999999</v>
      </c>
      <c r="Z169">
        <v>5178600</v>
      </c>
      <c r="AA169">
        <v>147960</v>
      </c>
      <c r="AB169">
        <v>105</v>
      </c>
      <c r="AC169" s="34">
        <v>45915</v>
      </c>
      <c r="AD169" s="34">
        <v>46022</v>
      </c>
      <c r="AF169">
        <v>0</v>
      </c>
      <c r="AG169">
        <v>226872</v>
      </c>
      <c r="AH169">
        <v>0</v>
      </c>
      <c r="AI169">
        <v>226872</v>
      </c>
      <c r="AJ169">
        <v>0</v>
      </c>
      <c r="AK169">
        <v>0</v>
      </c>
      <c r="AL169">
        <v>56944.87</v>
      </c>
      <c r="AM169">
        <v>0</v>
      </c>
      <c r="AN169">
        <v>283816.87</v>
      </c>
      <c r="AO169" t="s">
        <v>122</v>
      </c>
      <c r="AP169">
        <v>12</v>
      </c>
      <c r="AQ169">
        <v>27224.639999999999</v>
      </c>
      <c r="AR169">
        <v>27224.639999999999</v>
      </c>
      <c r="AT169">
        <v>3107160</v>
      </c>
      <c r="AU169">
        <v>85520.88</v>
      </c>
      <c r="AV169">
        <v>3107160</v>
      </c>
      <c r="AW169">
        <v>85520.88</v>
      </c>
    </row>
    <row r="170" spans="1:49" hidden="1" x14ac:dyDescent="0.35">
      <c r="A170">
        <v>5799110</v>
      </c>
      <c r="B170">
        <v>1170005799101</v>
      </c>
      <c r="D170">
        <v>30709131482</v>
      </c>
      <c r="E170" t="s">
        <v>197</v>
      </c>
      <c r="F170" t="s">
        <v>1</v>
      </c>
      <c r="G170" t="s">
        <v>198</v>
      </c>
      <c r="H170" t="s">
        <v>28</v>
      </c>
      <c r="I170">
        <v>2914</v>
      </c>
      <c r="J170">
        <v>1</v>
      </c>
      <c r="K170" t="s">
        <v>16</v>
      </c>
      <c r="L170">
        <v>8105</v>
      </c>
      <c r="M170" t="s">
        <v>199</v>
      </c>
      <c r="N170">
        <v>2</v>
      </c>
      <c r="O170" t="s">
        <v>125</v>
      </c>
      <c r="P170" t="s">
        <v>440</v>
      </c>
      <c r="Q170">
        <v>84337.2</v>
      </c>
      <c r="R170">
        <v>3403080</v>
      </c>
      <c r="S170">
        <v>23</v>
      </c>
      <c r="T170">
        <v>147960</v>
      </c>
      <c r="U170">
        <v>1</v>
      </c>
      <c r="V170">
        <v>1</v>
      </c>
      <c r="W170" t="s">
        <v>127</v>
      </c>
      <c r="X170">
        <v>24660</v>
      </c>
      <c r="Y170">
        <v>84337.2</v>
      </c>
      <c r="Z170">
        <v>3403080</v>
      </c>
      <c r="AA170">
        <v>147960</v>
      </c>
      <c r="AB170">
        <v>105</v>
      </c>
      <c r="AC170" s="34">
        <v>45915</v>
      </c>
      <c r="AD170" s="34">
        <v>46022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 t="s">
        <v>122</v>
      </c>
      <c r="AT170">
        <v>2041848</v>
      </c>
      <c r="AU170">
        <v>50602.32</v>
      </c>
      <c r="AV170">
        <v>2041848</v>
      </c>
      <c r="AW170">
        <v>50602.32</v>
      </c>
    </row>
    <row r="171" spans="1:49" hidden="1" x14ac:dyDescent="0.35">
      <c r="A171">
        <v>5799210</v>
      </c>
      <c r="B171">
        <v>1170005799201</v>
      </c>
      <c r="D171">
        <v>20310690148</v>
      </c>
      <c r="E171" t="s">
        <v>441</v>
      </c>
      <c r="F171" t="s">
        <v>1</v>
      </c>
      <c r="G171" t="s">
        <v>198</v>
      </c>
      <c r="H171" t="s">
        <v>28</v>
      </c>
      <c r="I171">
        <v>2914</v>
      </c>
      <c r="J171">
        <v>1</v>
      </c>
      <c r="K171" t="s">
        <v>16</v>
      </c>
      <c r="L171">
        <v>8105</v>
      </c>
      <c r="M171" t="s">
        <v>199</v>
      </c>
      <c r="N171">
        <v>1</v>
      </c>
      <c r="O171" t="s">
        <v>125</v>
      </c>
      <c r="P171" t="s">
        <v>442</v>
      </c>
      <c r="Q171">
        <v>146727</v>
      </c>
      <c r="R171">
        <v>5918400</v>
      </c>
      <c r="S171">
        <v>40</v>
      </c>
      <c r="T171">
        <v>147960</v>
      </c>
      <c r="U171">
        <v>1</v>
      </c>
      <c r="V171">
        <v>1</v>
      </c>
      <c r="W171" t="s">
        <v>127</v>
      </c>
      <c r="X171">
        <v>24660</v>
      </c>
      <c r="Y171">
        <v>146727</v>
      </c>
      <c r="Z171">
        <v>5918400</v>
      </c>
      <c r="AA171">
        <v>147960</v>
      </c>
      <c r="AB171">
        <v>105</v>
      </c>
      <c r="AC171" s="34">
        <v>45915</v>
      </c>
      <c r="AD171" s="34">
        <v>46022</v>
      </c>
      <c r="AF171">
        <v>0</v>
      </c>
      <c r="AG171">
        <v>146727</v>
      </c>
      <c r="AH171">
        <v>0</v>
      </c>
      <c r="AI171">
        <v>146727</v>
      </c>
      <c r="AJ171">
        <v>0</v>
      </c>
      <c r="AK171">
        <v>0</v>
      </c>
      <c r="AL171">
        <v>36828.480000000003</v>
      </c>
      <c r="AM171">
        <v>0</v>
      </c>
      <c r="AN171">
        <v>183555.48</v>
      </c>
      <c r="AO171" t="s">
        <v>122</v>
      </c>
      <c r="AP171">
        <v>12</v>
      </c>
      <c r="AQ171">
        <v>17607.240000000002</v>
      </c>
      <c r="AR171">
        <v>17607.240000000002</v>
      </c>
      <c r="AT171">
        <v>3551040</v>
      </c>
      <c r="AU171">
        <v>88036.2</v>
      </c>
      <c r="AV171">
        <v>3551040</v>
      </c>
      <c r="AW171">
        <v>88036.2</v>
      </c>
    </row>
    <row r="172" spans="1:49" hidden="1" x14ac:dyDescent="0.35">
      <c r="A172">
        <v>5799310</v>
      </c>
      <c r="B172">
        <v>1170005799301</v>
      </c>
      <c r="D172">
        <v>27215660228</v>
      </c>
      <c r="E172" t="s">
        <v>206</v>
      </c>
      <c r="F172" t="s">
        <v>1</v>
      </c>
      <c r="G172" t="s">
        <v>198</v>
      </c>
      <c r="H172" t="s">
        <v>28</v>
      </c>
      <c r="I172">
        <v>2914</v>
      </c>
      <c r="J172">
        <v>1</v>
      </c>
      <c r="K172" t="s">
        <v>16</v>
      </c>
      <c r="L172">
        <v>8105</v>
      </c>
      <c r="M172" t="s">
        <v>199</v>
      </c>
      <c r="N172">
        <v>1</v>
      </c>
      <c r="O172" t="s">
        <v>125</v>
      </c>
      <c r="P172" t="s">
        <v>443</v>
      </c>
      <c r="Q172">
        <v>373599</v>
      </c>
      <c r="R172">
        <v>13563000</v>
      </c>
      <c r="S172">
        <v>55</v>
      </c>
      <c r="T172">
        <v>246600</v>
      </c>
      <c r="U172">
        <v>1</v>
      </c>
      <c r="V172">
        <v>1</v>
      </c>
      <c r="W172" t="s">
        <v>127</v>
      </c>
      <c r="X172">
        <v>24660</v>
      </c>
      <c r="Y172">
        <v>373599</v>
      </c>
      <c r="Z172">
        <v>13563000</v>
      </c>
      <c r="AA172">
        <v>246600</v>
      </c>
      <c r="AB172">
        <v>105</v>
      </c>
      <c r="AC172" s="34">
        <v>45915</v>
      </c>
      <c r="AD172" s="34">
        <v>46022</v>
      </c>
      <c r="AF172">
        <v>0</v>
      </c>
      <c r="AG172">
        <v>434755.8</v>
      </c>
      <c r="AH172">
        <v>0</v>
      </c>
      <c r="AI172">
        <v>434755.8</v>
      </c>
      <c r="AJ172">
        <v>0</v>
      </c>
      <c r="AK172">
        <v>0</v>
      </c>
      <c r="AL172">
        <v>109123.7</v>
      </c>
      <c r="AM172">
        <v>0</v>
      </c>
      <c r="AN172">
        <v>543879.5</v>
      </c>
      <c r="AO172" t="s">
        <v>122</v>
      </c>
      <c r="AP172">
        <v>12</v>
      </c>
      <c r="AQ172">
        <v>52170.7</v>
      </c>
      <c r="AR172">
        <v>52170.7</v>
      </c>
      <c r="AT172">
        <v>8137800</v>
      </c>
      <c r="AU172">
        <v>224159.4</v>
      </c>
      <c r="AV172">
        <v>8137800</v>
      </c>
      <c r="AW172">
        <v>224159.4</v>
      </c>
    </row>
    <row r="173" spans="1:49" hidden="1" x14ac:dyDescent="0.35">
      <c r="A173">
        <v>5799310</v>
      </c>
      <c r="B173">
        <v>1170005799301</v>
      </c>
      <c r="D173">
        <v>27215660228</v>
      </c>
      <c r="E173" t="s">
        <v>206</v>
      </c>
      <c r="F173" t="s">
        <v>1</v>
      </c>
      <c r="G173" t="s">
        <v>198</v>
      </c>
      <c r="H173" t="s">
        <v>28</v>
      </c>
      <c r="I173">
        <v>2914</v>
      </c>
      <c r="J173">
        <v>1</v>
      </c>
      <c r="K173" t="s">
        <v>16</v>
      </c>
      <c r="L173">
        <v>8105</v>
      </c>
      <c r="M173" t="s">
        <v>199</v>
      </c>
      <c r="N173">
        <v>2</v>
      </c>
      <c r="O173" t="s">
        <v>125</v>
      </c>
      <c r="P173" t="s">
        <v>444</v>
      </c>
      <c r="Q173">
        <v>61156.800000000003</v>
      </c>
      <c r="R173">
        <v>2466000</v>
      </c>
      <c r="S173">
        <v>10</v>
      </c>
      <c r="T173">
        <v>246600</v>
      </c>
      <c r="U173">
        <v>1</v>
      </c>
      <c r="V173">
        <v>1</v>
      </c>
      <c r="W173" t="s">
        <v>127</v>
      </c>
      <c r="X173">
        <v>24660</v>
      </c>
      <c r="Y173">
        <v>61156.800000000003</v>
      </c>
      <c r="Z173">
        <v>2466000</v>
      </c>
      <c r="AA173">
        <v>246600</v>
      </c>
      <c r="AB173">
        <v>105</v>
      </c>
      <c r="AC173" s="34">
        <v>45915</v>
      </c>
      <c r="AD173" s="34">
        <v>46022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 t="s">
        <v>122</v>
      </c>
      <c r="AT173">
        <v>1479600</v>
      </c>
      <c r="AU173">
        <v>36694.080000000002</v>
      </c>
      <c r="AV173">
        <v>1479600</v>
      </c>
      <c r="AW173">
        <v>36694.080000000002</v>
      </c>
    </row>
    <row r="174" spans="1:49" hidden="1" x14ac:dyDescent="0.35">
      <c r="A174">
        <v>5799410</v>
      </c>
      <c r="B174">
        <v>1170005799401</v>
      </c>
      <c r="D174">
        <v>33711077559</v>
      </c>
      <c r="E174" t="s">
        <v>289</v>
      </c>
      <c r="F174" t="s">
        <v>1</v>
      </c>
      <c r="G174" t="s">
        <v>198</v>
      </c>
      <c r="H174" t="s">
        <v>28</v>
      </c>
      <c r="I174">
        <v>2914</v>
      </c>
      <c r="J174">
        <v>1</v>
      </c>
      <c r="K174" t="s">
        <v>16</v>
      </c>
      <c r="L174">
        <v>8105</v>
      </c>
      <c r="M174" t="s">
        <v>199</v>
      </c>
      <c r="N174">
        <v>1</v>
      </c>
      <c r="O174" t="s">
        <v>125</v>
      </c>
      <c r="P174" t="s">
        <v>445</v>
      </c>
      <c r="Q174">
        <v>233037</v>
      </c>
      <c r="R174">
        <v>8631000</v>
      </c>
      <c r="S174">
        <v>35</v>
      </c>
      <c r="T174">
        <v>246600</v>
      </c>
      <c r="U174">
        <v>1</v>
      </c>
      <c r="V174">
        <v>1</v>
      </c>
      <c r="W174" t="s">
        <v>127</v>
      </c>
      <c r="X174">
        <v>24660</v>
      </c>
      <c r="Y174">
        <v>233037</v>
      </c>
      <c r="Z174">
        <v>8631000</v>
      </c>
      <c r="AA174">
        <v>246600</v>
      </c>
      <c r="AB174">
        <v>105</v>
      </c>
      <c r="AC174" s="34">
        <v>45915</v>
      </c>
      <c r="AD174" s="34">
        <v>46022</v>
      </c>
      <c r="AF174">
        <v>0</v>
      </c>
      <c r="AG174">
        <v>424891.8</v>
      </c>
      <c r="AH174">
        <v>0</v>
      </c>
      <c r="AI174">
        <v>424891.8</v>
      </c>
      <c r="AJ174">
        <v>0</v>
      </c>
      <c r="AK174">
        <v>0</v>
      </c>
      <c r="AL174">
        <v>106647.84</v>
      </c>
      <c r="AM174">
        <v>0</v>
      </c>
      <c r="AN174">
        <v>531539.64</v>
      </c>
      <c r="AO174" t="s">
        <v>122</v>
      </c>
      <c r="AP174">
        <v>10</v>
      </c>
      <c r="AQ174">
        <v>42489.18</v>
      </c>
      <c r="AR174">
        <v>42489.18</v>
      </c>
      <c r="AT174">
        <v>5178600</v>
      </c>
      <c r="AU174">
        <v>139822.20000000001</v>
      </c>
      <c r="AV174">
        <v>5178600</v>
      </c>
      <c r="AW174">
        <v>139822.20000000001</v>
      </c>
    </row>
    <row r="175" spans="1:49" hidden="1" x14ac:dyDescent="0.35">
      <c r="A175">
        <v>5799410</v>
      </c>
      <c r="B175">
        <v>1170005799401</v>
      </c>
      <c r="D175">
        <v>33711077559</v>
      </c>
      <c r="E175" t="s">
        <v>289</v>
      </c>
      <c r="F175" t="s">
        <v>1</v>
      </c>
      <c r="G175" t="s">
        <v>198</v>
      </c>
      <c r="H175" t="s">
        <v>28</v>
      </c>
      <c r="I175">
        <v>2914</v>
      </c>
      <c r="J175">
        <v>1</v>
      </c>
      <c r="K175" t="s">
        <v>16</v>
      </c>
      <c r="L175">
        <v>8105</v>
      </c>
      <c r="M175" t="s">
        <v>199</v>
      </c>
      <c r="N175">
        <v>2</v>
      </c>
      <c r="O175" t="s">
        <v>125</v>
      </c>
      <c r="P175" t="s">
        <v>446</v>
      </c>
      <c r="Q175">
        <v>191854.8</v>
      </c>
      <c r="R175">
        <v>7891200</v>
      </c>
      <c r="S175">
        <v>32</v>
      </c>
      <c r="T175">
        <v>246600</v>
      </c>
      <c r="U175">
        <v>1</v>
      </c>
      <c r="V175">
        <v>1</v>
      </c>
      <c r="W175" t="s">
        <v>127</v>
      </c>
      <c r="X175">
        <v>24660</v>
      </c>
      <c r="Y175">
        <v>191854.8</v>
      </c>
      <c r="Z175">
        <v>7891200</v>
      </c>
      <c r="AA175">
        <v>246600</v>
      </c>
      <c r="AB175">
        <v>105</v>
      </c>
      <c r="AC175" s="34">
        <v>45915</v>
      </c>
      <c r="AD175" s="34">
        <v>46022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 t="s">
        <v>122</v>
      </c>
      <c r="AT175">
        <v>4734720</v>
      </c>
      <c r="AU175">
        <v>115112.88</v>
      </c>
      <c r="AV175">
        <v>4734720</v>
      </c>
      <c r="AW175">
        <v>115112.88</v>
      </c>
    </row>
    <row r="176" spans="1:49" hidden="1" x14ac:dyDescent="0.35">
      <c r="A176">
        <v>5799610</v>
      </c>
      <c r="B176">
        <v>1170005799601</v>
      </c>
      <c r="D176">
        <v>30707737669</v>
      </c>
      <c r="E176" t="s">
        <v>447</v>
      </c>
      <c r="F176" t="s">
        <v>1</v>
      </c>
      <c r="G176" t="s">
        <v>198</v>
      </c>
      <c r="H176" t="s">
        <v>28</v>
      </c>
      <c r="I176">
        <v>2914</v>
      </c>
      <c r="J176">
        <v>1</v>
      </c>
      <c r="K176" t="s">
        <v>16</v>
      </c>
      <c r="L176">
        <v>8105</v>
      </c>
      <c r="M176" t="s">
        <v>199</v>
      </c>
      <c r="N176">
        <v>1</v>
      </c>
      <c r="O176" t="s">
        <v>125</v>
      </c>
      <c r="P176" t="s">
        <v>448</v>
      </c>
      <c r="Q176">
        <v>164975.4</v>
      </c>
      <c r="R176">
        <v>6658200</v>
      </c>
      <c r="S176">
        <v>45</v>
      </c>
      <c r="T176">
        <v>147960</v>
      </c>
      <c r="U176">
        <v>1</v>
      </c>
      <c r="V176">
        <v>1</v>
      </c>
      <c r="W176" t="s">
        <v>127</v>
      </c>
      <c r="X176">
        <v>24660</v>
      </c>
      <c r="Y176">
        <v>164975.4</v>
      </c>
      <c r="Z176">
        <v>6658200</v>
      </c>
      <c r="AA176">
        <v>147960</v>
      </c>
      <c r="AB176">
        <v>105</v>
      </c>
      <c r="AC176" s="34">
        <v>45915</v>
      </c>
      <c r="AD176" s="34">
        <v>46022</v>
      </c>
      <c r="AF176">
        <v>0</v>
      </c>
      <c r="AG176">
        <v>164975.4</v>
      </c>
      <c r="AH176">
        <v>0</v>
      </c>
      <c r="AI176">
        <v>164975.4</v>
      </c>
      <c r="AJ176">
        <v>0</v>
      </c>
      <c r="AK176">
        <v>0</v>
      </c>
      <c r="AL176">
        <v>42579.44</v>
      </c>
      <c r="AM176">
        <v>0</v>
      </c>
      <c r="AN176">
        <v>207554.84</v>
      </c>
      <c r="AO176" t="s">
        <v>122</v>
      </c>
      <c r="AP176">
        <v>12</v>
      </c>
      <c r="AQ176">
        <v>19797.05</v>
      </c>
      <c r="AR176">
        <v>19797.05</v>
      </c>
      <c r="AT176">
        <v>3994920</v>
      </c>
      <c r="AU176">
        <v>98985.24</v>
      </c>
      <c r="AV176">
        <v>3994920</v>
      </c>
      <c r="AW176">
        <v>98985.24</v>
      </c>
    </row>
    <row r="177" spans="1:49" hidden="1" x14ac:dyDescent="0.35">
      <c r="A177">
        <v>5799710</v>
      </c>
      <c r="B177">
        <v>1170005799701</v>
      </c>
      <c r="D177">
        <v>20046781156</v>
      </c>
      <c r="E177" t="s">
        <v>449</v>
      </c>
      <c r="F177" t="s">
        <v>1</v>
      </c>
      <c r="G177" t="s">
        <v>450</v>
      </c>
      <c r="H177" t="s">
        <v>26</v>
      </c>
      <c r="I177">
        <v>2751</v>
      </c>
      <c r="J177">
        <v>1</v>
      </c>
      <c r="K177" t="s">
        <v>16</v>
      </c>
      <c r="L177">
        <v>8105</v>
      </c>
      <c r="M177" t="s">
        <v>199</v>
      </c>
      <c r="N177">
        <v>1</v>
      </c>
      <c r="O177" t="s">
        <v>125</v>
      </c>
      <c r="P177" t="s">
        <v>451</v>
      </c>
      <c r="Q177">
        <v>81378</v>
      </c>
      <c r="R177">
        <v>2959200</v>
      </c>
      <c r="S177">
        <v>20</v>
      </c>
      <c r="T177">
        <v>147960</v>
      </c>
      <c r="U177">
        <v>1</v>
      </c>
      <c r="V177">
        <v>1</v>
      </c>
      <c r="W177" t="s">
        <v>127</v>
      </c>
      <c r="X177">
        <v>24660</v>
      </c>
      <c r="Y177">
        <v>81378</v>
      </c>
      <c r="Z177">
        <v>2959200</v>
      </c>
      <c r="AA177">
        <v>147960</v>
      </c>
      <c r="AB177">
        <v>105</v>
      </c>
      <c r="AC177" s="34">
        <v>45915</v>
      </c>
      <c r="AD177" s="34">
        <v>46022</v>
      </c>
      <c r="AF177">
        <v>0</v>
      </c>
      <c r="AG177">
        <v>191361.6</v>
      </c>
      <c r="AH177">
        <v>0</v>
      </c>
      <c r="AI177">
        <v>191361.6</v>
      </c>
      <c r="AJ177">
        <v>0</v>
      </c>
      <c r="AK177">
        <v>0</v>
      </c>
      <c r="AL177">
        <v>48031.77</v>
      </c>
      <c r="AM177">
        <v>0</v>
      </c>
      <c r="AN177">
        <v>239393.37</v>
      </c>
      <c r="AO177" t="s">
        <v>122</v>
      </c>
      <c r="AP177">
        <v>12</v>
      </c>
      <c r="AQ177">
        <v>22963.39</v>
      </c>
      <c r="AR177">
        <v>22963.39</v>
      </c>
      <c r="AT177">
        <v>1775520</v>
      </c>
      <c r="AU177">
        <v>48826.8</v>
      </c>
      <c r="AV177">
        <v>1775520</v>
      </c>
      <c r="AW177">
        <v>48826.8</v>
      </c>
    </row>
    <row r="178" spans="1:49" hidden="1" x14ac:dyDescent="0.35">
      <c r="A178">
        <v>5799710</v>
      </c>
      <c r="B178">
        <v>1170005799701</v>
      </c>
      <c r="D178">
        <v>20046781156</v>
      </c>
      <c r="E178" t="s">
        <v>449</v>
      </c>
      <c r="F178" t="s">
        <v>1</v>
      </c>
      <c r="G178" t="s">
        <v>450</v>
      </c>
      <c r="H178" t="s">
        <v>26</v>
      </c>
      <c r="I178">
        <v>2751</v>
      </c>
      <c r="J178">
        <v>1</v>
      </c>
      <c r="K178" t="s">
        <v>16</v>
      </c>
      <c r="L178">
        <v>8105</v>
      </c>
      <c r="M178" t="s">
        <v>199</v>
      </c>
      <c r="N178">
        <v>2</v>
      </c>
      <c r="O178" t="s">
        <v>125</v>
      </c>
      <c r="P178" t="s">
        <v>452</v>
      </c>
      <c r="Q178">
        <v>109983.6</v>
      </c>
      <c r="R178">
        <v>4438800</v>
      </c>
      <c r="S178">
        <v>30</v>
      </c>
      <c r="T178">
        <v>147960</v>
      </c>
      <c r="U178">
        <v>1</v>
      </c>
      <c r="V178">
        <v>1</v>
      </c>
      <c r="W178" t="s">
        <v>127</v>
      </c>
      <c r="X178">
        <v>24660</v>
      </c>
      <c r="Y178">
        <v>109983.6</v>
      </c>
      <c r="Z178">
        <v>4438800</v>
      </c>
      <c r="AA178">
        <v>147960</v>
      </c>
      <c r="AB178">
        <v>105</v>
      </c>
      <c r="AC178" s="34">
        <v>45915</v>
      </c>
      <c r="AD178" s="34">
        <v>46022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 t="s">
        <v>122</v>
      </c>
      <c r="AT178">
        <v>2663280</v>
      </c>
      <c r="AU178">
        <v>65990.16</v>
      </c>
      <c r="AV178">
        <v>2663280</v>
      </c>
      <c r="AW178">
        <v>65990.16</v>
      </c>
    </row>
    <row r="179" spans="1:49" hidden="1" x14ac:dyDescent="0.35">
      <c r="A179">
        <v>5799810</v>
      </c>
      <c r="B179">
        <v>1250005799801</v>
      </c>
      <c r="D179">
        <v>30590164565</v>
      </c>
      <c r="E179" t="s">
        <v>453</v>
      </c>
      <c r="F179" t="s">
        <v>1</v>
      </c>
      <c r="G179" t="s">
        <v>454</v>
      </c>
      <c r="H179" t="s">
        <v>48</v>
      </c>
      <c r="I179">
        <v>6123</v>
      </c>
      <c r="J179">
        <v>3</v>
      </c>
      <c r="K179" t="s">
        <v>32</v>
      </c>
      <c r="L179">
        <v>4401</v>
      </c>
      <c r="M179" t="s">
        <v>132</v>
      </c>
      <c r="N179">
        <v>1</v>
      </c>
      <c r="O179" t="s">
        <v>125</v>
      </c>
      <c r="P179" t="s">
        <v>455</v>
      </c>
      <c r="Q179">
        <v>4320</v>
      </c>
      <c r="R179">
        <v>108000</v>
      </c>
      <c r="S179">
        <v>180</v>
      </c>
      <c r="T179">
        <v>600</v>
      </c>
      <c r="U179">
        <v>26</v>
      </c>
      <c r="V179">
        <v>1453</v>
      </c>
      <c r="W179" t="s">
        <v>121</v>
      </c>
      <c r="X179" t="s">
        <v>1</v>
      </c>
      <c r="Y179">
        <v>6276960</v>
      </c>
      <c r="Z179">
        <v>156924000</v>
      </c>
      <c r="AA179">
        <v>871800</v>
      </c>
      <c r="AB179">
        <v>214</v>
      </c>
      <c r="AC179" s="34">
        <v>45914</v>
      </c>
      <c r="AD179" s="34">
        <v>46022</v>
      </c>
      <c r="AF179">
        <v>0</v>
      </c>
      <c r="AG179">
        <v>45225.599999999999</v>
      </c>
      <c r="AH179">
        <v>0</v>
      </c>
      <c r="AI179">
        <v>65712796.799999997</v>
      </c>
      <c r="AJ179">
        <v>0</v>
      </c>
      <c r="AK179">
        <v>0</v>
      </c>
      <c r="AL179">
        <v>17151052.170000002</v>
      </c>
      <c r="AM179">
        <v>0</v>
      </c>
      <c r="AN179">
        <v>82863848.969999999</v>
      </c>
      <c r="AO179" t="s">
        <v>122</v>
      </c>
      <c r="AP179">
        <v>15</v>
      </c>
      <c r="AQ179">
        <v>6783.84</v>
      </c>
      <c r="AR179">
        <v>9856919.5199999996</v>
      </c>
      <c r="AT179">
        <v>64800</v>
      </c>
      <c r="AU179">
        <v>2592</v>
      </c>
      <c r="AV179">
        <v>94154400</v>
      </c>
      <c r="AW179">
        <v>3766176</v>
      </c>
    </row>
    <row r="180" spans="1:49" hidden="1" x14ac:dyDescent="0.35">
      <c r="A180">
        <v>5799810</v>
      </c>
      <c r="B180">
        <v>1250005799801</v>
      </c>
      <c r="D180">
        <v>30590164565</v>
      </c>
      <c r="E180" t="s">
        <v>453</v>
      </c>
      <c r="F180" t="s">
        <v>1</v>
      </c>
      <c r="G180" t="s">
        <v>454</v>
      </c>
      <c r="H180" t="s">
        <v>48</v>
      </c>
      <c r="I180">
        <v>6123</v>
      </c>
      <c r="J180">
        <v>3</v>
      </c>
      <c r="K180" t="s">
        <v>32</v>
      </c>
      <c r="L180">
        <v>4401</v>
      </c>
      <c r="M180" t="s">
        <v>132</v>
      </c>
      <c r="N180">
        <v>2</v>
      </c>
      <c r="O180" t="s">
        <v>125</v>
      </c>
      <c r="P180" t="s">
        <v>456</v>
      </c>
      <c r="Q180">
        <v>3504</v>
      </c>
      <c r="R180">
        <v>87600</v>
      </c>
      <c r="S180">
        <v>146</v>
      </c>
      <c r="T180">
        <v>600</v>
      </c>
      <c r="U180">
        <v>26</v>
      </c>
      <c r="V180">
        <v>1453</v>
      </c>
      <c r="W180" t="s">
        <v>121</v>
      </c>
      <c r="X180" t="s">
        <v>1</v>
      </c>
      <c r="Y180">
        <v>5091312</v>
      </c>
      <c r="Z180">
        <v>127282800</v>
      </c>
      <c r="AA180">
        <v>871800</v>
      </c>
      <c r="AB180">
        <v>214</v>
      </c>
      <c r="AC180" s="34">
        <v>45914</v>
      </c>
      <c r="AD180" s="34">
        <v>46022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 t="s">
        <v>122</v>
      </c>
      <c r="AT180">
        <v>52560</v>
      </c>
      <c r="AU180">
        <v>2102.4</v>
      </c>
      <c r="AV180">
        <v>76369680</v>
      </c>
      <c r="AW180">
        <v>3054787.2</v>
      </c>
    </row>
    <row r="181" spans="1:49" hidden="1" x14ac:dyDescent="0.35">
      <c r="A181">
        <v>5799810</v>
      </c>
      <c r="B181">
        <v>1250005799801</v>
      </c>
      <c r="D181">
        <v>30590164565</v>
      </c>
      <c r="E181" t="s">
        <v>453</v>
      </c>
      <c r="F181" t="s">
        <v>1</v>
      </c>
      <c r="G181" t="s">
        <v>457</v>
      </c>
      <c r="H181" t="s">
        <v>48</v>
      </c>
      <c r="I181">
        <v>6128</v>
      </c>
      <c r="J181">
        <v>3</v>
      </c>
      <c r="K181" t="s">
        <v>32</v>
      </c>
      <c r="L181">
        <v>4401</v>
      </c>
      <c r="M181" t="s">
        <v>132</v>
      </c>
      <c r="N181">
        <v>3</v>
      </c>
      <c r="O181" t="s">
        <v>125</v>
      </c>
      <c r="P181" t="s">
        <v>458</v>
      </c>
      <c r="Q181">
        <v>4800</v>
      </c>
      <c r="R181">
        <v>120000</v>
      </c>
      <c r="S181">
        <v>200</v>
      </c>
      <c r="T181">
        <v>600</v>
      </c>
      <c r="U181">
        <v>26</v>
      </c>
      <c r="V181">
        <v>1453</v>
      </c>
      <c r="W181" t="s">
        <v>121</v>
      </c>
      <c r="X181" t="s">
        <v>1</v>
      </c>
      <c r="Y181">
        <v>6974400</v>
      </c>
      <c r="Z181">
        <v>174360000</v>
      </c>
      <c r="AA181">
        <v>871800</v>
      </c>
      <c r="AB181">
        <v>214</v>
      </c>
      <c r="AC181" s="34">
        <v>45914</v>
      </c>
      <c r="AD181" s="34">
        <v>46022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 t="s">
        <v>122</v>
      </c>
      <c r="AT181">
        <v>72000</v>
      </c>
      <c r="AU181">
        <v>2880</v>
      </c>
      <c r="AV181">
        <v>104616000</v>
      </c>
      <c r="AW181">
        <v>4184640</v>
      </c>
    </row>
    <row r="182" spans="1:49" hidden="1" x14ac:dyDescent="0.35">
      <c r="A182">
        <v>5799810</v>
      </c>
      <c r="B182">
        <v>1250005799801</v>
      </c>
      <c r="D182">
        <v>30590164565</v>
      </c>
      <c r="E182" t="s">
        <v>453</v>
      </c>
      <c r="F182" t="s">
        <v>1</v>
      </c>
      <c r="G182" t="s">
        <v>459</v>
      </c>
      <c r="H182" t="s">
        <v>68</v>
      </c>
      <c r="I182">
        <v>6225</v>
      </c>
      <c r="J182">
        <v>3</v>
      </c>
      <c r="K182" t="s">
        <v>32</v>
      </c>
      <c r="L182">
        <v>4401</v>
      </c>
      <c r="M182" t="s">
        <v>132</v>
      </c>
      <c r="N182">
        <v>4</v>
      </c>
      <c r="O182" t="s">
        <v>125</v>
      </c>
      <c r="P182" t="s">
        <v>460</v>
      </c>
      <c r="Q182">
        <v>10800</v>
      </c>
      <c r="R182">
        <v>225000</v>
      </c>
      <c r="S182">
        <v>375</v>
      </c>
      <c r="T182">
        <v>600</v>
      </c>
      <c r="U182">
        <v>26</v>
      </c>
      <c r="V182">
        <v>1453</v>
      </c>
      <c r="W182" t="s">
        <v>121</v>
      </c>
      <c r="X182" t="s">
        <v>1</v>
      </c>
      <c r="Y182">
        <v>15692400</v>
      </c>
      <c r="Z182">
        <v>326925000</v>
      </c>
      <c r="AA182">
        <v>871800</v>
      </c>
      <c r="AB182">
        <v>214</v>
      </c>
      <c r="AC182" s="34">
        <v>45914</v>
      </c>
      <c r="AD182" s="34">
        <v>46022</v>
      </c>
      <c r="AE182" t="s">
        <v>161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 t="s">
        <v>122</v>
      </c>
      <c r="AT182">
        <v>135000</v>
      </c>
      <c r="AU182">
        <v>6480</v>
      </c>
      <c r="AV182">
        <v>196155000</v>
      </c>
      <c r="AW182">
        <v>9415440</v>
      </c>
    </row>
    <row r="183" spans="1:49" hidden="1" x14ac:dyDescent="0.35">
      <c r="A183">
        <v>5799810</v>
      </c>
      <c r="B183">
        <v>1250005799801</v>
      </c>
      <c r="D183">
        <v>30590164565</v>
      </c>
      <c r="E183" t="s">
        <v>453</v>
      </c>
      <c r="F183" t="s">
        <v>1</v>
      </c>
      <c r="G183" t="s">
        <v>459</v>
      </c>
      <c r="H183" t="s">
        <v>68</v>
      </c>
      <c r="I183">
        <v>6225</v>
      </c>
      <c r="J183">
        <v>3</v>
      </c>
      <c r="K183" t="s">
        <v>32</v>
      </c>
      <c r="L183">
        <v>4401</v>
      </c>
      <c r="M183" t="s">
        <v>132</v>
      </c>
      <c r="N183">
        <v>5</v>
      </c>
      <c r="O183" t="s">
        <v>125</v>
      </c>
      <c r="P183" t="s">
        <v>461</v>
      </c>
      <c r="Q183">
        <v>20361.599999999999</v>
      </c>
      <c r="R183">
        <v>424200</v>
      </c>
      <c r="S183">
        <v>707</v>
      </c>
      <c r="T183">
        <v>600</v>
      </c>
      <c r="U183">
        <v>26</v>
      </c>
      <c r="V183">
        <v>1453</v>
      </c>
      <c r="W183" t="s">
        <v>121</v>
      </c>
      <c r="X183" t="s">
        <v>1</v>
      </c>
      <c r="Y183">
        <v>29585404.800000001</v>
      </c>
      <c r="Z183">
        <v>616362600</v>
      </c>
      <c r="AA183">
        <v>871800</v>
      </c>
      <c r="AB183">
        <v>214</v>
      </c>
      <c r="AC183" s="34">
        <v>45914</v>
      </c>
      <c r="AD183" s="34">
        <v>46022</v>
      </c>
      <c r="AE183" t="s">
        <v>161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 t="s">
        <v>122</v>
      </c>
      <c r="AT183">
        <v>254520</v>
      </c>
      <c r="AU183">
        <v>12216.96</v>
      </c>
      <c r="AV183">
        <v>369817560</v>
      </c>
      <c r="AW183">
        <v>17751242.879999999</v>
      </c>
    </row>
    <row r="184" spans="1:49" hidden="1" x14ac:dyDescent="0.35">
      <c r="A184">
        <v>5799810</v>
      </c>
      <c r="B184">
        <v>1250005799801</v>
      </c>
      <c r="D184">
        <v>30590164565</v>
      </c>
      <c r="E184" t="s">
        <v>453</v>
      </c>
      <c r="F184" t="s">
        <v>1</v>
      </c>
      <c r="G184" t="s">
        <v>459</v>
      </c>
      <c r="H184" t="s">
        <v>68</v>
      </c>
      <c r="I184">
        <v>6225</v>
      </c>
      <c r="J184">
        <v>3</v>
      </c>
      <c r="K184" t="s">
        <v>32</v>
      </c>
      <c r="L184">
        <v>4401</v>
      </c>
      <c r="M184" t="s">
        <v>132</v>
      </c>
      <c r="N184">
        <v>6</v>
      </c>
      <c r="O184" t="s">
        <v>125</v>
      </c>
      <c r="P184" t="s">
        <v>462</v>
      </c>
      <c r="Q184">
        <v>1440</v>
      </c>
      <c r="R184">
        <v>30000</v>
      </c>
      <c r="S184">
        <v>50</v>
      </c>
      <c r="T184">
        <v>600</v>
      </c>
      <c r="U184">
        <v>26</v>
      </c>
      <c r="V184">
        <v>1453</v>
      </c>
      <c r="W184" t="s">
        <v>121</v>
      </c>
      <c r="X184" t="s">
        <v>1</v>
      </c>
      <c r="Y184">
        <v>2092320</v>
      </c>
      <c r="Z184">
        <v>43590000</v>
      </c>
      <c r="AA184">
        <v>871800</v>
      </c>
      <c r="AB184">
        <v>214</v>
      </c>
      <c r="AC184" s="34">
        <v>45914</v>
      </c>
      <c r="AD184" s="34">
        <v>46022</v>
      </c>
      <c r="AE184" t="s">
        <v>161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 t="s">
        <v>122</v>
      </c>
      <c r="AT184">
        <v>18000</v>
      </c>
      <c r="AU184">
        <v>864</v>
      </c>
      <c r="AV184">
        <v>26154000</v>
      </c>
      <c r="AW184">
        <v>1255392</v>
      </c>
    </row>
    <row r="185" spans="1:49" hidden="1" x14ac:dyDescent="0.35">
      <c r="A185">
        <v>5799910</v>
      </c>
      <c r="B185">
        <v>1170005799901</v>
      </c>
      <c r="D185">
        <v>20284519850</v>
      </c>
      <c r="E185" t="s">
        <v>463</v>
      </c>
      <c r="F185" t="s">
        <v>1</v>
      </c>
      <c r="G185" t="s">
        <v>26</v>
      </c>
      <c r="H185" t="s">
        <v>26</v>
      </c>
      <c r="I185">
        <v>2700</v>
      </c>
      <c r="J185">
        <v>1</v>
      </c>
      <c r="K185" t="s">
        <v>16</v>
      </c>
      <c r="L185">
        <v>8105</v>
      </c>
      <c r="M185" t="s">
        <v>199</v>
      </c>
      <c r="N185">
        <v>1</v>
      </c>
      <c r="O185" t="s">
        <v>125</v>
      </c>
      <c r="P185" t="s">
        <v>464</v>
      </c>
      <c r="Q185">
        <v>106038</v>
      </c>
      <c r="R185">
        <v>3846960</v>
      </c>
      <c r="S185">
        <v>26</v>
      </c>
      <c r="T185">
        <v>147960</v>
      </c>
      <c r="U185">
        <v>1</v>
      </c>
      <c r="V185">
        <v>1</v>
      </c>
      <c r="W185" t="s">
        <v>127</v>
      </c>
      <c r="X185">
        <v>24660</v>
      </c>
      <c r="Y185">
        <v>106038</v>
      </c>
      <c r="Z185">
        <v>3846960</v>
      </c>
      <c r="AA185">
        <v>147960</v>
      </c>
      <c r="AB185">
        <v>105</v>
      </c>
      <c r="AC185" s="34">
        <v>45915</v>
      </c>
      <c r="AD185" s="34">
        <v>46022</v>
      </c>
      <c r="AF185">
        <v>0</v>
      </c>
      <c r="AG185">
        <v>168427.8</v>
      </c>
      <c r="AH185">
        <v>0</v>
      </c>
      <c r="AI185">
        <v>168427.8</v>
      </c>
      <c r="AJ185">
        <v>0</v>
      </c>
      <c r="AK185">
        <v>0</v>
      </c>
      <c r="AL185">
        <v>42275.37</v>
      </c>
      <c r="AM185">
        <v>0</v>
      </c>
      <c r="AN185">
        <v>210703.17</v>
      </c>
      <c r="AO185" t="s">
        <v>122</v>
      </c>
      <c r="AP185">
        <v>12</v>
      </c>
      <c r="AQ185">
        <v>20211.34</v>
      </c>
      <c r="AR185">
        <v>20211.34</v>
      </c>
      <c r="AT185">
        <v>2308176</v>
      </c>
      <c r="AU185">
        <v>63622.8</v>
      </c>
      <c r="AV185">
        <v>2308176</v>
      </c>
      <c r="AW185">
        <v>63622.8</v>
      </c>
    </row>
    <row r="186" spans="1:49" hidden="1" x14ac:dyDescent="0.35">
      <c r="A186">
        <v>5799910</v>
      </c>
      <c r="B186">
        <v>1170005799901</v>
      </c>
      <c r="D186">
        <v>20284519850</v>
      </c>
      <c r="E186" t="s">
        <v>463</v>
      </c>
      <c r="F186" t="s">
        <v>1</v>
      </c>
      <c r="G186" t="s">
        <v>198</v>
      </c>
      <c r="H186" t="s">
        <v>28</v>
      </c>
      <c r="I186">
        <v>2914</v>
      </c>
      <c r="J186">
        <v>1</v>
      </c>
      <c r="K186" t="s">
        <v>16</v>
      </c>
      <c r="L186">
        <v>8105</v>
      </c>
      <c r="M186" t="s">
        <v>199</v>
      </c>
      <c r="N186">
        <v>2</v>
      </c>
      <c r="O186" t="s">
        <v>125</v>
      </c>
      <c r="P186" t="s">
        <v>465</v>
      </c>
      <c r="Q186">
        <v>62389.8</v>
      </c>
      <c r="R186">
        <v>2515320</v>
      </c>
      <c r="S186">
        <v>17</v>
      </c>
      <c r="T186">
        <v>147960</v>
      </c>
      <c r="U186">
        <v>1</v>
      </c>
      <c r="V186">
        <v>1</v>
      </c>
      <c r="W186" t="s">
        <v>127</v>
      </c>
      <c r="X186">
        <v>24660</v>
      </c>
      <c r="Y186">
        <v>62389.8</v>
      </c>
      <c r="Z186">
        <v>2515320</v>
      </c>
      <c r="AA186">
        <v>147960</v>
      </c>
      <c r="AB186">
        <v>105</v>
      </c>
      <c r="AC186" s="34">
        <v>45915</v>
      </c>
      <c r="AD186" s="34">
        <v>46022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 t="s">
        <v>122</v>
      </c>
      <c r="AT186">
        <v>1509192</v>
      </c>
      <c r="AU186">
        <v>37433.879999999997</v>
      </c>
      <c r="AV186">
        <v>1509192</v>
      </c>
      <c r="AW186">
        <v>37433.879999999997</v>
      </c>
    </row>
    <row r="187" spans="1:49" hidden="1" x14ac:dyDescent="0.35">
      <c r="A187">
        <v>5800010</v>
      </c>
      <c r="B187">
        <v>1170005800001</v>
      </c>
      <c r="D187">
        <v>27061395828</v>
      </c>
      <c r="E187" t="s">
        <v>466</v>
      </c>
      <c r="F187" t="s">
        <v>1</v>
      </c>
      <c r="G187" t="s">
        <v>198</v>
      </c>
      <c r="H187" t="s">
        <v>28</v>
      </c>
      <c r="I187">
        <v>2914</v>
      </c>
      <c r="J187">
        <v>1</v>
      </c>
      <c r="K187" t="s">
        <v>16</v>
      </c>
      <c r="L187">
        <v>8105</v>
      </c>
      <c r="M187" t="s">
        <v>199</v>
      </c>
      <c r="N187">
        <v>1</v>
      </c>
      <c r="O187" t="s">
        <v>125</v>
      </c>
      <c r="P187" t="s">
        <v>467</v>
      </c>
      <c r="Q187">
        <v>264108.59999999998</v>
      </c>
      <c r="R187">
        <v>10653120</v>
      </c>
      <c r="S187">
        <v>72</v>
      </c>
      <c r="T187">
        <v>147960</v>
      </c>
      <c r="U187">
        <v>1</v>
      </c>
      <c r="V187">
        <v>1</v>
      </c>
      <c r="W187" t="s">
        <v>127</v>
      </c>
      <c r="X187">
        <v>24660</v>
      </c>
      <c r="Y187">
        <v>264108.59999999998</v>
      </c>
      <c r="Z187">
        <v>10653120</v>
      </c>
      <c r="AA187">
        <v>147960</v>
      </c>
      <c r="AB187">
        <v>105</v>
      </c>
      <c r="AC187" s="34">
        <v>45915</v>
      </c>
      <c r="AD187" s="34">
        <v>46022</v>
      </c>
      <c r="AF187">
        <v>0</v>
      </c>
      <c r="AG187">
        <v>264108.59999999998</v>
      </c>
      <c r="AH187">
        <v>0</v>
      </c>
      <c r="AI187">
        <v>264108.59999999998</v>
      </c>
      <c r="AJ187">
        <v>0</v>
      </c>
      <c r="AK187">
        <v>0</v>
      </c>
      <c r="AL187">
        <v>66291.27</v>
      </c>
      <c r="AM187">
        <v>0</v>
      </c>
      <c r="AN187">
        <v>330399.87</v>
      </c>
      <c r="AO187" t="s">
        <v>122</v>
      </c>
      <c r="AP187">
        <v>12</v>
      </c>
      <c r="AQ187">
        <v>31693.03</v>
      </c>
      <c r="AR187">
        <v>31693.03</v>
      </c>
      <c r="AT187">
        <v>6391872</v>
      </c>
      <c r="AU187">
        <v>158465.16</v>
      </c>
      <c r="AV187">
        <v>6391872</v>
      </c>
      <c r="AW187">
        <v>158465.16</v>
      </c>
    </row>
    <row r="188" spans="1:49" hidden="1" x14ac:dyDescent="0.35">
      <c r="A188">
        <v>5800110</v>
      </c>
      <c r="B188">
        <v>1170005800101</v>
      </c>
      <c r="D188">
        <v>20278263801</v>
      </c>
      <c r="E188" t="s">
        <v>204</v>
      </c>
      <c r="F188" t="s">
        <v>1</v>
      </c>
      <c r="G188" t="s">
        <v>198</v>
      </c>
      <c r="H188" t="s">
        <v>28</v>
      </c>
      <c r="I188">
        <v>2914</v>
      </c>
      <c r="J188">
        <v>1</v>
      </c>
      <c r="K188" t="s">
        <v>16</v>
      </c>
      <c r="L188">
        <v>8105</v>
      </c>
      <c r="M188" t="s">
        <v>199</v>
      </c>
      <c r="N188">
        <v>1</v>
      </c>
      <c r="O188" t="s">
        <v>125</v>
      </c>
      <c r="P188" t="s">
        <v>468</v>
      </c>
      <c r="Q188">
        <v>80638.2</v>
      </c>
      <c r="R188">
        <v>3255120</v>
      </c>
      <c r="S188">
        <v>22</v>
      </c>
      <c r="T188">
        <v>147960</v>
      </c>
      <c r="U188">
        <v>1</v>
      </c>
      <c r="V188">
        <v>1</v>
      </c>
      <c r="W188" t="s">
        <v>127</v>
      </c>
      <c r="X188">
        <v>24660</v>
      </c>
      <c r="Y188">
        <v>80638.2</v>
      </c>
      <c r="Z188">
        <v>3255120</v>
      </c>
      <c r="AA188">
        <v>147960</v>
      </c>
      <c r="AB188">
        <v>105</v>
      </c>
      <c r="AC188" s="34">
        <v>45915</v>
      </c>
      <c r="AD188" s="34">
        <v>46022</v>
      </c>
      <c r="AF188">
        <v>0</v>
      </c>
      <c r="AG188">
        <v>80638.2</v>
      </c>
      <c r="AH188">
        <v>0</v>
      </c>
      <c r="AI188">
        <v>80638.2</v>
      </c>
      <c r="AJ188">
        <v>0</v>
      </c>
      <c r="AK188">
        <v>0</v>
      </c>
      <c r="AL188">
        <v>20240.2</v>
      </c>
      <c r="AM188">
        <v>0</v>
      </c>
      <c r="AN188">
        <v>100878.39999999999</v>
      </c>
      <c r="AO188" t="s">
        <v>122</v>
      </c>
      <c r="AP188">
        <v>12</v>
      </c>
      <c r="AQ188">
        <v>9676.58</v>
      </c>
      <c r="AR188">
        <v>9676.58</v>
      </c>
      <c r="AT188">
        <v>1953072</v>
      </c>
      <c r="AU188">
        <v>48382.92</v>
      </c>
      <c r="AV188">
        <v>1953072</v>
      </c>
      <c r="AW188">
        <v>48382.92</v>
      </c>
    </row>
    <row r="189" spans="1:49" hidden="1" x14ac:dyDescent="0.35">
      <c r="A189">
        <v>5800210</v>
      </c>
      <c r="B189">
        <v>1170005800201</v>
      </c>
      <c r="D189">
        <v>20205144529</v>
      </c>
      <c r="E189" t="s">
        <v>469</v>
      </c>
      <c r="F189" t="s">
        <v>1</v>
      </c>
      <c r="G189" t="s">
        <v>198</v>
      </c>
      <c r="H189" t="s">
        <v>28</v>
      </c>
      <c r="I189">
        <v>2914</v>
      </c>
      <c r="J189">
        <v>1</v>
      </c>
      <c r="K189" t="s">
        <v>16</v>
      </c>
      <c r="L189">
        <v>8105</v>
      </c>
      <c r="M189" t="s">
        <v>199</v>
      </c>
      <c r="N189">
        <v>1</v>
      </c>
      <c r="O189" t="s">
        <v>125</v>
      </c>
      <c r="P189" t="s">
        <v>470</v>
      </c>
      <c r="Q189">
        <v>85570.2</v>
      </c>
      <c r="R189">
        <v>3107160</v>
      </c>
      <c r="S189">
        <v>21</v>
      </c>
      <c r="T189">
        <v>147960</v>
      </c>
      <c r="U189">
        <v>1</v>
      </c>
      <c r="V189">
        <v>1</v>
      </c>
      <c r="W189" t="s">
        <v>127</v>
      </c>
      <c r="X189">
        <v>24660</v>
      </c>
      <c r="Y189">
        <v>85570.2</v>
      </c>
      <c r="Z189">
        <v>3107160</v>
      </c>
      <c r="AA189">
        <v>147960</v>
      </c>
      <c r="AB189">
        <v>105</v>
      </c>
      <c r="AC189" s="34">
        <v>45915</v>
      </c>
      <c r="AD189" s="34">
        <v>46022</v>
      </c>
      <c r="AF189">
        <v>0</v>
      </c>
      <c r="AG189">
        <v>329950.8</v>
      </c>
      <c r="AH189">
        <v>0</v>
      </c>
      <c r="AI189">
        <v>329950.8</v>
      </c>
      <c r="AJ189">
        <v>0</v>
      </c>
      <c r="AK189">
        <v>0</v>
      </c>
      <c r="AL189">
        <v>82817.64</v>
      </c>
      <c r="AM189">
        <v>0</v>
      </c>
      <c r="AN189">
        <v>412768.44</v>
      </c>
      <c r="AO189" t="s">
        <v>122</v>
      </c>
      <c r="AP189">
        <v>12</v>
      </c>
      <c r="AQ189">
        <v>39594.1</v>
      </c>
      <c r="AR189">
        <v>39594.1</v>
      </c>
      <c r="AT189">
        <v>1864296</v>
      </c>
      <c r="AU189">
        <v>51342.12</v>
      </c>
      <c r="AV189">
        <v>1864296</v>
      </c>
      <c r="AW189">
        <v>51342.12</v>
      </c>
    </row>
    <row r="190" spans="1:49" hidden="1" x14ac:dyDescent="0.35">
      <c r="A190">
        <v>5800210</v>
      </c>
      <c r="B190">
        <v>1170005800201</v>
      </c>
      <c r="D190">
        <v>20205144529</v>
      </c>
      <c r="E190" t="s">
        <v>469</v>
      </c>
      <c r="F190" t="s">
        <v>1</v>
      </c>
      <c r="G190" t="s">
        <v>198</v>
      </c>
      <c r="H190" t="s">
        <v>28</v>
      </c>
      <c r="I190">
        <v>2914</v>
      </c>
      <c r="J190">
        <v>1</v>
      </c>
      <c r="K190" t="s">
        <v>16</v>
      </c>
      <c r="L190">
        <v>8105</v>
      </c>
      <c r="M190" t="s">
        <v>199</v>
      </c>
      <c r="N190">
        <v>2</v>
      </c>
      <c r="O190" t="s">
        <v>125</v>
      </c>
      <c r="P190" t="s">
        <v>471</v>
      </c>
      <c r="Q190">
        <v>134397</v>
      </c>
      <c r="R190">
        <v>4882680</v>
      </c>
      <c r="S190">
        <v>33</v>
      </c>
      <c r="T190">
        <v>147960</v>
      </c>
      <c r="U190">
        <v>1</v>
      </c>
      <c r="V190">
        <v>1</v>
      </c>
      <c r="W190" t="s">
        <v>127</v>
      </c>
      <c r="X190">
        <v>24660</v>
      </c>
      <c r="Y190">
        <v>134397</v>
      </c>
      <c r="Z190">
        <v>4882680</v>
      </c>
      <c r="AA190">
        <v>147960</v>
      </c>
      <c r="AB190">
        <v>105</v>
      </c>
      <c r="AC190" s="34">
        <v>45915</v>
      </c>
      <c r="AD190" s="34">
        <v>46022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 t="s">
        <v>122</v>
      </c>
      <c r="AT190">
        <v>2929608</v>
      </c>
      <c r="AU190">
        <v>80638.2</v>
      </c>
      <c r="AV190">
        <v>2929608</v>
      </c>
      <c r="AW190">
        <v>80638.2</v>
      </c>
    </row>
    <row r="191" spans="1:49" hidden="1" x14ac:dyDescent="0.35">
      <c r="A191">
        <v>5800210</v>
      </c>
      <c r="B191">
        <v>1170005800201</v>
      </c>
      <c r="D191">
        <v>20205144529</v>
      </c>
      <c r="E191" t="s">
        <v>469</v>
      </c>
      <c r="F191" t="s">
        <v>1</v>
      </c>
      <c r="G191" t="s">
        <v>198</v>
      </c>
      <c r="H191" t="s">
        <v>28</v>
      </c>
      <c r="I191">
        <v>2914</v>
      </c>
      <c r="J191">
        <v>1</v>
      </c>
      <c r="K191" t="s">
        <v>16</v>
      </c>
      <c r="L191">
        <v>8105</v>
      </c>
      <c r="M191" t="s">
        <v>199</v>
      </c>
      <c r="N191">
        <v>3</v>
      </c>
      <c r="O191" t="s">
        <v>125</v>
      </c>
      <c r="P191" t="s">
        <v>472</v>
      </c>
      <c r="Q191">
        <v>109983.6</v>
      </c>
      <c r="R191">
        <v>4438800</v>
      </c>
      <c r="S191">
        <v>30</v>
      </c>
      <c r="T191">
        <v>147960</v>
      </c>
      <c r="U191">
        <v>1</v>
      </c>
      <c r="V191">
        <v>1</v>
      </c>
      <c r="W191" t="s">
        <v>127</v>
      </c>
      <c r="X191">
        <v>24660</v>
      </c>
      <c r="Y191">
        <v>109983.6</v>
      </c>
      <c r="Z191">
        <v>4438800</v>
      </c>
      <c r="AA191">
        <v>147960</v>
      </c>
      <c r="AB191">
        <v>105</v>
      </c>
      <c r="AC191" s="34">
        <v>45915</v>
      </c>
      <c r="AD191" s="34">
        <v>46022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 t="s">
        <v>122</v>
      </c>
      <c r="AT191">
        <v>2663280</v>
      </c>
      <c r="AU191">
        <v>65990.16</v>
      </c>
      <c r="AV191">
        <v>2663280</v>
      </c>
      <c r="AW191">
        <v>65990.16</v>
      </c>
    </row>
    <row r="192" spans="1:49" hidden="1" x14ac:dyDescent="0.35">
      <c r="A192">
        <v>5800310</v>
      </c>
      <c r="B192">
        <v>1170005800301</v>
      </c>
      <c r="D192">
        <v>30708002212</v>
      </c>
      <c r="E192" t="s">
        <v>407</v>
      </c>
      <c r="F192" t="s">
        <v>1</v>
      </c>
      <c r="G192" t="s">
        <v>198</v>
      </c>
      <c r="H192" t="s">
        <v>28</v>
      </c>
      <c r="I192">
        <v>2914</v>
      </c>
      <c r="J192">
        <v>1</v>
      </c>
      <c r="K192" t="s">
        <v>16</v>
      </c>
      <c r="L192">
        <v>8105</v>
      </c>
      <c r="M192" t="s">
        <v>199</v>
      </c>
      <c r="N192">
        <v>1</v>
      </c>
      <c r="O192" t="s">
        <v>125</v>
      </c>
      <c r="P192" t="s">
        <v>473</v>
      </c>
      <c r="Q192">
        <v>285316.2</v>
      </c>
      <c r="R192">
        <v>10357200</v>
      </c>
      <c r="S192">
        <v>70</v>
      </c>
      <c r="T192">
        <v>147960</v>
      </c>
      <c r="U192">
        <v>1</v>
      </c>
      <c r="V192">
        <v>1</v>
      </c>
      <c r="W192" t="s">
        <v>127</v>
      </c>
      <c r="X192">
        <v>24660</v>
      </c>
      <c r="Y192">
        <v>285316.2</v>
      </c>
      <c r="Z192">
        <v>10357200</v>
      </c>
      <c r="AA192">
        <v>147960</v>
      </c>
      <c r="AB192">
        <v>105</v>
      </c>
      <c r="AC192" s="34">
        <v>45915</v>
      </c>
      <c r="AD192" s="34">
        <v>46022</v>
      </c>
      <c r="AF192">
        <v>0</v>
      </c>
      <c r="AG192">
        <v>652750.19999999995</v>
      </c>
      <c r="AH192">
        <v>0</v>
      </c>
      <c r="AI192">
        <v>652750.19999999995</v>
      </c>
      <c r="AJ192">
        <v>0</v>
      </c>
      <c r="AK192">
        <v>0</v>
      </c>
      <c r="AL192">
        <v>163840.32000000001</v>
      </c>
      <c r="AM192">
        <v>0</v>
      </c>
      <c r="AN192">
        <v>816590.52</v>
      </c>
      <c r="AO192" t="s">
        <v>122</v>
      </c>
      <c r="AP192">
        <v>12</v>
      </c>
      <c r="AQ192">
        <v>78330.02</v>
      </c>
      <c r="AR192">
        <v>78330.02</v>
      </c>
      <c r="AT192">
        <v>6214320</v>
      </c>
      <c r="AU192">
        <v>171189.72</v>
      </c>
      <c r="AV192">
        <v>6214320</v>
      </c>
      <c r="AW192">
        <v>171189.72</v>
      </c>
    </row>
    <row r="193" spans="1:49" hidden="1" x14ac:dyDescent="0.35">
      <c r="A193">
        <v>5800310</v>
      </c>
      <c r="B193">
        <v>1170005800301</v>
      </c>
      <c r="D193">
        <v>30708002212</v>
      </c>
      <c r="E193" t="s">
        <v>407</v>
      </c>
      <c r="F193" t="s">
        <v>1</v>
      </c>
      <c r="G193" t="s">
        <v>198</v>
      </c>
      <c r="H193" t="s">
        <v>28</v>
      </c>
      <c r="I193">
        <v>2914</v>
      </c>
      <c r="J193">
        <v>1</v>
      </c>
      <c r="K193" t="s">
        <v>16</v>
      </c>
      <c r="L193">
        <v>8105</v>
      </c>
      <c r="M193" t="s">
        <v>199</v>
      </c>
      <c r="N193">
        <v>2</v>
      </c>
      <c r="O193" t="s">
        <v>125</v>
      </c>
      <c r="P193" t="s">
        <v>474</v>
      </c>
      <c r="Q193">
        <v>142534.79999999999</v>
      </c>
      <c r="R193">
        <v>5178600</v>
      </c>
      <c r="S193">
        <v>35</v>
      </c>
      <c r="T193">
        <v>147960</v>
      </c>
      <c r="U193">
        <v>1</v>
      </c>
      <c r="V193">
        <v>1</v>
      </c>
      <c r="W193" t="s">
        <v>127</v>
      </c>
      <c r="X193">
        <v>24660</v>
      </c>
      <c r="Y193">
        <v>142534.79999999999</v>
      </c>
      <c r="Z193">
        <v>5178600</v>
      </c>
      <c r="AA193">
        <v>147960</v>
      </c>
      <c r="AB193">
        <v>105</v>
      </c>
      <c r="AC193" s="34">
        <v>45915</v>
      </c>
      <c r="AD193" s="34">
        <v>46022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 t="s">
        <v>122</v>
      </c>
      <c r="AT193">
        <v>3107160</v>
      </c>
      <c r="AU193">
        <v>85520.88</v>
      </c>
      <c r="AV193">
        <v>3107160</v>
      </c>
      <c r="AW193">
        <v>85520.88</v>
      </c>
    </row>
    <row r="194" spans="1:49" hidden="1" x14ac:dyDescent="0.35">
      <c r="A194">
        <v>5800310</v>
      </c>
      <c r="B194">
        <v>1170005800301</v>
      </c>
      <c r="D194">
        <v>30708002212</v>
      </c>
      <c r="E194" t="s">
        <v>407</v>
      </c>
      <c r="F194" t="s">
        <v>1</v>
      </c>
      <c r="G194" t="s">
        <v>198</v>
      </c>
      <c r="H194" t="s">
        <v>28</v>
      </c>
      <c r="I194">
        <v>2914</v>
      </c>
      <c r="J194">
        <v>1</v>
      </c>
      <c r="K194" t="s">
        <v>16</v>
      </c>
      <c r="L194">
        <v>8105</v>
      </c>
      <c r="M194" t="s">
        <v>199</v>
      </c>
      <c r="N194">
        <v>3</v>
      </c>
      <c r="O194" t="s">
        <v>125</v>
      </c>
      <c r="P194" t="s">
        <v>475</v>
      </c>
      <c r="Q194">
        <v>122313.60000000001</v>
      </c>
      <c r="R194">
        <v>4438800</v>
      </c>
      <c r="S194">
        <v>30</v>
      </c>
      <c r="T194">
        <v>147960</v>
      </c>
      <c r="U194">
        <v>1</v>
      </c>
      <c r="V194">
        <v>1</v>
      </c>
      <c r="W194" t="s">
        <v>127</v>
      </c>
      <c r="X194">
        <v>24660</v>
      </c>
      <c r="Y194">
        <v>122313.60000000001</v>
      </c>
      <c r="Z194">
        <v>4438800</v>
      </c>
      <c r="AA194">
        <v>147960</v>
      </c>
      <c r="AB194">
        <v>105</v>
      </c>
      <c r="AC194" s="34">
        <v>45915</v>
      </c>
      <c r="AD194" s="34">
        <v>46022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 t="s">
        <v>122</v>
      </c>
      <c r="AT194">
        <v>2663280</v>
      </c>
      <c r="AU194">
        <v>73388.160000000003</v>
      </c>
      <c r="AV194">
        <v>2663280</v>
      </c>
      <c r="AW194">
        <v>73388.160000000003</v>
      </c>
    </row>
    <row r="195" spans="1:49" hidden="1" x14ac:dyDescent="0.35">
      <c r="A195">
        <v>5800310</v>
      </c>
      <c r="B195">
        <v>1170005800301</v>
      </c>
      <c r="D195">
        <v>30708002212</v>
      </c>
      <c r="E195" t="s">
        <v>407</v>
      </c>
      <c r="F195" t="s">
        <v>1</v>
      </c>
      <c r="G195" t="s">
        <v>198</v>
      </c>
      <c r="H195" t="s">
        <v>28</v>
      </c>
      <c r="I195">
        <v>2914</v>
      </c>
      <c r="J195">
        <v>1</v>
      </c>
      <c r="K195" t="s">
        <v>16</v>
      </c>
      <c r="L195">
        <v>8105</v>
      </c>
      <c r="M195" t="s">
        <v>199</v>
      </c>
      <c r="N195">
        <v>4</v>
      </c>
      <c r="O195" t="s">
        <v>125</v>
      </c>
      <c r="P195" t="s">
        <v>476</v>
      </c>
      <c r="Q195">
        <v>102585.60000000001</v>
      </c>
      <c r="R195">
        <v>4142880</v>
      </c>
      <c r="S195">
        <v>28</v>
      </c>
      <c r="T195">
        <v>147960</v>
      </c>
      <c r="U195">
        <v>1</v>
      </c>
      <c r="V195">
        <v>1</v>
      </c>
      <c r="W195" t="s">
        <v>127</v>
      </c>
      <c r="X195">
        <v>24660</v>
      </c>
      <c r="Y195">
        <v>102585.60000000001</v>
      </c>
      <c r="Z195">
        <v>4142880</v>
      </c>
      <c r="AA195">
        <v>147960</v>
      </c>
      <c r="AB195">
        <v>105</v>
      </c>
      <c r="AC195" s="34">
        <v>45915</v>
      </c>
      <c r="AD195" s="34">
        <v>46022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 t="s">
        <v>122</v>
      </c>
      <c r="AT195">
        <v>2485728</v>
      </c>
      <c r="AU195">
        <v>61551.360000000001</v>
      </c>
      <c r="AV195">
        <v>2485728</v>
      </c>
      <c r="AW195">
        <v>61551.360000000001</v>
      </c>
    </row>
    <row r="196" spans="1:49" hidden="1" x14ac:dyDescent="0.35">
      <c r="A196">
        <v>5800410</v>
      </c>
      <c r="B196">
        <v>1170005800401</v>
      </c>
      <c r="D196">
        <v>20127927171</v>
      </c>
      <c r="E196" t="s">
        <v>477</v>
      </c>
      <c r="F196" t="s">
        <v>1</v>
      </c>
      <c r="G196" t="s">
        <v>198</v>
      </c>
      <c r="H196" t="s">
        <v>28</v>
      </c>
      <c r="I196">
        <v>2914</v>
      </c>
      <c r="J196">
        <v>1</v>
      </c>
      <c r="K196" t="s">
        <v>16</v>
      </c>
      <c r="L196">
        <v>8105</v>
      </c>
      <c r="M196" t="s">
        <v>199</v>
      </c>
      <c r="N196">
        <v>1</v>
      </c>
      <c r="O196" t="s">
        <v>125</v>
      </c>
      <c r="P196" t="s">
        <v>478</v>
      </c>
      <c r="Q196">
        <v>139822.20000000001</v>
      </c>
      <c r="R196">
        <v>5178600</v>
      </c>
      <c r="S196">
        <v>21</v>
      </c>
      <c r="T196">
        <v>246600</v>
      </c>
      <c r="U196">
        <v>1</v>
      </c>
      <c r="V196">
        <v>1</v>
      </c>
      <c r="W196" t="s">
        <v>127</v>
      </c>
      <c r="X196">
        <v>24660</v>
      </c>
      <c r="Y196">
        <v>139822.20000000001</v>
      </c>
      <c r="Z196">
        <v>5178600</v>
      </c>
      <c r="AA196">
        <v>246600</v>
      </c>
      <c r="AB196">
        <v>105</v>
      </c>
      <c r="AC196" s="34">
        <v>45916</v>
      </c>
      <c r="AD196" s="34">
        <v>46022</v>
      </c>
      <c r="AF196">
        <v>0</v>
      </c>
      <c r="AG196">
        <v>271753.2</v>
      </c>
      <c r="AH196">
        <v>0</v>
      </c>
      <c r="AI196">
        <v>271753.2</v>
      </c>
      <c r="AJ196">
        <v>0</v>
      </c>
      <c r="AK196">
        <v>0</v>
      </c>
      <c r="AL196">
        <v>68210.06</v>
      </c>
      <c r="AM196">
        <v>0</v>
      </c>
      <c r="AN196">
        <v>339963.26</v>
      </c>
      <c r="AO196" t="s">
        <v>122</v>
      </c>
      <c r="AP196">
        <v>10</v>
      </c>
      <c r="AQ196">
        <v>27175.32</v>
      </c>
      <c r="AR196">
        <v>27175.32</v>
      </c>
      <c r="AT196">
        <v>3107160</v>
      </c>
      <c r="AU196">
        <v>83893.32</v>
      </c>
      <c r="AV196">
        <v>3107160</v>
      </c>
      <c r="AW196">
        <v>83893.32</v>
      </c>
    </row>
    <row r="197" spans="1:49" hidden="1" x14ac:dyDescent="0.35">
      <c r="A197">
        <v>5800410</v>
      </c>
      <c r="B197">
        <v>1170005800401</v>
      </c>
      <c r="D197">
        <v>20127927171</v>
      </c>
      <c r="E197" t="s">
        <v>477</v>
      </c>
      <c r="F197" t="s">
        <v>1</v>
      </c>
      <c r="G197" t="s">
        <v>198</v>
      </c>
      <c r="H197" t="s">
        <v>28</v>
      </c>
      <c r="I197">
        <v>2914</v>
      </c>
      <c r="J197">
        <v>1</v>
      </c>
      <c r="K197" t="s">
        <v>16</v>
      </c>
      <c r="L197">
        <v>8105</v>
      </c>
      <c r="M197" t="s">
        <v>199</v>
      </c>
      <c r="N197">
        <v>2</v>
      </c>
      <c r="O197" t="s">
        <v>125</v>
      </c>
      <c r="P197" t="s">
        <v>479</v>
      </c>
      <c r="Q197">
        <v>131931</v>
      </c>
      <c r="R197">
        <v>5425200</v>
      </c>
      <c r="S197">
        <v>22</v>
      </c>
      <c r="T197">
        <v>246600</v>
      </c>
      <c r="U197">
        <v>1</v>
      </c>
      <c r="V197">
        <v>1</v>
      </c>
      <c r="W197" t="s">
        <v>127</v>
      </c>
      <c r="X197">
        <v>24660</v>
      </c>
      <c r="Y197">
        <v>131931</v>
      </c>
      <c r="Z197">
        <v>5425200</v>
      </c>
      <c r="AA197">
        <v>246600</v>
      </c>
      <c r="AB197">
        <v>105</v>
      </c>
      <c r="AC197" s="34">
        <v>45916</v>
      </c>
      <c r="AD197" s="34">
        <v>46022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 t="s">
        <v>122</v>
      </c>
      <c r="AT197">
        <v>3255120</v>
      </c>
      <c r="AU197">
        <v>79158.600000000006</v>
      </c>
      <c r="AV197">
        <v>3255120</v>
      </c>
      <c r="AW197">
        <v>79158.600000000006</v>
      </c>
    </row>
    <row r="198" spans="1:49" hidden="1" x14ac:dyDescent="0.35">
      <c r="A198">
        <v>5800510</v>
      </c>
      <c r="B198">
        <v>1070005800501</v>
      </c>
      <c r="D198">
        <v>30546815478</v>
      </c>
      <c r="E198" t="s">
        <v>480</v>
      </c>
      <c r="F198" t="s">
        <v>1</v>
      </c>
      <c r="G198" t="s">
        <v>481</v>
      </c>
      <c r="H198" t="s">
        <v>49</v>
      </c>
      <c r="I198">
        <v>6140</v>
      </c>
      <c r="J198">
        <v>3</v>
      </c>
      <c r="K198" t="s">
        <v>32</v>
      </c>
      <c r="L198">
        <v>9056</v>
      </c>
      <c r="M198" t="s">
        <v>326</v>
      </c>
      <c r="N198">
        <v>1</v>
      </c>
      <c r="O198" t="s">
        <v>125</v>
      </c>
      <c r="P198" t="s">
        <v>482</v>
      </c>
      <c r="Q198">
        <v>7633946.8799999999</v>
      </c>
      <c r="R198">
        <v>110476800</v>
      </c>
      <c r="S198">
        <v>560</v>
      </c>
      <c r="T198">
        <v>197280</v>
      </c>
      <c r="U198">
        <v>1</v>
      </c>
      <c r="V198">
        <v>1</v>
      </c>
      <c r="W198" t="s">
        <v>127</v>
      </c>
      <c r="X198">
        <v>24660</v>
      </c>
      <c r="Y198">
        <v>7633946.8799999999</v>
      </c>
      <c r="Z198">
        <v>110476800</v>
      </c>
      <c r="AA198">
        <v>197280</v>
      </c>
      <c r="AB198">
        <v>105</v>
      </c>
      <c r="AC198" s="34">
        <v>45892</v>
      </c>
      <c r="AD198" s="34">
        <v>46022</v>
      </c>
      <c r="AF198">
        <v>0</v>
      </c>
      <c r="AG198">
        <v>7633946.8799999999</v>
      </c>
      <c r="AH198">
        <v>0</v>
      </c>
      <c r="AI198">
        <v>7633946.8799999999</v>
      </c>
      <c r="AJ198">
        <v>0</v>
      </c>
      <c r="AK198">
        <v>0</v>
      </c>
      <c r="AL198">
        <v>1992460.11</v>
      </c>
      <c r="AM198">
        <v>0</v>
      </c>
      <c r="AN198">
        <v>9626406.9900000002</v>
      </c>
      <c r="AO198" t="s">
        <v>122</v>
      </c>
      <c r="AP198">
        <v>15</v>
      </c>
      <c r="AQ198">
        <v>1145092.03</v>
      </c>
      <c r="AR198">
        <v>1145092.03</v>
      </c>
      <c r="AT198">
        <v>66286080</v>
      </c>
      <c r="AU198">
        <v>4580368.13</v>
      </c>
      <c r="AV198">
        <v>66286080</v>
      </c>
      <c r="AW198">
        <v>4580368.13</v>
      </c>
    </row>
    <row r="199" spans="1:49" hidden="1" x14ac:dyDescent="0.35">
      <c r="A199">
        <v>5800610</v>
      </c>
      <c r="B199">
        <v>1170005800601</v>
      </c>
      <c r="D199">
        <v>30621166685</v>
      </c>
      <c r="E199" t="s">
        <v>483</v>
      </c>
      <c r="F199" t="s">
        <v>1</v>
      </c>
      <c r="G199" t="s">
        <v>484</v>
      </c>
      <c r="H199" t="s">
        <v>297</v>
      </c>
      <c r="I199">
        <v>2124</v>
      </c>
      <c r="J199">
        <v>12</v>
      </c>
      <c r="K199" t="s">
        <v>34</v>
      </c>
      <c r="L199">
        <v>10987</v>
      </c>
      <c r="M199" t="s">
        <v>298</v>
      </c>
      <c r="N199">
        <v>1</v>
      </c>
      <c r="O199" t="s">
        <v>125</v>
      </c>
      <c r="P199" t="s">
        <v>485</v>
      </c>
      <c r="Q199">
        <v>2197206</v>
      </c>
      <c r="R199">
        <v>73980000</v>
      </c>
      <c r="S199">
        <v>100</v>
      </c>
      <c r="T199">
        <v>739800</v>
      </c>
      <c r="U199">
        <v>1</v>
      </c>
      <c r="V199">
        <v>1</v>
      </c>
      <c r="W199" t="s">
        <v>127</v>
      </c>
      <c r="X199">
        <v>24660</v>
      </c>
      <c r="Y199">
        <v>2197206</v>
      </c>
      <c r="Z199">
        <v>73980000</v>
      </c>
      <c r="AA199">
        <v>739800</v>
      </c>
      <c r="AB199">
        <v>105</v>
      </c>
      <c r="AC199" s="34">
        <v>45915</v>
      </c>
      <c r="AD199" s="34">
        <v>46022</v>
      </c>
      <c r="AF199">
        <v>0</v>
      </c>
      <c r="AG199">
        <v>2197206</v>
      </c>
      <c r="AH199">
        <v>0</v>
      </c>
      <c r="AI199">
        <v>2197206</v>
      </c>
      <c r="AJ199">
        <v>0</v>
      </c>
      <c r="AK199">
        <v>0</v>
      </c>
      <c r="AL199">
        <v>562484.74</v>
      </c>
      <c r="AM199">
        <v>0</v>
      </c>
      <c r="AN199">
        <v>2759690.74</v>
      </c>
      <c r="AO199" t="s">
        <v>122</v>
      </c>
      <c r="AP199">
        <v>15</v>
      </c>
      <c r="AQ199">
        <v>329580.90000000002</v>
      </c>
      <c r="AR199">
        <v>329580.90000000002</v>
      </c>
      <c r="AT199">
        <v>44388000</v>
      </c>
      <c r="AU199">
        <v>1318323.6000000001</v>
      </c>
      <c r="AV199">
        <v>44388000</v>
      </c>
      <c r="AW199">
        <v>1318323.6000000001</v>
      </c>
    </row>
    <row r="200" spans="1:49" hidden="1" x14ac:dyDescent="0.35">
      <c r="A200">
        <v>5800710</v>
      </c>
      <c r="B200">
        <v>1170005800701</v>
      </c>
      <c r="D200">
        <v>30707778136</v>
      </c>
      <c r="E200" t="s">
        <v>486</v>
      </c>
      <c r="F200" t="s">
        <v>1</v>
      </c>
      <c r="G200" t="s">
        <v>226</v>
      </c>
      <c r="H200" t="s">
        <v>63</v>
      </c>
      <c r="I200">
        <v>2535</v>
      </c>
      <c r="J200">
        <v>12</v>
      </c>
      <c r="K200" t="s">
        <v>34</v>
      </c>
      <c r="L200">
        <v>83429</v>
      </c>
      <c r="M200" t="s">
        <v>140</v>
      </c>
      <c r="N200">
        <v>1</v>
      </c>
      <c r="O200" t="s">
        <v>125</v>
      </c>
      <c r="P200" t="s">
        <v>487</v>
      </c>
      <c r="Q200">
        <v>1001972.79</v>
      </c>
      <c r="R200">
        <v>40565700</v>
      </c>
      <c r="S200">
        <v>47</v>
      </c>
      <c r="T200">
        <v>863100</v>
      </c>
      <c r="U200">
        <v>1</v>
      </c>
      <c r="V200">
        <v>1</v>
      </c>
      <c r="W200" t="s">
        <v>127</v>
      </c>
      <c r="X200">
        <v>24660</v>
      </c>
      <c r="Y200">
        <v>1001972.79</v>
      </c>
      <c r="Z200">
        <v>40565700</v>
      </c>
      <c r="AA200">
        <v>863100</v>
      </c>
      <c r="AB200">
        <v>214</v>
      </c>
      <c r="AC200" s="34">
        <v>45917</v>
      </c>
      <c r="AD200" s="34">
        <v>46053</v>
      </c>
      <c r="AF200">
        <v>0</v>
      </c>
      <c r="AG200">
        <v>5902198.3799999999</v>
      </c>
      <c r="AH200">
        <v>0</v>
      </c>
      <c r="AI200">
        <v>5902198.3799999999</v>
      </c>
      <c r="AJ200">
        <v>0</v>
      </c>
      <c r="AK200">
        <v>0</v>
      </c>
      <c r="AL200">
        <v>1510962.78</v>
      </c>
      <c r="AM200">
        <v>0</v>
      </c>
      <c r="AN200">
        <v>7413161.1600000001</v>
      </c>
      <c r="AO200" t="s">
        <v>122</v>
      </c>
      <c r="AP200">
        <v>15</v>
      </c>
      <c r="AQ200">
        <v>885329.76</v>
      </c>
      <c r="AR200">
        <v>885329.76</v>
      </c>
      <c r="AT200">
        <v>24339420</v>
      </c>
      <c r="AU200">
        <v>601183.67000000004</v>
      </c>
      <c r="AV200">
        <v>24339420</v>
      </c>
      <c r="AW200">
        <v>601183.67000000004</v>
      </c>
    </row>
    <row r="201" spans="1:49" hidden="1" x14ac:dyDescent="0.35">
      <c r="A201">
        <v>5800710</v>
      </c>
      <c r="B201">
        <v>1170005800701</v>
      </c>
      <c r="D201">
        <v>30707778136</v>
      </c>
      <c r="E201" t="s">
        <v>486</v>
      </c>
      <c r="F201" t="s">
        <v>1</v>
      </c>
      <c r="G201" t="s">
        <v>226</v>
      </c>
      <c r="H201" t="s">
        <v>63</v>
      </c>
      <c r="I201">
        <v>2535</v>
      </c>
      <c r="J201">
        <v>12</v>
      </c>
      <c r="K201" t="s">
        <v>34</v>
      </c>
      <c r="L201">
        <v>83429</v>
      </c>
      <c r="M201" t="s">
        <v>140</v>
      </c>
      <c r="N201">
        <v>2</v>
      </c>
      <c r="O201" t="s">
        <v>125</v>
      </c>
      <c r="P201" t="s">
        <v>488</v>
      </c>
      <c r="Q201">
        <v>938017.08</v>
      </c>
      <c r="R201">
        <v>37976400</v>
      </c>
      <c r="S201">
        <v>44</v>
      </c>
      <c r="T201">
        <v>863100</v>
      </c>
      <c r="U201">
        <v>1</v>
      </c>
      <c r="V201">
        <v>1</v>
      </c>
      <c r="W201" t="s">
        <v>127</v>
      </c>
      <c r="X201">
        <v>24660</v>
      </c>
      <c r="Y201">
        <v>938017.08</v>
      </c>
      <c r="Z201">
        <v>37976400</v>
      </c>
      <c r="AA201">
        <v>863100</v>
      </c>
      <c r="AB201">
        <v>214</v>
      </c>
      <c r="AC201" s="34">
        <v>45917</v>
      </c>
      <c r="AD201" s="34">
        <v>46053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 t="s">
        <v>122</v>
      </c>
      <c r="AT201">
        <v>22785840</v>
      </c>
      <c r="AU201">
        <v>562810.25</v>
      </c>
      <c r="AV201">
        <v>22785840</v>
      </c>
      <c r="AW201">
        <v>562810.25</v>
      </c>
    </row>
    <row r="202" spans="1:49" hidden="1" x14ac:dyDescent="0.35">
      <c r="A202">
        <v>5800710</v>
      </c>
      <c r="B202">
        <v>1170005800701</v>
      </c>
      <c r="D202">
        <v>30707778136</v>
      </c>
      <c r="E202" t="s">
        <v>486</v>
      </c>
      <c r="F202" t="s">
        <v>1</v>
      </c>
      <c r="G202" t="s">
        <v>226</v>
      </c>
      <c r="H202" t="s">
        <v>63</v>
      </c>
      <c r="I202">
        <v>2535</v>
      </c>
      <c r="J202">
        <v>12</v>
      </c>
      <c r="K202" t="s">
        <v>34</v>
      </c>
      <c r="L202">
        <v>83429</v>
      </c>
      <c r="M202" t="s">
        <v>140</v>
      </c>
      <c r="N202">
        <v>3</v>
      </c>
      <c r="O202" t="s">
        <v>125</v>
      </c>
      <c r="P202" t="s">
        <v>489</v>
      </c>
      <c r="Q202">
        <v>852742.8</v>
      </c>
      <c r="R202">
        <v>34524000</v>
      </c>
      <c r="S202">
        <v>40</v>
      </c>
      <c r="T202">
        <v>863100</v>
      </c>
      <c r="U202">
        <v>1</v>
      </c>
      <c r="V202">
        <v>1</v>
      </c>
      <c r="W202" t="s">
        <v>127</v>
      </c>
      <c r="X202">
        <v>24660</v>
      </c>
      <c r="Y202">
        <v>852742.8</v>
      </c>
      <c r="Z202">
        <v>34524000</v>
      </c>
      <c r="AA202">
        <v>863100</v>
      </c>
      <c r="AB202">
        <v>214</v>
      </c>
      <c r="AC202" s="34">
        <v>45917</v>
      </c>
      <c r="AD202" s="34">
        <v>46053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 t="s">
        <v>122</v>
      </c>
      <c r="AT202">
        <v>20714400</v>
      </c>
      <c r="AU202">
        <v>511645.68</v>
      </c>
      <c r="AV202">
        <v>20714400</v>
      </c>
      <c r="AW202">
        <v>511645.68</v>
      </c>
    </row>
    <row r="203" spans="1:49" hidden="1" x14ac:dyDescent="0.35">
      <c r="A203">
        <v>5800710</v>
      </c>
      <c r="B203">
        <v>1170005800701</v>
      </c>
      <c r="D203">
        <v>30707778136</v>
      </c>
      <c r="E203" t="s">
        <v>486</v>
      </c>
      <c r="F203" t="s">
        <v>1</v>
      </c>
      <c r="G203" t="s">
        <v>226</v>
      </c>
      <c r="H203" t="s">
        <v>63</v>
      </c>
      <c r="I203">
        <v>2535</v>
      </c>
      <c r="J203">
        <v>12</v>
      </c>
      <c r="K203" t="s">
        <v>34</v>
      </c>
      <c r="L203">
        <v>83429</v>
      </c>
      <c r="M203" t="s">
        <v>140</v>
      </c>
      <c r="N203">
        <v>4</v>
      </c>
      <c r="O203" t="s">
        <v>125</v>
      </c>
      <c r="P203" t="s">
        <v>490</v>
      </c>
      <c r="Q203">
        <v>554282.81999999995</v>
      </c>
      <c r="R203">
        <v>22440600</v>
      </c>
      <c r="S203">
        <v>26</v>
      </c>
      <c r="T203">
        <v>863100</v>
      </c>
      <c r="U203">
        <v>1</v>
      </c>
      <c r="V203">
        <v>1</v>
      </c>
      <c r="W203" t="s">
        <v>127</v>
      </c>
      <c r="X203">
        <v>24660</v>
      </c>
      <c r="Y203">
        <v>554282.81999999995</v>
      </c>
      <c r="Z203">
        <v>22440600</v>
      </c>
      <c r="AA203">
        <v>863100</v>
      </c>
      <c r="AB203">
        <v>214</v>
      </c>
      <c r="AC203" s="34">
        <v>45917</v>
      </c>
      <c r="AD203" s="34">
        <v>46053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 t="s">
        <v>122</v>
      </c>
      <c r="AT203">
        <v>13464360</v>
      </c>
      <c r="AU203">
        <v>332569.69</v>
      </c>
      <c r="AV203">
        <v>13464360</v>
      </c>
      <c r="AW203">
        <v>332569.69</v>
      </c>
    </row>
    <row r="204" spans="1:49" hidden="1" x14ac:dyDescent="0.35">
      <c r="A204">
        <v>5800710</v>
      </c>
      <c r="B204">
        <v>1170005800701</v>
      </c>
      <c r="D204">
        <v>30707778136</v>
      </c>
      <c r="E204" t="s">
        <v>486</v>
      </c>
      <c r="F204" t="s">
        <v>1</v>
      </c>
      <c r="G204" t="s">
        <v>226</v>
      </c>
      <c r="H204" t="s">
        <v>63</v>
      </c>
      <c r="I204">
        <v>2535</v>
      </c>
      <c r="J204">
        <v>12</v>
      </c>
      <c r="K204" t="s">
        <v>34</v>
      </c>
      <c r="L204">
        <v>83429</v>
      </c>
      <c r="M204" t="s">
        <v>140</v>
      </c>
      <c r="N204">
        <v>5</v>
      </c>
      <c r="O204" t="s">
        <v>125</v>
      </c>
      <c r="P204" t="s">
        <v>491</v>
      </c>
      <c r="Q204">
        <v>383734.26</v>
      </c>
      <c r="R204">
        <v>15535800</v>
      </c>
      <c r="S204">
        <v>18</v>
      </c>
      <c r="T204">
        <v>863100</v>
      </c>
      <c r="U204">
        <v>1</v>
      </c>
      <c r="V204">
        <v>1</v>
      </c>
      <c r="W204" t="s">
        <v>127</v>
      </c>
      <c r="X204">
        <v>24660</v>
      </c>
      <c r="Y204">
        <v>383734.26</v>
      </c>
      <c r="Z204">
        <v>15535800</v>
      </c>
      <c r="AA204">
        <v>863100</v>
      </c>
      <c r="AB204">
        <v>214</v>
      </c>
      <c r="AC204" s="34">
        <v>45917</v>
      </c>
      <c r="AD204" s="34">
        <v>46053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 t="s">
        <v>122</v>
      </c>
      <c r="AT204">
        <v>9321480</v>
      </c>
      <c r="AU204">
        <v>230240.56</v>
      </c>
      <c r="AV204">
        <v>9321480</v>
      </c>
      <c r="AW204">
        <v>230240.56</v>
      </c>
    </row>
    <row r="205" spans="1:49" hidden="1" x14ac:dyDescent="0.35">
      <c r="A205">
        <v>5800710</v>
      </c>
      <c r="B205">
        <v>1170005800701</v>
      </c>
      <c r="D205">
        <v>30707778136</v>
      </c>
      <c r="E205" t="s">
        <v>486</v>
      </c>
      <c r="F205" t="s">
        <v>1</v>
      </c>
      <c r="G205" t="s">
        <v>226</v>
      </c>
      <c r="H205" t="s">
        <v>63</v>
      </c>
      <c r="I205">
        <v>2535</v>
      </c>
      <c r="J205">
        <v>12</v>
      </c>
      <c r="K205" t="s">
        <v>34</v>
      </c>
      <c r="L205">
        <v>83429</v>
      </c>
      <c r="M205" t="s">
        <v>140</v>
      </c>
      <c r="N205">
        <v>6</v>
      </c>
      <c r="O205" t="s">
        <v>125</v>
      </c>
      <c r="P205" t="s">
        <v>492</v>
      </c>
      <c r="Q205">
        <v>1364388.48</v>
      </c>
      <c r="R205">
        <v>55238400</v>
      </c>
      <c r="S205">
        <v>64</v>
      </c>
      <c r="T205">
        <v>863100</v>
      </c>
      <c r="U205">
        <v>1</v>
      </c>
      <c r="V205">
        <v>1</v>
      </c>
      <c r="W205" t="s">
        <v>127</v>
      </c>
      <c r="X205">
        <v>24660</v>
      </c>
      <c r="Y205">
        <v>1364388.48</v>
      </c>
      <c r="Z205">
        <v>55238400</v>
      </c>
      <c r="AA205">
        <v>863100</v>
      </c>
      <c r="AB205">
        <v>214</v>
      </c>
      <c r="AC205" s="34">
        <v>45917</v>
      </c>
      <c r="AD205" s="34">
        <v>46053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 t="s">
        <v>122</v>
      </c>
      <c r="AT205">
        <v>33143040</v>
      </c>
      <c r="AU205">
        <v>818633.09</v>
      </c>
      <c r="AV205">
        <v>33143040</v>
      </c>
      <c r="AW205">
        <v>818633.09</v>
      </c>
    </row>
    <row r="206" spans="1:49" hidden="1" x14ac:dyDescent="0.35">
      <c r="A206">
        <v>5800710</v>
      </c>
      <c r="B206">
        <v>1170005800701</v>
      </c>
      <c r="D206">
        <v>30707778136</v>
      </c>
      <c r="E206" t="s">
        <v>486</v>
      </c>
      <c r="F206" t="s">
        <v>1</v>
      </c>
      <c r="G206" t="s">
        <v>226</v>
      </c>
      <c r="H206" t="s">
        <v>63</v>
      </c>
      <c r="I206">
        <v>2535</v>
      </c>
      <c r="J206">
        <v>12</v>
      </c>
      <c r="K206" t="s">
        <v>34</v>
      </c>
      <c r="L206">
        <v>83429</v>
      </c>
      <c r="M206" t="s">
        <v>140</v>
      </c>
      <c r="N206">
        <v>7</v>
      </c>
      <c r="O206" t="s">
        <v>125</v>
      </c>
      <c r="P206" t="s">
        <v>493</v>
      </c>
      <c r="Q206">
        <v>548191.80000000005</v>
      </c>
      <c r="R206">
        <v>22194000</v>
      </c>
      <c r="S206">
        <v>36</v>
      </c>
      <c r="T206">
        <v>616500</v>
      </c>
      <c r="U206">
        <v>1</v>
      </c>
      <c r="V206">
        <v>1</v>
      </c>
      <c r="W206" t="s">
        <v>127</v>
      </c>
      <c r="X206">
        <v>24660</v>
      </c>
      <c r="Y206">
        <v>548191.80000000005</v>
      </c>
      <c r="Z206">
        <v>22194000</v>
      </c>
      <c r="AA206">
        <v>616500</v>
      </c>
      <c r="AB206">
        <v>214</v>
      </c>
      <c r="AC206" s="34">
        <v>45917</v>
      </c>
      <c r="AD206" s="34">
        <v>46053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 t="s">
        <v>122</v>
      </c>
      <c r="AT206">
        <v>13316400</v>
      </c>
      <c r="AU206">
        <v>328915.08</v>
      </c>
      <c r="AV206">
        <v>13316400</v>
      </c>
      <c r="AW206">
        <v>328915.08</v>
      </c>
    </row>
    <row r="207" spans="1:49" hidden="1" x14ac:dyDescent="0.35">
      <c r="A207">
        <v>5800710</v>
      </c>
      <c r="B207">
        <v>1170005800701</v>
      </c>
      <c r="D207">
        <v>30707778136</v>
      </c>
      <c r="E207" t="s">
        <v>486</v>
      </c>
      <c r="F207" t="s">
        <v>1</v>
      </c>
      <c r="G207" t="s">
        <v>226</v>
      </c>
      <c r="H207" t="s">
        <v>63</v>
      </c>
      <c r="I207">
        <v>2535</v>
      </c>
      <c r="J207">
        <v>12</v>
      </c>
      <c r="K207" t="s">
        <v>34</v>
      </c>
      <c r="L207">
        <v>83429</v>
      </c>
      <c r="M207" t="s">
        <v>140</v>
      </c>
      <c r="N207">
        <v>8</v>
      </c>
      <c r="O207" t="s">
        <v>125</v>
      </c>
      <c r="P207" t="s">
        <v>494</v>
      </c>
      <c r="Q207">
        <v>258868.35</v>
      </c>
      <c r="R207">
        <v>10480500</v>
      </c>
      <c r="S207">
        <v>17</v>
      </c>
      <c r="T207">
        <v>616500</v>
      </c>
      <c r="U207">
        <v>1</v>
      </c>
      <c r="V207">
        <v>1</v>
      </c>
      <c r="W207" t="s">
        <v>127</v>
      </c>
      <c r="X207">
        <v>24660</v>
      </c>
      <c r="Y207">
        <v>258868.35</v>
      </c>
      <c r="Z207">
        <v>10480500</v>
      </c>
      <c r="AA207">
        <v>616500</v>
      </c>
      <c r="AB207">
        <v>214</v>
      </c>
      <c r="AC207" s="34">
        <v>45917</v>
      </c>
      <c r="AD207" s="34">
        <v>46053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 t="s">
        <v>122</v>
      </c>
      <c r="AT207">
        <v>6288300</v>
      </c>
      <c r="AU207">
        <v>155321.01</v>
      </c>
      <c r="AV207">
        <v>6288300</v>
      </c>
      <c r="AW207">
        <v>155321.01</v>
      </c>
    </row>
    <row r="208" spans="1:49" hidden="1" x14ac:dyDescent="0.35">
      <c r="A208">
        <v>5800810</v>
      </c>
      <c r="B208">
        <v>1170005800801</v>
      </c>
      <c r="D208">
        <v>23238019109</v>
      </c>
      <c r="E208" t="s">
        <v>142</v>
      </c>
      <c r="F208" t="s">
        <v>1</v>
      </c>
      <c r="G208" t="s">
        <v>226</v>
      </c>
      <c r="H208" t="s">
        <v>63</v>
      </c>
      <c r="I208">
        <v>2535</v>
      </c>
      <c r="J208">
        <v>12</v>
      </c>
      <c r="K208" t="s">
        <v>34</v>
      </c>
      <c r="L208">
        <v>83429</v>
      </c>
      <c r="M208" t="s">
        <v>140</v>
      </c>
      <c r="N208">
        <v>1</v>
      </c>
      <c r="O208" t="s">
        <v>119</v>
      </c>
      <c r="P208" t="s">
        <v>495</v>
      </c>
      <c r="Q208">
        <v>1280894</v>
      </c>
      <c r="R208">
        <v>70920000</v>
      </c>
      <c r="S208">
        <v>60</v>
      </c>
      <c r="T208">
        <v>1182000</v>
      </c>
      <c r="U208">
        <v>1</v>
      </c>
      <c r="V208">
        <v>1</v>
      </c>
      <c r="W208" t="s">
        <v>127</v>
      </c>
      <c r="X208">
        <v>19700</v>
      </c>
      <c r="Y208">
        <v>1280894</v>
      </c>
      <c r="Z208">
        <v>70920000</v>
      </c>
      <c r="AA208">
        <v>1182000</v>
      </c>
      <c r="AB208">
        <v>212</v>
      </c>
      <c r="AC208" s="34">
        <v>45917</v>
      </c>
      <c r="AD208" s="34">
        <v>46142</v>
      </c>
      <c r="AF208">
        <v>0</v>
      </c>
      <c r="AG208">
        <v>1280894</v>
      </c>
      <c r="AH208">
        <v>0</v>
      </c>
      <c r="AI208">
        <v>1280894</v>
      </c>
      <c r="AJ208">
        <v>0</v>
      </c>
      <c r="AK208">
        <v>0</v>
      </c>
      <c r="AL208">
        <v>327908.86</v>
      </c>
      <c r="AM208">
        <v>0</v>
      </c>
      <c r="AN208">
        <v>1608802.86</v>
      </c>
      <c r="AO208" t="s">
        <v>122</v>
      </c>
      <c r="AP208">
        <v>15</v>
      </c>
      <c r="AQ208">
        <v>192134.1</v>
      </c>
      <c r="AR208">
        <v>192134.1</v>
      </c>
      <c r="AT208">
        <v>42552000</v>
      </c>
      <c r="AU208">
        <v>768536.4</v>
      </c>
      <c r="AV208">
        <v>42552000</v>
      </c>
      <c r="AW208">
        <v>768536.4</v>
      </c>
    </row>
    <row r="209" spans="1:49" hidden="1" x14ac:dyDescent="0.35">
      <c r="A209">
        <v>5800910</v>
      </c>
      <c r="B209">
        <v>1170005800901</v>
      </c>
      <c r="D209">
        <v>30707778136</v>
      </c>
      <c r="E209" t="s">
        <v>486</v>
      </c>
      <c r="F209" t="s">
        <v>1</v>
      </c>
      <c r="G209" t="s">
        <v>226</v>
      </c>
      <c r="H209" t="s">
        <v>63</v>
      </c>
      <c r="I209">
        <v>2535</v>
      </c>
      <c r="J209">
        <v>12</v>
      </c>
      <c r="K209" t="s">
        <v>34</v>
      </c>
      <c r="L209">
        <v>83429</v>
      </c>
      <c r="M209" t="s">
        <v>140</v>
      </c>
      <c r="N209">
        <v>1</v>
      </c>
      <c r="O209" t="s">
        <v>119</v>
      </c>
      <c r="P209" t="s">
        <v>496</v>
      </c>
      <c r="Q209">
        <v>747221</v>
      </c>
      <c r="R209">
        <v>41370000</v>
      </c>
      <c r="S209">
        <v>30</v>
      </c>
      <c r="T209">
        <v>1379000</v>
      </c>
      <c r="U209">
        <v>1</v>
      </c>
      <c r="V209">
        <v>1</v>
      </c>
      <c r="W209" t="s">
        <v>127</v>
      </c>
      <c r="X209">
        <v>19700</v>
      </c>
      <c r="Y209">
        <v>747221</v>
      </c>
      <c r="Z209">
        <v>41370000</v>
      </c>
      <c r="AA209">
        <v>1379000</v>
      </c>
      <c r="AB209">
        <v>212</v>
      </c>
      <c r="AC209" s="34">
        <v>45917</v>
      </c>
      <c r="AD209" s="34">
        <v>46142</v>
      </c>
      <c r="AF209">
        <v>0</v>
      </c>
      <c r="AG209">
        <v>2316326</v>
      </c>
      <c r="AH209">
        <v>0</v>
      </c>
      <c r="AI209">
        <v>2316326</v>
      </c>
      <c r="AJ209">
        <v>0</v>
      </c>
      <c r="AK209">
        <v>0</v>
      </c>
      <c r="AL209">
        <v>592979.46</v>
      </c>
      <c r="AM209">
        <v>0</v>
      </c>
      <c r="AN209">
        <v>2909305.46</v>
      </c>
      <c r="AO209" t="s">
        <v>122</v>
      </c>
      <c r="AP209">
        <v>15</v>
      </c>
      <c r="AQ209">
        <v>347448.9</v>
      </c>
      <c r="AR209">
        <v>347448.9</v>
      </c>
      <c r="AT209">
        <v>24822000</v>
      </c>
      <c r="AU209">
        <v>448332.6</v>
      </c>
      <c r="AV209">
        <v>24822000</v>
      </c>
      <c r="AW209">
        <v>448332.6</v>
      </c>
    </row>
    <row r="210" spans="1:49" hidden="1" x14ac:dyDescent="0.35">
      <c r="A210">
        <v>5800910</v>
      </c>
      <c r="B210">
        <v>1170005800901</v>
      </c>
      <c r="D210">
        <v>30707778136</v>
      </c>
      <c r="E210" t="s">
        <v>486</v>
      </c>
      <c r="F210" t="s">
        <v>1</v>
      </c>
      <c r="G210" t="s">
        <v>226</v>
      </c>
      <c r="H210" t="s">
        <v>63</v>
      </c>
      <c r="I210">
        <v>2535</v>
      </c>
      <c r="J210">
        <v>12</v>
      </c>
      <c r="K210" t="s">
        <v>34</v>
      </c>
      <c r="L210">
        <v>83429</v>
      </c>
      <c r="M210" t="s">
        <v>140</v>
      </c>
      <c r="N210">
        <v>2</v>
      </c>
      <c r="O210" t="s">
        <v>119</v>
      </c>
      <c r="P210" t="s">
        <v>497</v>
      </c>
      <c r="Q210">
        <v>946388</v>
      </c>
      <c r="R210">
        <v>52402000</v>
      </c>
      <c r="S210">
        <v>38</v>
      </c>
      <c r="T210">
        <v>1379000</v>
      </c>
      <c r="U210">
        <v>1</v>
      </c>
      <c r="V210">
        <v>1</v>
      </c>
      <c r="W210" t="s">
        <v>127</v>
      </c>
      <c r="X210">
        <v>19700</v>
      </c>
      <c r="Y210">
        <v>946388</v>
      </c>
      <c r="Z210">
        <v>52402000</v>
      </c>
      <c r="AA210">
        <v>1379000</v>
      </c>
      <c r="AB210">
        <v>212</v>
      </c>
      <c r="AC210" s="34">
        <v>45917</v>
      </c>
      <c r="AD210" s="34">
        <v>46142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 t="s">
        <v>122</v>
      </c>
      <c r="AT210">
        <v>31441200</v>
      </c>
      <c r="AU210">
        <v>567832.80000000005</v>
      </c>
      <c r="AV210">
        <v>31441200</v>
      </c>
      <c r="AW210">
        <v>567832.80000000005</v>
      </c>
    </row>
    <row r="211" spans="1:49" hidden="1" x14ac:dyDescent="0.35">
      <c r="A211">
        <v>5800910</v>
      </c>
      <c r="B211">
        <v>1170005800901</v>
      </c>
      <c r="D211">
        <v>30707778136</v>
      </c>
      <c r="E211" t="s">
        <v>486</v>
      </c>
      <c r="F211" t="s">
        <v>1</v>
      </c>
      <c r="G211" t="s">
        <v>226</v>
      </c>
      <c r="H211" t="s">
        <v>63</v>
      </c>
      <c r="I211">
        <v>2535</v>
      </c>
      <c r="J211">
        <v>12</v>
      </c>
      <c r="K211" t="s">
        <v>34</v>
      </c>
      <c r="L211">
        <v>83429</v>
      </c>
      <c r="M211" t="s">
        <v>140</v>
      </c>
      <c r="N211">
        <v>3</v>
      </c>
      <c r="O211" t="s">
        <v>119</v>
      </c>
      <c r="P211" t="s">
        <v>498</v>
      </c>
      <c r="Q211">
        <v>622717</v>
      </c>
      <c r="R211">
        <v>34475000</v>
      </c>
      <c r="S211">
        <v>25</v>
      </c>
      <c r="T211">
        <v>1379000</v>
      </c>
      <c r="U211">
        <v>1</v>
      </c>
      <c r="V211">
        <v>1</v>
      </c>
      <c r="W211" t="s">
        <v>127</v>
      </c>
      <c r="X211">
        <v>19700</v>
      </c>
      <c r="Y211">
        <v>622717</v>
      </c>
      <c r="Z211">
        <v>34475000</v>
      </c>
      <c r="AA211">
        <v>1379000</v>
      </c>
      <c r="AB211">
        <v>212</v>
      </c>
      <c r="AC211" s="34">
        <v>45917</v>
      </c>
      <c r="AD211" s="34">
        <v>46142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 t="s">
        <v>122</v>
      </c>
      <c r="AT211">
        <v>20685000</v>
      </c>
      <c r="AU211">
        <v>373630.2</v>
      </c>
      <c r="AV211">
        <v>20685000</v>
      </c>
      <c r="AW211">
        <v>373630.2</v>
      </c>
    </row>
    <row r="212" spans="1:49" hidden="1" x14ac:dyDescent="0.35">
      <c r="A212">
        <v>5801010</v>
      </c>
      <c r="B212">
        <v>1070005801001</v>
      </c>
      <c r="D212">
        <v>30717836592</v>
      </c>
      <c r="E212" t="s">
        <v>391</v>
      </c>
      <c r="F212" t="s">
        <v>1</v>
      </c>
      <c r="G212" t="s">
        <v>24</v>
      </c>
      <c r="H212" t="s">
        <v>24</v>
      </c>
      <c r="I212">
        <v>6070</v>
      </c>
      <c r="J212">
        <v>1</v>
      </c>
      <c r="K212" t="s">
        <v>16</v>
      </c>
      <c r="L212">
        <v>9056</v>
      </c>
      <c r="M212" t="s">
        <v>326</v>
      </c>
      <c r="N212">
        <v>1</v>
      </c>
      <c r="O212" t="s">
        <v>119</v>
      </c>
      <c r="P212" t="s">
        <v>499</v>
      </c>
      <c r="Q212">
        <v>3058.83</v>
      </c>
      <c r="R212">
        <v>134750</v>
      </c>
      <c r="S212">
        <v>385</v>
      </c>
      <c r="T212">
        <v>350</v>
      </c>
      <c r="U212">
        <v>26</v>
      </c>
      <c r="V212">
        <v>1467</v>
      </c>
      <c r="W212" t="s">
        <v>121</v>
      </c>
      <c r="X212" t="s">
        <v>1</v>
      </c>
      <c r="Y212">
        <v>4487303.6100000003</v>
      </c>
      <c r="Z212">
        <v>197678250</v>
      </c>
      <c r="AA212">
        <v>513450</v>
      </c>
      <c r="AB212">
        <v>106</v>
      </c>
      <c r="AC212" s="34">
        <v>45907</v>
      </c>
      <c r="AD212" s="34">
        <v>46188</v>
      </c>
      <c r="AF212">
        <v>0</v>
      </c>
      <c r="AG212">
        <v>3058.83</v>
      </c>
      <c r="AH212">
        <v>0</v>
      </c>
      <c r="AI212">
        <v>4487303.6100000003</v>
      </c>
      <c r="AJ212">
        <v>0</v>
      </c>
      <c r="AK212">
        <v>0</v>
      </c>
      <c r="AL212">
        <v>1126289.25</v>
      </c>
      <c r="AM212">
        <v>0</v>
      </c>
      <c r="AN212">
        <v>5613592.8600000003</v>
      </c>
      <c r="AO212" t="s">
        <v>122</v>
      </c>
      <c r="AP212">
        <v>15</v>
      </c>
      <c r="AQ212">
        <v>458.82</v>
      </c>
      <c r="AR212">
        <v>673088.94</v>
      </c>
      <c r="AT212">
        <v>80850</v>
      </c>
      <c r="AU212">
        <v>1835.3</v>
      </c>
      <c r="AV212">
        <v>118606950</v>
      </c>
      <c r="AW212">
        <v>2692385.1</v>
      </c>
    </row>
    <row r="213" spans="1:49" hidden="1" x14ac:dyDescent="0.35">
      <c r="A213">
        <v>5801110</v>
      </c>
      <c r="B213">
        <v>1070005801101</v>
      </c>
      <c r="D213">
        <v>30533907055</v>
      </c>
      <c r="E213" t="s">
        <v>393</v>
      </c>
      <c r="F213" t="s">
        <v>1</v>
      </c>
      <c r="G213" t="s">
        <v>24</v>
      </c>
      <c r="H213" t="s">
        <v>24</v>
      </c>
      <c r="I213">
        <v>6070</v>
      </c>
      <c r="J213">
        <v>1</v>
      </c>
      <c r="K213" t="s">
        <v>16</v>
      </c>
      <c r="L213">
        <v>9056</v>
      </c>
      <c r="M213" t="s">
        <v>326</v>
      </c>
      <c r="N213">
        <v>1</v>
      </c>
      <c r="O213" t="s">
        <v>119</v>
      </c>
      <c r="P213" t="s">
        <v>500</v>
      </c>
      <c r="Q213">
        <v>1310.93</v>
      </c>
      <c r="R213">
        <v>57750</v>
      </c>
      <c r="S213">
        <v>385</v>
      </c>
      <c r="T213">
        <v>150</v>
      </c>
      <c r="U213">
        <v>26</v>
      </c>
      <c r="V213">
        <v>1467</v>
      </c>
      <c r="W213" t="s">
        <v>121</v>
      </c>
      <c r="X213" t="s">
        <v>1</v>
      </c>
      <c r="Y213">
        <v>1923134.31</v>
      </c>
      <c r="Z213">
        <v>84719250</v>
      </c>
      <c r="AA213">
        <v>220050</v>
      </c>
      <c r="AB213">
        <v>106</v>
      </c>
      <c r="AC213" s="34">
        <v>45907</v>
      </c>
      <c r="AD213" s="34">
        <v>46188</v>
      </c>
      <c r="AF213">
        <v>0</v>
      </c>
      <c r="AG213">
        <v>1310.93</v>
      </c>
      <c r="AH213">
        <v>0</v>
      </c>
      <c r="AI213">
        <v>1923134.31</v>
      </c>
      <c r="AJ213">
        <v>0</v>
      </c>
      <c r="AK213">
        <v>0</v>
      </c>
      <c r="AL213">
        <v>482716.35</v>
      </c>
      <c r="AM213">
        <v>0</v>
      </c>
      <c r="AN213">
        <v>2405850.66</v>
      </c>
      <c r="AO213" t="s">
        <v>122</v>
      </c>
      <c r="AP213">
        <v>15</v>
      </c>
      <c r="AQ213">
        <v>196.64</v>
      </c>
      <c r="AR213">
        <v>288470.88</v>
      </c>
      <c r="AT213">
        <v>34650</v>
      </c>
      <c r="AU213">
        <v>786.56</v>
      </c>
      <c r="AV213">
        <v>50831550</v>
      </c>
      <c r="AW213">
        <v>1153883.52</v>
      </c>
    </row>
    <row r="214" spans="1:49" hidden="1" x14ac:dyDescent="0.35">
      <c r="A214">
        <v>5801210</v>
      </c>
      <c r="B214">
        <v>1170005801201</v>
      </c>
      <c r="D214">
        <v>20326418367</v>
      </c>
      <c r="E214" t="s">
        <v>501</v>
      </c>
      <c r="F214" t="s">
        <v>1</v>
      </c>
      <c r="G214" t="s">
        <v>198</v>
      </c>
      <c r="H214" t="s">
        <v>28</v>
      </c>
      <c r="I214">
        <v>2914</v>
      </c>
      <c r="J214">
        <v>1</v>
      </c>
      <c r="K214" t="s">
        <v>16</v>
      </c>
      <c r="L214">
        <v>8105</v>
      </c>
      <c r="M214" t="s">
        <v>199</v>
      </c>
      <c r="N214">
        <v>1</v>
      </c>
      <c r="O214" t="s">
        <v>125</v>
      </c>
      <c r="P214" t="s">
        <v>502</v>
      </c>
      <c r="Q214">
        <v>260409.60000000001</v>
      </c>
      <c r="R214">
        <v>10505160</v>
      </c>
      <c r="S214">
        <v>71</v>
      </c>
      <c r="T214">
        <v>147960</v>
      </c>
      <c r="U214">
        <v>1</v>
      </c>
      <c r="V214">
        <v>1</v>
      </c>
      <c r="W214" t="s">
        <v>127</v>
      </c>
      <c r="X214">
        <v>24660</v>
      </c>
      <c r="Y214">
        <v>260409.60000000001</v>
      </c>
      <c r="Z214">
        <v>10505160</v>
      </c>
      <c r="AA214">
        <v>147960</v>
      </c>
      <c r="AB214">
        <v>105</v>
      </c>
      <c r="AC214" s="34">
        <v>45915</v>
      </c>
      <c r="AD214" s="34">
        <v>46022</v>
      </c>
      <c r="AF214">
        <v>0</v>
      </c>
      <c r="AG214">
        <v>260409.60000000001</v>
      </c>
      <c r="AH214">
        <v>0</v>
      </c>
      <c r="AI214">
        <v>260409.60000000001</v>
      </c>
      <c r="AJ214">
        <v>0</v>
      </c>
      <c r="AK214">
        <v>0</v>
      </c>
      <c r="AL214">
        <v>65362.82</v>
      </c>
      <c r="AM214">
        <v>0</v>
      </c>
      <c r="AN214">
        <v>325772.42</v>
      </c>
      <c r="AO214" t="s">
        <v>122</v>
      </c>
      <c r="AP214">
        <v>12</v>
      </c>
      <c r="AQ214">
        <v>31249.15</v>
      </c>
      <c r="AR214">
        <v>31249.15</v>
      </c>
      <c r="AT214">
        <v>6303096</v>
      </c>
      <c r="AU214">
        <v>156245.76000000001</v>
      </c>
      <c r="AV214">
        <v>6303096</v>
      </c>
      <c r="AW214">
        <v>156245.76000000001</v>
      </c>
    </row>
    <row r="215" spans="1:49" hidden="1" x14ac:dyDescent="0.35">
      <c r="A215">
        <v>5801310</v>
      </c>
      <c r="B215">
        <v>1170005801301</v>
      </c>
      <c r="D215">
        <v>20403587657</v>
      </c>
      <c r="E215" t="s">
        <v>503</v>
      </c>
      <c r="F215" t="s">
        <v>1</v>
      </c>
      <c r="G215" t="s">
        <v>504</v>
      </c>
      <c r="H215" t="s">
        <v>297</v>
      </c>
      <c r="I215">
        <v>2107</v>
      </c>
      <c r="J215">
        <v>12</v>
      </c>
      <c r="K215" t="s">
        <v>34</v>
      </c>
      <c r="L215">
        <v>10987</v>
      </c>
      <c r="M215" t="s">
        <v>298</v>
      </c>
      <c r="N215">
        <v>1</v>
      </c>
      <c r="O215" t="s">
        <v>119</v>
      </c>
      <c r="P215" t="s">
        <v>505</v>
      </c>
      <c r="Q215">
        <v>1047005.75</v>
      </c>
      <c r="R215">
        <v>34475000</v>
      </c>
      <c r="S215">
        <v>25</v>
      </c>
      <c r="T215">
        <v>1379000</v>
      </c>
      <c r="U215">
        <v>1</v>
      </c>
      <c r="V215">
        <v>1</v>
      </c>
      <c r="W215" t="s">
        <v>127</v>
      </c>
      <c r="X215">
        <v>19700</v>
      </c>
      <c r="Y215">
        <v>1047005.75</v>
      </c>
      <c r="Z215">
        <v>34475000</v>
      </c>
      <c r="AA215">
        <v>1379000</v>
      </c>
      <c r="AB215">
        <v>105</v>
      </c>
      <c r="AC215" s="34">
        <v>45918</v>
      </c>
      <c r="AD215" s="34">
        <v>46142</v>
      </c>
      <c r="AF215">
        <v>0</v>
      </c>
      <c r="AG215">
        <v>1047005.75</v>
      </c>
      <c r="AH215">
        <v>0</v>
      </c>
      <c r="AI215">
        <v>1047005.75</v>
      </c>
      <c r="AJ215">
        <v>0</v>
      </c>
      <c r="AK215">
        <v>0</v>
      </c>
      <c r="AL215">
        <v>268033.46999999997</v>
      </c>
      <c r="AM215">
        <v>0</v>
      </c>
      <c r="AN215">
        <v>1315039.22</v>
      </c>
      <c r="AO215" t="s">
        <v>122</v>
      </c>
      <c r="AP215">
        <v>15</v>
      </c>
      <c r="AQ215">
        <v>157050.85999999999</v>
      </c>
      <c r="AR215">
        <v>157050.85999999999</v>
      </c>
      <c r="AT215">
        <v>20685000</v>
      </c>
      <c r="AU215">
        <v>628203.44999999995</v>
      </c>
      <c r="AV215">
        <v>20685000</v>
      </c>
      <c r="AW215">
        <v>628203.44999999995</v>
      </c>
    </row>
    <row r="216" spans="1:49" hidden="1" x14ac:dyDescent="0.35">
      <c r="A216">
        <v>5801410</v>
      </c>
      <c r="B216">
        <v>1090005801401</v>
      </c>
      <c r="D216">
        <v>30710322860</v>
      </c>
      <c r="E216" t="s">
        <v>506</v>
      </c>
      <c r="F216" t="s">
        <v>1</v>
      </c>
      <c r="G216" t="s">
        <v>388</v>
      </c>
      <c r="H216" t="s">
        <v>27</v>
      </c>
      <c r="I216">
        <v>8183</v>
      </c>
      <c r="J216">
        <v>1</v>
      </c>
      <c r="K216" t="s">
        <v>16</v>
      </c>
      <c r="L216">
        <v>6039</v>
      </c>
      <c r="M216" t="s">
        <v>274</v>
      </c>
      <c r="N216">
        <v>1</v>
      </c>
      <c r="O216" t="s">
        <v>125</v>
      </c>
      <c r="P216" t="s">
        <v>507</v>
      </c>
      <c r="Q216">
        <v>1175.6300000000001</v>
      </c>
      <c r="R216">
        <v>24750</v>
      </c>
      <c r="S216">
        <v>55</v>
      </c>
      <c r="T216">
        <v>450</v>
      </c>
      <c r="U216">
        <v>26</v>
      </c>
      <c r="V216">
        <v>1474.5</v>
      </c>
      <c r="W216" t="s">
        <v>121</v>
      </c>
      <c r="X216" t="s">
        <v>1</v>
      </c>
      <c r="Y216">
        <v>1733466.44</v>
      </c>
      <c r="Z216">
        <v>36493875</v>
      </c>
      <c r="AA216">
        <v>663525</v>
      </c>
      <c r="AB216">
        <v>106</v>
      </c>
      <c r="AC216" s="34">
        <v>45915</v>
      </c>
      <c r="AD216" s="34">
        <v>46053</v>
      </c>
      <c r="AE216" t="s">
        <v>134</v>
      </c>
      <c r="AF216">
        <v>1</v>
      </c>
      <c r="AG216">
        <v>5372.09</v>
      </c>
      <c r="AH216">
        <v>0</v>
      </c>
      <c r="AI216">
        <v>7921146.71</v>
      </c>
      <c r="AJ216">
        <v>0</v>
      </c>
      <c r="AK216">
        <v>0</v>
      </c>
      <c r="AL216">
        <v>2011970</v>
      </c>
      <c r="AM216">
        <v>0</v>
      </c>
      <c r="AN216">
        <v>9933116.6999999993</v>
      </c>
      <c r="AO216" t="s">
        <v>122</v>
      </c>
      <c r="AP216">
        <v>12</v>
      </c>
      <c r="AQ216">
        <v>644.65</v>
      </c>
      <c r="AR216">
        <v>950536.43</v>
      </c>
      <c r="AT216">
        <v>14850</v>
      </c>
      <c r="AU216">
        <v>705.38</v>
      </c>
      <c r="AV216">
        <v>21896325</v>
      </c>
      <c r="AW216">
        <v>1040082.81</v>
      </c>
    </row>
    <row r="217" spans="1:49" hidden="1" x14ac:dyDescent="0.35">
      <c r="A217">
        <v>5801410</v>
      </c>
      <c r="B217">
        <v>1090005801401</v>
      </c>
      <c r="D217">
        <v>30710322860</v>
      </c>
      <c r="E217" t="s">
        <v>506</v>
      </c>
      <c r="F217" t="s">
        <v>1</v>
      </c>
      <c r="G217" t="s">
        <v>388</v>
      </c>
      <c r="H217" t="s">
        <v>27</v>
      </c>
      <c r="I217">
        <v>8183</v>
      </c>
      <c r="J217">
        <v>1</v>
      </c>
      <c r="K217" t="s">
        <v>16</v>
      </c>
      <c r="L217">
        <v>6039</v>
      </c>
      <c r="M217" t="s">
        <v>274</v>
      </c>
      <c r="N217">
        <v>2</v>
      </c>
      <c r="O217" t="s">
        <v>125</v>
      </c>
      <c r="P217" t="s">
        <v>508</v>
      </c>
      <c r="Q217">
        <v>1795.5</v>
      </c>
      <c r="R217">
        <v>37800</v>
      </c>
      <c r="S217">
        <v>84</v>
      </c>
      <c r="T217">
        <v>450</v>
      </c>
      <c r="U217">
        <v>26</v>
      </c>
      <c r="V217">
        <v>1474.5</v>
      </c>
      <c r="W217" t="s">
        <v>121</v>
      </c>
      <c r="X217" t="s">
        <v>1</v>
      </c>
      <c r="Y217">
        <v>2647464.75</v>
      </c>
      <c r="Z217">
        <v>55736100</v>
      </c>
      <c r="AA217">
        <v>663525</v>
      </c>
      <c r="AB217">
        <v>106</v>
      </c>
      <c r="AC217" s="34">
        <v>45915</v>
      </c>
      <c r="AD217" s="34">
        <v>46053</v>
      </c>
      <c r="AE217" t="s">
        <v>134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 t="s">
        <v>122</v>
      </c>
      <c r="AT217">
        <v>22680</v>
      </c>
      <c r="AU217">
        <v>1077.3</v>
      </c>
      <c r="AV217">
        <v>33441660</v>
      </c>
      <c r="AW217">
        <v>1588478.85</v>
      </c>
    </row>
    <row r="218" spans="1:49" hidden="1" x14ac:dyDescent="0.35">
      <c r="A218">
        <v>5801410</v>
      </c>
      <c r="B218">
        <v>1090005801401</v>
      </c>
      <c r="D218">
        <v>30710322860</v>
      </c>
      <c r="E218" t="s">
        <v>506</v>
      </c>
      <c r="F218" t="s">
        <v>1</v>
      </c>
      <c r="G218" t="s">
        <v>388</v>
      </c>
      <c r="H218" t="s">
        <v>27</v>
      </c>
      <c r="I218">
        <v>8183</v>
      </c>
      <c r="J218">
        <v>1</v>
      </c>
      <c r="K218" t="s">
        <v>16</v>
      </c>
      <c r="L218">
        <v>6039</v>
      </c>
      <c r="M218" t="s">
        <v>274</v>
      </c>
      <c r="N218">
        <v>3</v>
      </c>
      <c r="O218" t="s">
        <v>125</v>
      </c>
      <c r="P218" t="s">
        <v>509</v>
      </c>
      <c r="Q218">
        <v>1327.36</v>
      </c>
      <c r="R218">
        <v>27200</v>
      </c>
      <c r="S218">
        <v>68</v>
      </c>
      <c r="T218">
        <v>400</v>
      </c>
      <c r="U218">
        <v>26</v>
      </c>
      <c r="V218">
        <v>1474.5</v>
      </c>
      <c r="W218" t="s">
        <v>121</v>
      </c>
      <c r="X218" t="s">
        <v>1</v>
      </c>
      <c r="Y218">
        <v>1957192.32</v>
      </c>
      <c r="Z218">
        <v>40106400</v>
      </c>
      <c r="AA218">
        <v>589800</v>
      </c>
      <c r="AB218">
        <v>106</v>
      </c>
      <c r="AC218" s="34">
        <v>45915</v>
      </c>
      <c r="AD218" s="34">
        <v>46053</v>
      </c>
      <c r="AE218" t="s">
        <v>134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 t="s">
        <v>122</v>
      </c>
      <c r="AT218">
        <v>16320</v>
      </c>
      <c r="AU218">
        <v>796.42</v>
      </c>
      <c r="AV218">
        <v>24063840</v>
      </c>
      <c r="AW218">
        <v>1174321.29</v>
      </c>
    </row>
    <row r="219" spans="1:49" hidden="1" x14ac:dyDescent="0.35">
      <c r="A219">
        <v>5801410</v>
      </c>
      <c r="B219">
        <v>1090005801401</v>
      </c>
      <c r="D219">
        <v>30710322860</v>
      </c>
      <c r="E219" t="s">
        <v>506</v>
      </c>
      <c r="F219" t="s">
        <v>1</v>
      </c>
      <c r="G219" t="s">
        <v>273</v>
      </c>
      <c r="H219" t="s">
        <v>19</v>
      </c>
      <c r="I219">
        <v>8185</v>
      </c>
      <c r="J219">
        <v>1</v>
      </c>
      <c r="K219" t="s">
        <v>16</v>
      </c>
      <c r="L219">
        <v>6039</v>
      </c>
      <c r="M219" t="s">
        <v>274</v>
      </c>
      <c r="N219">
        <v>4</v>
      </c>
      <c r="O219" t="s">
        <v>125</v>
      </c>
      <c r="P219" t="s">
        <v>510</v>
      </c>
      <c r="Q219">
        <v>1073.5999999999999</v>
      </c>
      <c r="R219">
        <v>22000</v>
      </c>
      <c r="S219">
        <v>55</v>
      </c>
      <c r="T219">
        <v>400</v>
      </c>
      <c r="U219">
        <v>26</v>
      </c>
      <c r="V219">
        <v>1474.5</v>
      </c>
      <c r="W219" t="s">
        <v>121</v>
      </c>
      <c r="X219" t="s">
        <v>1</v>
      </c>
      <c r="Y219">
        <v>1583023.2</v>
      </c>
      <c r="Z219">
        <v>32439000</v>
      </c>
      <c r="AA219">
        <v>589800</v>
      </c>
      <c r="AB219">
        <v>106</v>
      </c>
      <c r="AC219" s="34">
        <v>45915</v>
      </c>
      <c r="AD219" s="34">
        <v>46053</v>
      </c>
      <c r="AE219" t="s">
        <v>134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 t="s">
        <v>122</v>
      </c>
      <c r="AT219">
        <v>13200</v>
      </c>
      <c r="AU219">
        <v>644.16</v>
      </c>
      <c r="AV219">
        <v>19463400</v>
      </c>
      <c r="AW219">
        <v>949813.92</v>
      </c>
    </row>
    <row r="220" spans="1:49" hidden="1" x14ac:dyDescent="0.35">
      <c r="A220">
        <v>5801510</v>
      </c>
      <c r="B220">
        <v>5010005801501</v>
      </c>
      <c r="D220">
        <v>30715694715</v>
      </c>
      <c r="E220" t="s">
        <v>511</v>
      </c>
      <c r="F220" t="s">
        <v>1</v>
      </c>
      <c r="G220" t="s">
        <v>42</v>
      </c>
      <c r="H220" t="s">
        <v>42</v>
      </c>
      <c r="I220">
        <v>6450</v>
      </c>
      <c r="J220">
        <v>1</v>
      </c>
      <c r="K220" t="s">
        <v>16</v>
      </c>
      <c r="L220">
        <v>11014</v>
      </c>
      <c r="M220" t="s">
        <v>232</v>
      </c>
      <c r="N220">
        <v>1</v>
      </c>
      <c r="O220" t="s">
        <v>125</v>
      </c>
      <c r="P220" t="s">
        <v>512</v>
      </c>
      <c r="Q220">
        <v>2295</v>
      </c>
      <c r="R220">
        <v>54000</v>
      </c>
      <c r="S220">
        <v>90</v>
      </c>
      <c r="T220">
        <v>600</v>
      </c>
      <c r="U220">
        <v>26</v>
      </c>
      <c r="V220">
        <v>1474.5</v>
      </c>
      <c r="W220" t="s">
        <v>121</v>
      </c>
      <c r="X220" t="s">
        <v>1</v>
      </c>
      <c r="Y220">
        <v>3383977.5</v>
      </c>
      <c r="Z220">
        <v>79623000</v>
      </c>
      <c r="AA220">
        <v>884700</v>
      </c>
      <c r="AB220">
        <v>214</v>
      </c>
      <c r="AC220" s="34">
        <v>45908</v>
      </c>
      <c r="AD220" s="34">
        <v>46022</v>
      </c>
      <c r="AE220" t="s">
        <v>134</v>
      </c>
      <c r="AF220">
        <v>0</v>
      </c>
      <c r="AG220">
        <v>4156.5</v>
      </c>
      <c r="AH220">
        <v>0</v>
      </c>
      <c r="AI220">
        <v>6128759.25</v>
      </c>
      <c r="AJ220">
        <v>0</v>
      </c>
      <c r="AK220">
        <v>0</v>
      </c>
      <c r="AL220">
        <v>1538331.11</v>
      </c>
      <c r="AM220">
        <v>0</v>
      </c>
      <c r="AN220">
        <v>7667090.3600000003</v>
      </c>
      <c r="AO220" t="s">
        <v>122</v>
      </c>
      <c r="AP220">
        <v>15</v>
      </c>
      <c r="AQ220">
        <v>623.48</v>
      </c>
      <c r="AR220">
        <v>919321.26</v>
      </c>
      <c r="AT220">
        <v>32400</v>
      </c>
      <c r="AU220">
        <v>1377</v>
      </c>
      <c r="AV220">
        <v>47773800</v>
      </c>
      <c r="AW220">
        <v>2030386.5</v>
      </c>
    </row>
    <row r="221" spans="1:49" hidden="1" x14ac:dyDescent="0.35">
      <c r="A221">
        <v>5801510</v>
      </c>
      <c r="B221">
        <v>5010005801501</v>
      </c>
      <c r="D221">
        <v>30715694715</v>
      </c>
      <c r="E221" t="s">
        <v>511</v>
      </c>
      <c r="F221" t="s">
        <v>1</v>
      </c>
      <c r="G221" t="s">
        <v>42</v>
      </c>
      <c r="H221" t="s">
        <v>42</v>
      </c>
      <c r="I221">
        <v>6450</v>
      </c>
      <c r="J221">
        <v>1</v>
      </c>
      <c r="K221" t="s">
        <v>16</v>
      </c>
      <c r="L221">
        <v>11014</v>
      </c>
      <c r="M221" t="s">
        <v>232</v>
      </c>
      <c r="N221">
        <v>2</v>
      </c>
      <c r="O221" t="s">
        <v>125</v>
      </c>
      <c r="P221" t="s">
        <v>513</v>
      </c>
      <c r="Q221">
        <v>1861.5</v>
      </c>
      <c r="R221">
        <v>43800</v>
      </c>
      <c r="S221">
        <v>73</v>
      </c>
      <c r="T221">
        <v>600</v>
      </c>
      <c r="U221">
        <v>26</v>
      </c>
      <c r="V221">
        <v>1474.5</v>
      </c>
      <c r="W221" t="s">
        <v>121</v>
      </c>
      <c r="X221" t="s">
        <v>1</v>
      </c>
      <c r="Y221">
        <v>2744781.75</v>
      </c>
      <c r="Z221">
        <v>64583100</v>
      </c>
      <c r="AA221">
        <v>884700</v>
      </c>
      <c r="AB221">
        <v>214</v>
      </c>
      <c r="AC221" s="34">
        <v>45908</v>
      </c>
      <c r="AD221" s="34">
        <v>46022</v>
      </c>
      <c r="AE221" t="s">
        <v>134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 t="s">
        <v>122</v>
      </c>
      <c r="AT221">
        <v>26280</v>
      </c>
      <c r="AU221">
        <v>1116.9000000000001</v>
      </c>
      <c r="AV221">
        <v>38749860</v>
      </c>
      <c r="AW221">
        <v>1646869.05</v>
      </c>
    </row>
    <row r="222" spans="1:49" hidden="1" x14ac:dyDescent="0.35">
      <c r="A222">
        <v>5801610</v>
      </c>
      <c r="B222">
        <v>5010005801601</v>
      </c>
      <c r="D222">
        <v>30715694715</v>
      </c>
      <c r="E222" t="s">
        <v>511</v>
      </c>
      <c r="F222" t="s">
        <v>1</v>
      </c>
      <c r="G222" t="s">
        <v>360</v>
      </c>
      <c r="H222" t="s">
        <v>61</v>
      </c>
      <c r="I222">
        <v>2600</v>
      </c>
      <c r="J222">
        <v>12</v>
      </c>
      <c r="K222" t="s">
        <v>34</v>
      </c>
      <c r="L222">
        <v>11014</v>
      </c>
      <c r="M222" t="s">
        <v>232</v>
      </c>
      <c r="N222">
        <v>1</v>
      </c>
      <c r="O222" t="s">
        <v>125</v>
      </c>
      <c r="P222" t="s">
        <v>514</v>
      </c>
      <c r="Q222">
        <v>699.96</v>
      </c>
      <c r="R222">
        <v>22800</v>
      </c>
      <c r="S222">
        <v>38</v>
      </c>
      <c r="T222">
        <v>600</v>
      </c>
      <c r="U222">
        <v>26</v>
      </c>
      <c r="V222">
        <v>1474.5</v>
      </c>
      <c r="W222" t="s">
        <v>121</v>
      </c>
      <c r="X222" t="s">
        <v>1</v>
      </c>
      <c r="Y222">
        <v>1032091.02</v>
      </c>
      <c r="Z222">
        <v>33618600</v>
      </c>
      <c r="AA222">
        <v>884700</v>
      </c>
      <c r="AB222">
        <v>214</v>
      </c>
      <c r="AC222" s="34">
        <v>45908</v>
      </c>
      <c r="AD222" s="34">
        <v>46022</v>
      </c>
      <c r="AF222">
        <v>0</v>
      </c>
      <c r="AG222">
        <v>5219</v>
      </c>
      <c r="AH222">
        <v>0</v>
      </c>
      <c r="AI222">
        <v>7695415.5</v>
      </c>
      <c r="AJ222">
        <v>0</v>
      </c>
      <c r="AK222">
        <v>0</v>
      </c>
      <c r="AL222">
        <v>1970035.22</v>
      </c>
      <c r="AM222">
        <v>0</v>
      </c>
      <c r="AN222">
        <v>9665450.7200000007</v>
      </c>
      <c r="AO222" t="s">
        <v>122</v>
      </c>
      <c r="AP222">
        <v>15</v>
      </c>
      <c r="AQ222">
        <v>782.85</v>
      </c>
      <c r="AR222">
        <v>1154312.33</v>
      </c>
      <c r="AT222">
        <v>13680</v>
      </c>
      <c r="AU222">
        <v>419.98</v>
      </c>
      <c r="AV222">
        <v>20171160</v>
      </c>
      <c r="AW222">
        <v>619260.51</v>
      </c>
    </row>
    <row r="223" spans="1:49" hidden="1" x14ac:dyDescent="0.35">
      <c r="A223">
        <v>5801610</v>
      </c>
      <c r="B223">
        <v>5010005801601</v>
      </c>
      <c r="D223">
        <v>30715694715</v>
      </c>
      <c r="E223" t="s">
        <v>511</v>
      </c>
      <c r="F223" t="s">
        <v>1</v>
      </c>
      <c r="G223" t="s">
        <v>360</v>
      </c>
      <c r="H223" t="s">
        <v>61</v>
      </c>
      <c r="I223">
        <v>2600</v>
      </c>
      <c r="J223">
        <v>12</v>
      </c>
      <c r="K223" t="s">
        <v>34</v>
      </c>
      <c r="L223">
        <v>11014</v>
      </c>
      <c r="M223" t="s">
        <v>232</v>
      </c>
      <c r="N223">
        <v>2</v>
      </c>
      <c r="O223" t="s">
        <v>125</v>
      </c>
      <c r="P223" t="s">
        <v>515</v>
      </c>
      <c r="Q223">
        <v>1620.96</v>
      </c>
      <c r="R223">
        <v>52800</v>
      </c>
      <c r="S223">
        <v>88</v>
      </c>
      <c r="T223">
        <v>600</v>
      </c>
      <c r="U223">
        <v>26</v>
      </c>
      <c r="V223">
        <v>1474.5</v>
      </c>
      <c r="W223" t="s">
        <v>121</v>
      </c>
      <c r="X223" t="s">
        <v>1</v>
      </c>
      <c r="Y223">
        <v>2390105.52</v>
      </c>
      <c r="Z223">
        <v>77853600</v>
      </c>
      <c r="AA223">
        <v>884700</v>
      </c>
      <c r="AB223">
        <v>214</v>
      </c>
      <c r="AC223" s="34">
        <v>45908</v>
      </c>
      <c r="AD223" s="34">
        <v>46022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 t="s">
        <v>122</v>
      </c>
      <c r="AT223">
        <v>31680</v>
      </c>
      <c r="AU223">
        <v>972.58</v>
      </c>
      <c r="AV223">
        <v>46712160</v>
      </c>
      <c r="AW223">
        <v>1434069.21</v>
      </c>
    </row>
    <row r="224" spans="1:49" hidden="1" x14ac:dyDescent="0.35">
      <c r="A224">
        <v>5801610</v>
      </c>
      <c r="B224">
        <v>5010005801601</v>
      </c>
      <c r="D224">
        <v>30715694715</v>
      </c>
      <c r="E224" t="s">
        <v>511</v>
      </c>
      <c r="F224" t="s">
        <v>1</v>
      </c>
      <c r="G224" t="s">
        <v>360</v>
      </c>
      <c r="H224" t="s">
        <v>61</v>
      </c>
      <c r="I224">
        <v>2600</v>
      </c>
      <c r="J224">
        <v>12</v>
      </c>
      <c r="K224" t="s">
        <v>34</v>
      </c>
      <c r="L224">
        <v>11014</v>
      </c>
      <c r="M224" t="s">
        <v>232</v>
      </c>
      <c r="N224">
        <v>3</v>
      </c>
      <c r="O224" t="s">
        <v>125</v>
      </c>
      <c r="P224" t="s">
        <v>516</v>
      </c>
      <c r="Q224">
        <v>2898.08</v>
      </c>
      <c r="R224">
        <v>94400</v>
      </c>
      <c r="S224">
        <v>236</v>
      </c>
      <c r="T224">
        <v>400</v>
      </c>
      <c r="U224">
        <v>26</v>
      </c>
      <c r="V224">
        <v>1474.5</v>
      </c>
      <c r="W224" t="s">
        <v>121</v>
      </c>
      <c r="X224" t="s">
        <v>1</v>
      </c>
      <c r="Y224">
        <v>4273218.96</v>
      </c>
      <c r="Z224">
        <v>139192800</v>
      </c>
      <c r="AA224">
        <v>589800</v>
      </c>
      <c r="AB224">
        <v>214</v>
      </c>
      <c r="AC224" s="34">
        <v>45908</v>
      </c>
      <c r="AD224" s="34">
        <v>46022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 t="s">
        <v>122</v>
      </c>
      <c r="AT224">
        <v>56640</v>
      </c>
      <c r="AU224">
        <v>1738.85</v>
      </c>
      <c r="AV224">
        <v>83515680</v>
      </c>
      <c r="AW224">
        <v>2563934.33</v>
      </c>
    </row>
    <row r="225" spans="1:49" hidden="1" x14ac:dyDescent="0.35">
      <c r="A225">
        <v>5801710</v>
      </c>
      <c r="B225">
        <v>1250005801701</v>
      </c>
      <c r="D225">
        <v>20226164724</v>
      </c>
      <c r="E225" t="s">
        <v>517</v>
      </c>
      <c r="F225" t="s">
        <v>1</v>
      </c>
      <c r="G225" t="s">
        <v>174</v>
      </c>
      <c r="H225" t="s">
        <v>51</v>
      </c>
      <c r="I225">
        <v>5929</v>
      </c>
      <c r="J225">
        <v>3</v>
      </c>
      <c r="K225" t="s">
        <v>32</v>
      </c>
      <c r="L225">
        <v>6435</v>
      </c>
      <c r="M225" t="s">
        <v>175</v>
      </c>
      <c r="N225">
        <v>1</v>
      </c>
      <c r="O225" t="s">
        <v>125</v>
      </c>
      <c r="P225" t="s">
        <v>518</v>
      </c>
      <c r="Q225">
        <v>905515.2</v>
      </c>
      <c r="R225">
        <v>16645500</v>
      </c>
      <c r="S225">
        <v>45</v>
      </c>
      <c r="T225">
        <v>369900</v>
      </c>
      <c r="U225">
        <v>1</v>
      </c>
      <c r="V225">
        <v>1</v>
      </c>
      <c r="W225" t="s">
        <v>127</v>
      </c>
      <c r="X225">
        <v>24660</v>
      </c>
      <c r="Y225">
        <v>905515.2</v>
      </c>
      <c r="Z225">
        <v>16645500</v>
      </c>
      <c r="AA225">
        <v>369900</v>
      </c>
      <c r="AB225">
        <v>105</v>
      </c>
      <c r="AC225" s="34">
        <v>45914</v>
      </c>
      <c r="AD225" s="34">
        <v>46022</v>
      </c>
      <c r="AF225">
        <v>0</v>
      </c>
      <c r="AG225">
        <v>905515.2</v>
      </c>
      <c r="AH225">
        <v>0</v>
      </c>
      <c r="AI225">
        <v>905515.2</v>
      </c>
      <c r="AJ225">
        <v>0</v>
      </c>
      <c r="AK225">
        <v>0</v>
      </c>
      <c r="AL225">
        <v>236339.48</v>
      </c>
      <c r="AM225">
        <v>0</v>
      </c>
      <c r="AN225">
        <v>1141854.68</v>
      </c>
      <c r="AO225" t="s">
        <v>122</v>
      </c>
      <c r="AP225">
        <v>15</v>
      </c>
      <c r="AQ225">
        <v>135827.28</v>
      </c>
      <c r="AR225">
        <v>135827.28</v>
      </c>
      <c r="AT225">
        <v>9987300</v>
      </c>
      <c r="AU225">
        <v>543309.12</v>
      </c>
      <c r="AV225">
        <v>9987300</v>
      </c>
      <c r="AW225">
        <v>543309.12</v>
      </c>
    </row>
    <row r="226" spans="1:49" hidden="1" x14ac:dyDescent="0.35">
      <c r="A226">
        <v>5801810</v>
      </c>
      <c r="B226">
        <v>1250005801801</v>
      </c>
      <c r="D226">
        <v>20126648066</v>
      </c>
      <c r="E226" t="s">
        <v>519</v>
      </c>
      <c r="F226" t="s">
        <v>1</v>
      </c>
      <c r="G226" t="s">
        <v>520</v>
      </c>
      <c r="H226" t="s">
        <v>69</v>
      </c>
      <c r="I226">
        <v>5917</v>
      </c>
      <c r="J226">
        <v>3</v>
      </c>
      <c r="K226" t="s">
        <v>32</v>
      </c>
      <c r="L226">
        <v>6435</v>
      </c>
      <c r="M226" t="s">
        <v>175</v>
      </c>
      <c r="N226">
        <v>1</v>
      </c>
      <c r="O226" t="s">
        <v>125</v>
      </c>
      <c r="P226" t="s">
        <v>521</v>
      </c>
      <c r="Q226">
        <v>2656177.92</v>
      </c>
      <c r="R226">
        <v>48826800</v>
      </c>
      <c r="S226">
        <v>99</v>
      </c>
      <c r="T226">
        <v>493200</v>
      </c>
      <c r="U226">
        <v>1</v>
      </c>
      <c r="V226">
        <v>1</v>
      </c>
      <c r="W226" t="s">
        <v>127</v>
      </c>
      <c r="X226">
        <v>24660</v>
      </c>
      <c r="Y226">
        <v>2656177.92</v>
      </c>
      <c r="Z226">
        <v>48826800</v>
      </c>
      <c r="AA226">
        <v>493200</v>
      </c>
      <c r="AB226">
        <v>105</v>
      </c>
      <c r="AC226" s="34">
        <v>45919</v>
      </c>
      <c r="AD226" s="34">
        <v>46022</v>
      </c>
      <c r="AF226">
        <v>0</v>
      </c>
      <c r="AG226">
        <v>4561113.5999999996</v>
      </c>
      <c r="AH226">
        <v>0</v>
      </c>
      <c r="AI226">
        <v>4561113.5999999996</v>
      </c>
      <c r="AJ226">
        <v>0</v>
      </c>
      <c r="AK226">
        <v>0</v>
      </c>
      <c r="AL226">
        <v>1190450.6599999999</v>
      </c>
      <c r="AM226">
        <v>0</v>
      </c>
      <c r="AN226">
        <v>5751564.2599999998</v>
      </c>
      <c r="AO226" t="s">
        <v>122</v>
      </c>
      <c r="AP226">
        <v>15</v>
      </c>
      <c r="AQ226">
        <v>684167.04</v>
      </c>
      <c r="AR226">
        <v>684167.04</v>
      </c>
      <c r="AT226">
        <v>29296080</v>
      </c>
      <c r="AU226">
        <v>1593706.75</v>
      </c>
      <c r="AV226">
        <v>29296080</v>
      </c>
      <c r="AW226">
        <v>1593706.75</v>
      </c>
    </row>
    <row r="227" spans="1:49" hidden="1" x14ac:dyDescent="0.35">
      <c r="A227">
        <v>5801810</v>
      </c>
      <c r="B227">
        <v>1250005801801</v>
      </c>
      <c r="D227">
        <v>20126648066</v>
      </c>
      <c r="E227" t="s">
        <v>519</v>
      </c>
      <c r="F227" t="s">
        <v>1</v>
      </c>
      <c r="G227" t="s">
        <v>520</v>
      </c>
      <c r="H227" t="s">
        <v>69</v>
      </c>
      <c r="I227">
        <v>5917</v>
      </c>
      <c r="J227">
        <v>3</v>
      </c>
      <c r="K227" t="s">
        <v>32</v>
      </c>
      <c r="L227">
        <v>6435</v>
      </c>
      <c r="M227" t="s">
        <v>175</v>
      </c>
      <c r="N227">
        <v>2</v>
      </c>
      <c r="O227" t="s">
        <v>125</v>
      </c>
      <c r="P227" t="s">
        <v>522</v>
      </c>
      <c r="Q227">
        <v>1904935.68</v>
      </c>
      <c r="R227">
        <v>35017200</v>
      </c>
      <c r="S227">
        <v>71</v>
      </c>
      <c r="T227">
        <v>493200</v>
      </c>
      <c r="U227">
        <v>1</v>
      </c>
      <c r="V227">
        <v>1</v>
      </c>
      <c r="W227" t="s">
        <v>127</v>
      </c>
      <c r="X227">
        <v>24660</v>
      </c>
      <c r="Y227">
        <v>1904935.68</v>
      </c>
      <c r="Z227">
        <v>35017200</v>
      </c>
      <c r="AA227">
        <v>493200</v>
      </c>
      <c r="AB227">
        <v>105</v>
      </c>
      <c r="AC227" s="34">
        <v>45919</v>
      </c>
      <c r="AD227" s="34">
        <v>46022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 t="s">
        <v>122</v>
      </c>
      <c r="AT227">
        <v>21010320</v>
      </c>
      <c r="AU227">
        <v>1142961.4099999999</v>
      </c>
      <c r="AV227">
        <v>21010320</v>
      </c>
      <c r="AW227">
        <v>1142961.4099999999</v>
      </c>
    </row>
    <row r="228" spans="1:49" hidden="1" x14ac:dyDescent="0.35">
      <c r="A228">
        <v>5801910</v>
      </c>
      <c r="B228">
        <v>1170005801901</v>
      </c>
      <c r="D228">
        <v>20166489823</v>
      </c>
      <c r="E228" t="s">
        <v>523</v>
      </c>
      <c r="F228" t="s">
        <v>1</v>
      </c>
      <c r="G228" t="s">
        <v>524</v>
      </c>
      <c r="H228" t="s">
        <v>62</v>
      </c>
      <c r="I228">
        <v>2501</v>
      </c>
      <c r="J228">
        <v>12</v>
      </c>
      <c r="K228" t="s">
        <v>34</v>
      </c>
      <c r="L228">
        <v>7820</v>
      </c>
      <c r="M228" t="s">
        <v>525</v>
      </c>
      <c r="N228">
        <v>1</v>
      </c>
      <c r="O228" t="s">
        <v>125</v>
      </c>
      <c r="P228" t="s">
        <v>526</v>
      </c>
      <c r="Q228">
        <v>756977.79</v>
      </c>
      <c r="R228">
        <v>17755200</v>
      </c>
      <c r="S228">
        <v>36</v>
      </c>
      <c r="T228">
        <v>493200</v>
      </c>
      <c r="U228">
        <v>1</v>
      </c>
      <c r="V228">
        <v>1</v>
      </c>
      <c r="W228" t="s">
        <v>127</v>
      </c>
      <c r="X228">
        <v>24660</v>
      </c>
      <c r="Y228">
        <v>756977.79</v>
      </c>
      <c r="Z228">
        <v>17755200</v>
      </c>
      <c r="AA228">
        <v>493200</v>
      </c>
      <c r="AB228">
        <v>105</v>
      </c>
      <c r="AC228" s="34">
        <v>45899</v>
      </c>
      <c r="AD228" s="34">
        <v>46022</v>
      </c>
      <c r="AE228" t="s">
        <v>134</v>
      </c>
      <c r="AF228">
        <v>0</v>
      </c>
      <c r="AG228">
        <v>756977.79</v>
      </c>
      <c r="AH228">
        <v>0</v>
      </c>
      <c r="AI228">
        <v>756977.79</v>
      </c>
      <c r="AJ228">
        <v>0</v>
      </c>
      <c r="AK228">
        <v>0</v>
      </c>
      <c r="AL228">
        <v>193786.32</v>
      </c>
      <c r="AM228">
        <v>0</v>
      </c>
      <c r="AN228">
        <v>950764.11</v>
      </c>
      <c r="AO228" t="s">
        <v>122</v>
      </c>
      <c r="AP228">
        <v>15</v>
      </c>
      <c r="AQ228">
        <v>113546.67</v>
      </c>
      <c r="AR228">
        <v>113546.67</v>
      </c>
      <c r="AT228">
        <v>10653120</v>
      </c>
      <c r="AU228">
        <v>454186.67</v>
      </c>
      <c r="AV228">
        <v>10653120</v>
      </c>
      <c r="AW228">
        <v>454186.67</v>
      </c>
    </row>
    <row r="229" spans="1:49" hidden="1" x14ac:dyDescent="0.35">
      <c r="A229">
        <v>5802010</v>
      </c>
      <c r="B229">
        <v>1090005802001</v>
      </c>
      <c r="D229">
        <v>20073597669</v>
      </c>
      <c r="E229" t="s">
        <v>527</v>
      </c>
      <c r="F229" t="s">
        <v>1</v>
      </c>
      <c r="G229" t="s">
        <v>395</v>
      </c>
      <c r="H229" t="s">
        <v>56</v>
      </c>
      <c r="I229">
        <v>6380</v>
      </c>
      <c r="J229">
        <v>21</v>
      </c>
      <c r="K229" t="s">
        <v>33</v>
      </c>
      <c r="L229">
        <v>82963</v>
      </c>
      <c r="M229" t="s">
        <v>396</v>
      </c>
      <c r="N229">
        <v>1</v>
      </c>
      <c r="O229" t="s">
        <v>125</v>
      </c>
      <c r="P229" t="s">
        <v>528</v>
      </c>
      <c r="Q229">
        <v>2080800</v>
      </c>
      <c r="R229">
        <v>34000000</v>
      </c>
      <c r="S229">
        <v>170</v>
      </c>
      <c r="T229">
        <v>200000</v>
      </c>
      <c r="U229">
        <v>1</v>
      </c>
      <c r="V229">
        <v>1</v>
      </c>
      <c r="W229" t="s">
        <v>121</v>
      </c>
      <c r="X229" t="s">
        <v>1</v>
      </c>
      <c r="Y229">
        <v>2080800</v>
      </c>
      <c r="Z229">
        <v>34000000</v>
      </c>
      <c r="AA229">
        <v>200000</v>
      </c>
      <c r="AB229">
        <v>105</v>
      </c>
      <c r="AC229" s="34">
        <v>45914</v>
      </c>
      <c r="AD229" s="34">
        <v>46053</v>
      </c>
      <c r="AF229">
        <v>0</v>
      </c>
      <c r="AG229">
        <v>4406400</v>
      </c>
      <c r="AH229">
        <v>0</v>
      </c>
      <c r="AI229">
        <v>4406400</v>
      </c>
      <c r="AJ229">
        <v>0</v>
      </c>
      <c r="AK229">
        <v>0</v>
      </c>
      <c r="AL229">
        <v>1106006.3999999999</v>
      </c>
      <c r="AM229">
        <v>0</v>
      </c>
      <c r="AN229">
        <v>5512406.4000000004</v>
      </c>
      <c r="AO229" t="s">
        <v>122</v>
      </c>
      <c r="AP229">
        <v>12</v>
      </c>
      <c r="AQ229">
        <v>528768</v>
      </c>
      <c r="AR229">
        <v>528768</v>
      </c>
      <c r="AT229">
        <v>20400000</v>
      </c>
      <c r="AU229">
        <v>1248480</v>
      </c>
      <c r="AV229">
        <v>20400000</v>
      </c>
      <c r="AW229">
        <v>1248480</v>
      </c>
    </row>
    <row r="230" spans="1:49" hidden="1" x14ac:dyDescent="0.35">
      <c r="A230">
        <v>5802010</v>
      </c>
      <c r="B230">
        <v>1090005802001</v>
      </c>
      <c r="D230">
        <v>20073597669</v>
      </c>
      <c r="E230" t="s">
        <v>527</v>
      </c>
      <c r="F230" t="s">
        <v>1</v>
      </c>
      <c r="G230" t="s">
        <v>395</v>
      </c>
      <c r="H230" t="s">
        <v>56</v>
      </c>
      <c r="I230">
        <v>6380</v>
      </c>
      <c r="J230">
        <v>21</v>
      </c>
      <c r="K230" t="s">
        <v>33</v>
      </c>
      <c r="L230">
        <v>82963</v>
      </c>
      <c r="M230" t="s">
        <v>396</v>
      </c>
      <c r="N230">
        <v>2</v>
      </c>
      <c r="O230" t="s">
        <v>125</v>
      </c>
      <c r="P230" t="s">
        <v>529</v>
      </c>
      <c r="Q230">
        <v>2325600</v>
      </c>
      <c r="R230">
        <v>38000000</v>
      </c>
      <c r="S230">
        <v>190</v>
      </c>
      <c r="T230">
        <v>200000</v>
      </c>
      <c r="U230">
        <v>1</v>
      </c>
      <c r="V230">
        <v>1</v>
      </c>
      <c r="W230" t="s">
        <v>121</v>
      </c>
      <c r="X230" t="s">
        <v>1</v>
      </c>
      <c r="Y230">
        <v>2325600</v>
      </c>
      <c r="Z230">
        <v>38000000</v>
      </c>
      <c r="AA230">
        <v>200000</v>
      </c>
      <c r="AB230">
        <v>105</v>
      </c>
      <c r="AC230" s="34">
        <v>45914</v>
      </c>
      <c r="AD230" s="34">
        <v>46053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 t="s">
        <v>122</v>
      </c>
      <c r="AT230">
        <v>22800000</v>
      </c>
      <c r="AU230">
        <v>1395360</v>
      </c>
      <c r="AV230">
        <v>22800000</v>
      </c>
      <c r="AW230">
        <v>1395360</v>
      </c>
    </row>
    <row r="231" spans="1:49" hidden="1" x14ac:dyDescent="0.35">
      <c r="A231">
        <v>5802210</v>
      </c>
      <c r="B231">
        <v>5010005802201</v>
      </c>
      <c r="D231">
        <v>30708369841</v>
      </c>
      <c r="E231" t="s">
        <v>530</v>
      </c>
      <c r="F231" t="s">
        <v>1</v>
      </c>
      <c r="G231" t="s">
        <v>24</v>
      </c>
      <c r="H231" t="s">
        <v>24</v>
      </c>
      <c r="I231">
        <v>6070</v>
      </c>
      <c r="J231">
        <v>1</v>
      </c>
      <c r="K231" t="s">
        <v>16</v>
      </c>
      <c r="L231">
        <v>11014</v>
      </c>
      <c r="M231" t="s">
        <v>232</v>
      </c>
      <c r="N231">
        <v>1</v>
      </c>
      <c r="O231" t="s">
        <v>125</v>
      </c>
      <c r="P231" t="s">
        <v>531</v>
      </c>
      <c r="Q231">
        <v>1834.16</v>
      </c>
      <c r="R231">
        <v>80800</v>
      </c>
      <c r="S231">
        <v>202</v>
      </c>
      <c r="T231">
        <v>400</v>
      </c>
      <c r="U231">
        <v>26</v>
      </c>
      <c r="V231">
        <v>1475</v>
      </c>
      <c r="W231" t="s">
        <v>121</v>
      </c>
      <c r="X231" t="s">
        <v>1</v>
      </c>
      <c r="Y231">
        <v>2705386</v>
      </c>
      <c r="Z231">
        <v>119180000</v>
      </c>
      <c r="AA231">
        <v>590000</v>
      </c>
      <c r="AB231">
        <v>214</v>
      </c>
      <c r="AC231" s="34">
        <v>45922</v>
      </c>
      <c r="AD231" s="34">
        <v>46022</v>
      </c>
      <c r="AF231">
        <v>0</v>
      </c>
      <c r="AG231">
        <v>4767</v>
      </c>
      <c r="AH231">
        <v>0</v>
      </c>
      <c r="AI231">
        <v>7031325</v>
      </c>
      <c r="AJ231">
        <v>0</v>
      </c>
      <c r="AK231">
        <v>0</v>
      </c>
      <c r="AL231">
        <v>1764867</v>
      </c>
      <c r="AM231">
        <v>0</v>
      </c>
      <c r="AN231">
        <v>8796192</v>
      </c>
      <c r="AO231" t="s">
        <v>122</v>
      </c>
      <c r="AP231">
        <v>15</v>
      </c>
      <c r="AQ231">
        <v>715.05</v>
      </c>
      <c r="AR231">
        <v>1054698.75</v>
      </c>
      <c r="AT231">
        <v>48480</v>
      </c>
      <c r="AU231">
        <v>1100.5</v>
      </c>
      <c r="AV231">
        <v>71508000</v>
      </c>
      <c r="AW231">
        <v>1623237.5</v>
      </c>
    </row>
    <row r="232" spans="1:49" hidden="1" x14ac:dyDescent="0.35">
      <c r="A232">
        <v>5802210</v>
      </c>
      <c r="B232">
        <v>5010005802201</v>
      </c>
      <c r="D232">
        <v>30708369841</v>
      </c>
      <c r="E232" t="s">
        <v>530</v>
      </c>
      <c r="F232" t="s">
        <v>1</v>
      </c>
      <c r="G232" t="s">
        <v>24</v>
      </c>
      <c r="H232" t="s">
        <v>24</v>
      </c>
      <c r="I232">
        <v>6070</v>
      </c>
      <c r="J232">
        <v>1</v>
      </c>
      <c r="K232" t="s">
        <v>16</v>
      </c>
      <c r="L232">
        <v>11014</v>
      </c>
      <c r="M232" t="s">
        <v>232</v>
      </c>
      <c r="N232">
        <v>2</v>
      </c>
      <c r="O232" t="s">
        <v>125</v>
      </c>
      <c r="P232" t="s">
        <v>532</v>
      </c>
      <c r="Q232">
        <v>1516.36</v>
      </c>
      <c r="R232">
        <v>66800</v>
      </c>
      <c r="S232">
        <v>167</v>
      </c>
      <c r="T232">
        <v>400</v>
      </c>
      <c r="U232">
        <v>26</v>
      </c>
      <c r="V232">
        <v>1475</v>
      </c>
      <c r="W232" t="s">
        <v>121</v>
      </c>
      <c r="X232" t="s">
        <v>1</v>
      </c>
      <c r="Y232">
        <v>2236631</v>
      </c>
      <c r="Z232">
        <v>98530000</v>
      </c>
      <c r="AA232">
        <v>590000</v>
      </c>
      <c r="AB232">
        <v>214</v>
      </c>
      <c r="AC232" s="34">
        <v>45922</v>
      </c>
      <c r="AD232" s="34">
        <v>46022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 t="s">
        <v>122</v>
      </c>
      <c r="AT232">
        <v>40080</v>
      </c>
      <c r="AU232">
        <v>909.82</v>
      </c>
      <c r="AV232">
        <v>59118000</v>
      </c>
      <c r="AW232">
        <v>1341984.5</v>
      </c>
    </row>
    <row r="233" spans="1:49" hidden="1" x14ac:dyDescent="0.35">
      <c r="A233">
        <v>5802210</v>
      </c>
      <c r="B233">
        <v>5010005802201</v>
      </c>
      <c r="D233">
        <v>30708369841</v>
      </c>
      <c r="E233" t="s">
        <v>530</v>
      </c>
      <c r="F233" t="s">
        <v>1</v>
      </c>
      <c r="G233" t="s">
        <v>24</v>
      </c>
      <c r="H233" t="s">
        <v>24</v>
      </c>
      <c r="I233">
        <v>6070</v>
      </c>
      <c r="J233">
        <v>1</v>
      </c>
      <c r="K233" t="s">
        <v>16</v>
      </c>
      <c r="L233">
        <v>11014</v>
      </c>
      <c r="M233" t="s">
        <v>232</v>
      </c>
      <c r="N233">
        <v>3</v>
      </c>
      <c r="O233" t="s">
        <v>125</v>
      </c>
      <c r="P233" t="s">
        <v>533</v>
      </c>
      <c r="Q233">
        <v>1416.48</v>
      </c>
      <c r="R233">
        <v>62400</v>
      </c>
      <c r="S233">
        <v>156</v>
      </c>
      <c r="T233">
        <v>400</v>
      </c>
      <c r="U233">
        <v>26</v>
      </c>
      <c r="V233">
        <v>1475</v>
      </c>
      <c r="W233" t="s">
        <v>121</v>
      </c>
      <c r="X233" t="s">
        <v>1</v>
      </c>
      <c r="Y233">
        <v>2089308</v>
      </c>
      <c r="Z233">
        <v>92040000</v>
      </c>
      <c r="AA233">
        <v>590000</v>
      </c>
      <c r="AB233">
        <v>214</v>
      </c>
      <c r="AC233" s="34">
        <v>45922</v>
      </c>
      <c r="AD233" s="34">
        <v>46022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 t="s">
        <v>122</v>
      </c>
      <c r="AT233">
        <v>37440</v>
      </c>
      <c r="AU233">
        <v>849.89</v>
      </c>
      <c r="AV233">
        <v>55224000</v>
      </c>
      <c r="AW233">
        <v>1253587.75</v>
      </c>
    </row>
    <row r="234" spans="1:49" hidden="1" x14ac:dyDescent="0.35">
      <c r="A234">
        <v>5802310</v>
      </c>
      <c r="B234">
        <v>5010005802301</v>
      </c>
      <c r="D234">
        <v>30708369841</v>
      </c>
      <c r="E234" t="s">
        <v>530</v>
      </c>
      <c r="F234" t="s">
        <v>1</v>
      </c>
      <c r="G234" t="s">
        <v>24</v>
      </c>
      <c r="H234" t="s">
        <v>24</v>
      </c>
      <c r="I234">
        <v>6070</v>
      </c>
      <c r="J234">
        <v>1</v>
      </c>
      <c r="K234" t="s">
        <v>16</v>
      </c>
      <c r="L234">
        <v>11014</v>
      </c>
      <c r="M234" t="s">
        <v>232</v>
      </c>
      <c r="N234">
        <v>1</v>
      </c>
      <c r="O234" t="s">
        <v>119</v>
      </c>
      <c r="P234" t="s">
        <v>534</v>
      </c>
      <c r="Q234">
        <v>1298.46</v>
      </c>
      <c r="R234">
        <v>70000</v>
      </c>
      <c r="S234">
        <v>202</v>
      </c>
      <c r="T234">
        <v>346.53</v>
      </c>
      <c r="U234">
        <v>26</v>
      </c>
      <c r="V234">
        <v>1475</v>
      </c>
      <c r="W234" t="s">
        <v>121</v>
      </c>
      <c r="X234" t="s">
        <v>1</v>
      </c>
      <c r="Y234">
        <v>1915228.5</v>
      </c>
      <c r="Z234">
        <v>103250000</v>
      </c>
      <c r="AA234">
        <v>511138.61</v>
      </c>
      <c r="AB234">
        <v>106</v>
      </c>
      <c r="AC234" s="34">
        <v>45922</v>
      </c>
      <c r="AD234" s="34">
        <v>46188</v>
      </c>
      <c r="AF234">
        <v>0</v>
      </c>
      <c r="AG234">
        <v>3270.75</v>
      </c>
      <c r="AH234">
        <v>80</v>
      </c>
      <c r="AI234">
        <v>4824356.25</v>
      </c>
      <c r="AJ234">
        <v>118000</v>
      </c>
      <c r="AK234">
        <v>0</v>
      </c>
      <c r="AL234">
        <v>1240534</v>
      </c>
      <c r="AM234">
        <v>0</v>
      </c>
      <c r="AN234">
        <v>6182890.25</v>
      </c>
      <c r="AO234" t="s">
        <v>122</v>
      </c>
      <c r="AP234">
        <v>15</v>
      </c>
      <c r="AQ234">
        <v>490.61</v>
      </c>
      <c r="AR234">
        <v>723649.75</v>
      </c>
      <c r="AT234">
        <v>42000</v>
      </c>
      <c r="AU234">
        <v>755.07</v>
      </c>
      <c r="AV234">
        <v>61950000</v>
      </c>
      <c r="AW234">
        <v>1113728.25</v>
      </c>
    </row>
    <row r="235" spans="1:49" hidden="1" x14ac:dyDescent="0.35">
      <c r="A235">
        <v>5802310</v>
      </c>
      <c r="B235">
        <v>5010005802301</v>
      </c>
      <c r="D235">
        <v>30708369841</v>
      </c>
      <c r="E235" t="s">
        <v>530</v>
      </c>
      <c r="F235" t="s">
        <v>1</v>
      </c>
      <c r="G235" t="s">
        <v>24</v>
      </c>
      <c r="H235" t="s">
        <v>24</v>
      </c>
      <c r="I235">
        <v>6070</v>
      </c>
      <c r="J235">
        <v>1</v>
      </c>
      <c r="K235" t="s">
        <v>16</v>
      </c>
      <c r="L235">
        <v>11014</v>
      </c>
      <c r="M235" t="s">
        <v>232</v>
      </c>
      <c r="N235">
        <v>2</v>
      </c>
      <c r="O235" t="s">
        <v>119</v>
      </c>
      <c r="P235" t="s">
        <v>535</v>
      </c>
      <c r="Q235">
        <v>1060.4100000000001</v>
      </c>
      <c r="R235">
        <v>58450</v>
      </c>
      <c r="S235">
        <v>167</v>
      </c>
      <c r="T235">
        <v>350</v>
      </c>
      <c r="U235">
        <v>26</v>
      </c>
      <c r="V235">
        <v>1475</v>
      </c>
      <c r="W235" t="s">
        <v>121</v>
      </c>
      <c r="X235" t="s">
        <v>1</v>
      </c>
      <c r="Y235">
        <v>1564104.75</v>
      </c>
      <c r="Z235">
        <v>86213750</v>
      </c>
      <c r="AA235">
        <v>516250</v>
      </c>
      <c r="AB235">
        <v>106</v>
      </c>
      <c r="AC235" s="34">
        <v>45922</v>
      </c>
      <c r="AD235" s="34">
        <v>46188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 t="s">
        <v>122</v>
      </c>
      <c r="AT235">
        <v>35070</v>
      </c>
      <c r="AU235">
        <v>624.24</v>
      </c>
      <c r="AV235">
        <v>51728250</v>
      </c>
      <c r="AW235">
        <v>920754</v>
      </c>
    </row>
    <row r="236" spans="1:49" hidden="1" x14ac:dyDescent="0.35">
      <c r="A236">
        <v>5802310</v>
      </c>
      <c r="B236">
        <v>5010005802301</v>
      </c>
      <c r="D236">
        <v>30708369841</v>
      </c>
      <c r="E236" t="s">
        <v>530</v>
      </c>
      <c r="F236" t="s">
        <v>1</v>
      </c>
      <c r="G236" t="s">
        <v>24</v>
      </c>
      <c r="H236" t="s">
        <v>24</v>
      </c>
      <c r="I236">
        <v>6070</v>
      </c>
      <c r="J236">
        <v>1</v>
      </c>
      <c r="K236" t="s">
        <v>16</v>
      </c>
      <c r="L236">
        <v>11014</v>
      </c>
      <c r="M236" t="s">
        <v>232</v>
      </c>
      <c r="N236">
        <v>3</v>
      </c>
      <c r="O236" t="s">
        <v>119</v>
      </c>
      <c r="P236" t="s">
        <v>536</v>
      </c>
      <c r="Q236">
        <v>991.88</v>
      </c>
      <c r="R236">
        <v>56600</v>
      </c>
      <c r="S236">
        <v>156</v>
      </c>
      <c r="T236">
        <v>362.82</v>
      </c>
      <c r="U236">
        <v>26</v>
      </c>
      <c r="V236">
        <v>1475</v>
      </c>
      <c r="W236" t="s">
        <v>121</v>
      </c>
      <c r="X236" t="s">
        <v>1</v>
      </c>
      <c r="Y236">
        <v>1463023</v>
      </c>
      <c r="Z236">
        <v>83485000</v>
      </c>
      <c r="AA236">
        <v>535160.26</v>
      </c>
      <c r="AB236">
        <v>106</v>
      </c>
      <c r="AC236" s="34">
        <v>45922</v>
      </c>
      <c r="AD236" s="34">
        <v>46188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 t="s">
        <v>122</v>
      </c>
      <c r="AT236">
        <v>33960</v>
      </c>
      <c r="AU236">
        <v>583.13</v>
      </c>
      <c r="AV236">
        <v>50091000</v>
      </c>
      <c r="AW236">
        <v>860116.75</v>
      </c>
    </row>
    <row r="237" spans="1:49" hidden="1" x14ac:dyDescent="0.35">
      <c r="A237">
        <v>5802410</v>
      </c>
      <c r="B237">
        <v>5010005802401</v>
      </c>
      <c r="D237">
        <v>30708191007</v>
      </c>
      <c r="E237" t="s">
        <v>537</v>
      </c>
      <c r="F237" t="s">
        <v>1</v>
      </c>
      <c r="G237" t="s">
        <v>538</v>
      </c>
      <c r="H237" t="s">
        <v>539</v>
      </c>
      <c r="I237">
        <v>6031</v>
      </c>
      <c r="J237">
        <v>1</v>
      </c>
      <c r="K237" t="s">
        <v>16</v>
      </c>
      <c r="L237">
        <v>11014</v>
      </c>
      <c r="M237" t="s">
        <v>232</v>
      </c>
      <c r="N237">
        <v>1</v>
      </c>
      <c r="O237" t="s">
        <v>125</v>
      </c>
      <c r="P237" t="s">
        <v>540</v>
      </c>
      <c r="Q237">
        <v>559782</v>
      </c>
      <c r="R237">
        <v>24660000</v>
      </c>
      <c r="S237">
        <v>50</v>
      </c>
      <c r="T237">
        <v>493200</v>
      </c>
      <c r="U237">
        <v>1</v>
      </c>
      <c r="V237">
        <v>1</v>
      </c>
      <c r="W237" t="s">
        <v>127</v>
      </c>
      <c r="X237">
        <v>24660</v>
      </c>
      <c r="Y237">
        <v>559782</v>
      </c>
      <c r="Z237">
        <v>24660000</v>
      </c>
      <c r="AA237">
        <v>493200</v>
      </c>
      <c r="AB237">
        <v>105</v>
      </c>
      <c r="AC237" s="34">
        <v>45909</v>
      </c>
      <c r="AD237" s="34">
        <v>46022</v>
      </c>
      <c r="AF237">
        <v>0</v>
      </c>
      <c r="AG237">
        <v>2418258.2400000002</v>
      </c>
      <c r="AH237">
        <v>0</v>
      </c>
      <c r="AI237">
        <v>2418258.2400000002</v>
      </c>
      <c r="AJ237">
        <v>0</v>
      </c>
      <c r="AK237">
        <v>0</v>
      </c>
      <c r="AL237">
        <v>606982.82999999996</v>
      </c>
      <c r="AM237">
        <v>0</v>
      </c>
      <c r="AN237">
        <v>3025241.07</v>
      </c>
      <c r="AO237" t="s">
        <v>122</v>
      </c>
      <c r="AP237">
        <v>15</v>
      </c>
      <c r="AQ237">
        <v>362738.74</v>
      </c>
      <c r="AR237">
        <v>362738.74</v>
      </c>
      <c r="AT237">
        <v>14796000</v>
      </c>
      <c r="AU237">
        <v>335869.2</v>
      </c>
      <c r="AV237">
        <v>14796000</v>
      </c>
      <c r="AW237">
        <v>335869.2</v>
      </c>
    </row>
    <row r="238" spans="1:49" hidden="1" x14ac:dyDescent="0.35">
      <c r="A238">
        <v>5802410</v>
      </c>
      <c r="B238">
        <v>5010005802401</v>
      </c>
      <c r="D238">
        <v>30708191007</v>
      </c>
      <c r="E238" t="s">
        <v>537</v>
      </c>
      <c r="F238" t="s">
        <v>1</v>
      </c>
      <c r="G238" t="s">
        <v>538</v>
      </c>
      <c r="H238" t="s">
        <v>539</v>
      </c>
      <c r="I238">
        <v>6031</v>
      </c>
      <c r="J238">
        <v>1</v>
      </c>
      <c r="K238" t="s">
        <v>16</v>
      </c>
      <c r="L238">
        <v>11014</v>
      </c>
      <c r="M238" t="s">
        <v>232</v>
      </c>
      <c r="N238">
        <v>2</v>
      </c>
      <c r="O238" t="s">
        <v>125</v>
      </c>
      <c r="P238" t="s">
        <v>541</v>
      </c>
      <c r="Q238">
        <v>1858476.24</v>
      </c>
      <c r="R238">
        <v>81871200</v>
      </c>
      <c r="S238">
        <v>83</v>
      </c>
      <c r="T238">
        <v>986400</v>
      </c>
      <c r="U238">
        <v>1</v>
      </c>
      <c r="V238">
        <v>1</v>
      </c>
      <c r="W238" t="s">
        <v>127</v>
      </c>
      <c r="X238">
        <v>24660</v>
      </c>
      <c r="Y238">
        <v>1858476.24</v>
      </c>
      <c r="Z238">
        <v>81871200</v>
      </c>
      <c r="AA238">
        <v>986400</v>
      </c>
      <c r="AB238">
        <v>105</v>
      </c>
      <c r="AC238" s="34">
        <v>45909</v>
      </c>
      <c r="AD238" s="34">
        <v>46022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 t="s">
        <v>122</v>
      </c>
      <c r="AT238">
        <v>49122720</v>
      </c>
      <c r="AU238">
        <v>1115085.74</v>
      </c>
      <c r="AV238">
        <v>49122720</v>
      </c>
      <c r="AW238">
        <v>1115085.74</v>
      </c>
    </row>
    <row r="239" spans="1:49" hidden="1" x14ac:dyDescent="0.35">
      <c r="A239">
        <v>5802510</v>
      </c>
      <c r="B239">
        <v>5010005802501</v>
      </c>
      <c r="D239">
        <v>20273179136</v>
      </c>
      <c r="E239" t="s">
        <v>542</v>
      </c>
      <c r="F239" t="s">
        <v>1</v>
      </c>
      <c r="G239" t="s">
        <v>538</v>
      </c>
      <c r="H239" t="s">
        <v>539</v>
      </c>
      <c r="I239">
        <v>6031</v>
      </c>
      <c r="J239">
        <v>1</v>
      </c>
      <c r="K239" t="s">
        <v>16</v>
      </c>
      <c r="L239">
        <v>11014</v>
      </c>
      <c r="M239" t="s">
        <v>232</v>
      </c>
      <c r="N239">
        <v>1</v>
      </c>
      <c r="O239" t="s">
        <v>125</v>
      </c>
      <c r="P239" t="s">
        <v>540</v>
      </c>
      <c r="Q239">
        <v>279891</v>
      </c>
      <c r="R239">
        <v>12330000</v>
      </c>
      <c r="S239">
        <v>50</v>
      </c>
      <c r="T239">
        <v>246600</v>
      </c>
      <c r="U239">
        <v>1</v>
      </c>
      <c r="V239">
        <v>1</v>
      </c>
      <c r="W239" t="s">
        <v>127</v>
      </c>
      <c r="X239">
        <v>24660</v>
      </c>
      <c r="Y239">
        <v>279891</v>
      </c>
      <c r="Z239">
        <v>12330000</v>
      </c>
      <c r="AA239">
        <v>246600</v>
      </c>
      <c r="AB239">
        <v>105</v>
      </c>
      <c r="AC239" s="34">
        <v>45909</v>
      </c>
      <c r="AD239" s="34">
        <v>46022</v>
      </c>
      <c r="AF239">
        <v>0</v>
      </c>
      <c r="AG239">
        <v>279891</v>
      </c>
      <c r="AH239">
        <v>0</v>
      </c>
      <c r="AI239">
        <v>279891</v>
      </c>
      <c r="AJ239">
        <v>0</v>
      </c>
      <c r="AK239">
        <v>0</v>
      </c>
      <c r="AL239">
        <v>70252.649999999994</v>
      </c>
      <c r="AM239">
        <v>0</v>
      </c>
      <c r="AN239">
        <v>350143.65</v>
      </c>
      <c r="AO239" t="s">
        <v>122</v>
      </c>
      <c r="AP239">
        <v>15</v>
      </c>
      <c r="AQ239">
        <v>41983.65</v>
      </c>
      <c r="AR239">
        <v>41983.65</v>
      </c>
      <c r="AT239">
        <v>7398000</v>
      </c>
      <c r="AU239">
        <v>167934.6</v>
      </c>
      <c r="AV239">
        <v>7398000</v>
      </c>
      <c r="AW239">
        <v>167934.6</v>
      </c>
    </row>
    <row r="240" spans="1:49" hidden="1" x14ac:dyDescent="0.35">
      <c r="A240">
        <v>5802610</v>
      </c>
      <c r="B240">
        <v>5010005802601</v>
      </c>
      <c r="D240">
        <v>20386632732</v>
      </c>
      <c r="E240" t="s">
        <v>543</v>
      </c>
      <c r="F240" t="s">
        <v>1</v>
      </c>
      <c r="G240" t="s">
        <v>538</v>
      </c>
      <c r="H240" t="s">
        <v>539</v>
      </c>
      <c r="I240">
        <v>6031</v>
      </c>
      <c r="J240">
        <v>1</v>
      </c>
      <c r="K240" t="s">
        <v>16</v>
      </c>
      <c r="L240">
        <v>11014</v>
      </c>
      <c r="M240" t="s">
        <v>232</v>
      </c>
      <c r="N240">
        <v>1</v>
      </c>
      <c r="O240" t="s">
        <v>125</v>
      </c>
      <c r="P240" t="s">
        <v>544</v>
      </c>
      <c r="Q240">
        <v>279891</v>
      </c>
      <c r="R240">
        <v>12330000</v>
      </c>
      <c r="S240">
        <v>50</v>
      </c>
      <c r="T240">
        <v>246600</v>
      </c>
      <c r="U240">
        <v>1</v>
      </c>
      <c r="V240">
        <v>1</v>
      </c>
      <c r="W240" t="s">
        <v>127</v>
      </c>
      <c r="X240">
        <v>24660</v>
      </c>
      <c r="Y240">
        <v>279891</v>
      </c>
      <c r="Z240">
        <v>12330000</v>
      </c>
      <c r="AA240">
        <v>246600</v>
      </c>
      <c r="AB240">
        <v>105</v>
      </c>
      <c r="AC240" s="34">
        <v>45909</v>
      </c>
      <c r="AD240" s="34">
        <v>46022</v>
      </c>
      <c r="AF240">
        <v>0</v>
      </c>
      <c r="AG240">
        <v>279891</v>
      </c>
      <c r="AH240">
        <v>0</v>
      </c>
      <c r="AI240">
        <v>279891</v>
      </c>
      <c r="AJ240">
        <v>0</v>
      </c>
      <c r="AK240">
        <v>0</v>
      </c>
      <c r="AL240">
        <v>70252.649999999994</v>
      </c>
      <c r="AM240">
        <v>0</v>
      </c>
      <c r="AN240">
        <v>350143.65</v>
      </c>
      <c r="AO240" t="s">
        <v>122</v>
      </c>
      <c r="AP240">
        <v>15</v>
      </c>
      <c r="AQ240">
        <v>41983.65</v>
      </c>
      <c r="AR240">
        <v>41983.65</v>
      </c>
      <c r="AT240">
        <v>7398000</v>
      </c>
      <c r="AU240">
        <v>167934.6</v>
      </c>
      <c r="AV240">
        <v>7398000</v>
      </c>
      <c r="AW240">
        <v>167934.6</v>
      </c>
    </row>
    <row r="241" spans="1:49" hidden="1" x14ac:dyDescent="0.35">
      <c r="A241">
        <v>5802710</v>
      </c>
      <c r="B241">
        <v>5010005802701</v>
      </c>
      <c r="D241">
        <v>30712286497</v>
      </c>
      <c r="E241" t="s">
        <v>545</v>
      </c>
      <c r="F241" t="s">
        <v>1</v>
      </c>
      <c r="G241" t="s">
        <v>24</v>
      </c>
      <c r="H241" t="s">
        <v>24</v>
      </c>
      <c r="I241">
        <v>6070</v>
      </c>
      <c r="J241">
        <v>1</v>
      </c>
      <c r="K241" t="s">
        <v>16</v>
      </c>
      <c r="L241">
        <v>11014</v>
      </c>
      <c r="M241" t="s">
        <v>232</v>
      </c>
      <c r="N241">
        <v>1</v>
      </c>
      <c r="O241" t="s">
        <v>125</v>
      </c>
      <c r="P241" t="s">
        <v>546</v>
      </c>
      <c r="Q241">
        <v>653.76</v>
      </c>
      <c r="R241">
        <v>28800</v>
      </c>
      <c r="S241">
        <v>48</v>
      </c>
      <c r="T241">
        <v>600</v>
      </c>
      <c r="U241">
        <v>26</v>
      </c>
      <c r="V241">
        <v>1475</v>
      </c>
      <c r="W241" t="s">
        <v>121</v>
      </c>
      <c r="X241" t="s">
        <v>1</v>
      </c>
      <c r="Y241">
        <v>964296</v>
      </c>
      <c r="Z241">
        <v>42480000</v>
      </c>
      <c r="AA241">
        <v>885000</v>
      </c>
      <c r="AB241">
        <v>214</v>
      </c>
      <c r="AC241" s="34">
        <v>45922</v>
      </c>
      <c r="AD241" s="34">
        <v>46022</v>
      </c>
      <c r="AF241">
        <v>0</v>
      </c>
      <c r="AG241">
        <v>2724</v>
      </c>
      <c r="AH241">
        <v>0</v>
      </c>
      <c r="AI241">
        <v>4017900</v>
      </c>
      <c r="AJ241">
        <v>0</v>
      </c>
      <c r="AK241">
        <v>0</v>
      </c>
      <c r="AL241">
        <v>1008487</v>
      </c>
      <c r="AM241">
        <v>0</v>
      </c>
      <c r="AN241">
        <v>5026387</v>
      </c>
      <c r="AO241" t="s">
        <v>122</v>
      </c>
      <c r="AP241">
        <v>15</v>
      </c>
      <c r="AQ241">
        <v>408.6</v>
      </c>
      <c r="AR241">
        <v>602685</v>
      </c>
      <c r="AT241">
        <v>17280</v>
      </c>
      <c r="AU241">
        <v>392.26</v>
      </c>
      <c r="AV241">
        <v>25488000</v>
      </c>
      <c r="AW241">
        <v>578583.5</v>
      </c>
    </row>
    <row r="242" spans="1:49" hidden="1" x14ac:dyDescent="0.35">
      <c r="A242">
        <v>5802710</v>
      </c>
      <c r="B242">
        <v>5010005802701</v>
      </c>
      <c r="D242">
        <v>30712286497</v>
      </c>
      <c r="E242" t="s">
        <v>545</v>
      </c>
      <c r="F242" t="s">
        <v>1</v>
      </c>
      <c r="G242" t="s">
        <v>24</v>
      </c>
      <c r="H242" t="s">
        <v>24</v>
      </c>
      <c r="I242">
        <v>6070</v>
      </c>
      <c r="J242">
        <v>1</v>
      </c>
      <c r="K242" t="s">
        <v>16</v>
      </c>
      <c r="L242">
        <v>11014</v>
      </c>
      <c r="M242" t="s">
        <v>232</v>
      </c>
      <c r="N242">
        <v>2</v>
      </c>
      <c r="O242" t="s">
        <v>125</v>
      </c>
      <c r="P242" t="s">
        <v>547</v>
      </c>
      <c r="Q242">
        <v>640.14</v>
      </c>
      <c r="R242">
        <v>28200</v>
      </c>
      <c r="S242">
        <v>47</v>
      </c>
      <c r="T242">
        <v>600</v>
      </c>
      <c r="U242">
        <v>26</v>
      </c>
      <c r="V242">
        <v>1475</v>
      </c>
      <c r="W242" t="s">
        <v>121</v>
      </c>
      <c r="X242" t="s">
        <v>1</v>
      </c>
      <c r="Y242">
        <v>944206.5</v>
      </c>
      <c r="Z242">
        <v>41595000</v>
      </c>
      <c r="AA242">
        <v>885000</v>
      </c>
      <c r="AB242">
        <v>214</v>
      </c>
      <c r="AC242" s="34">
        <v>45922</v>
      </c>
      <c r="AD242" s="34">
        <v>46022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 t="s">
        <v>122</v>
      </c>
      <c r="AT242">
        <v>16920</v>
      </c>
      <c r="AU242">
        <v>384.08</v>
      </c>
      <c r="AV242">
        <v>24957000</v>
      </c>
      <c r="AW242">
        <v>566518</v>
      </c>
    </row>
    <row r="243" spans="1:49" hidden="1" x14ac:dyDescent="0.35">
      <c r="A243">
        <v>5802710</v>
      </c>
      <c r="B243">
        <v>5010005802701</v>
      </c>
      <c r="D243">
        <v>30712286497</v>
      </c>
      <c r="E243" t="s">
        <v>545</v>
      </c>
      <c r="F243" t="s">
        <v>1</v>
      </c>
      <c r="G243" t="s">
        <v>24</v>
      </c>
      <c r="H243" t="s">
        <v>24</v>
      </c>
      <c r="I243">
        <v>6070</v>
      </c>
      <c r="J243">
        <v>1</v>
      </c>
      <c r="K243" t="s">
        <v>16</v>
      </c>
      <c r="L243">
        <v>11014</v>
      </c>
      <c r="M243" t="s">
        <v>232</v>
      </c>
      <c r="N243">
        <v>3</v>
      </c>
      <c r="O243" t="s">
        <v>125</v>
      </c>
      <c r="P243" t="s">
        <v>548</v>
      </c>
      <c r="Q243">
        <v>708.24</v>
      </c>
      <c r="R243">
        <v>31200</v>
      </c>
      <c r="S243">
        <v>52</v>
      </c>
      <c r="T243">
        <v>600</v>
      </c>
      <c r="U243">
        <v>26</v>
      </c>
      <c r="V243">
        <v>1475</v>
      </c>
      <c r="W243" t="s">
        <v>121</v>
      </c>
      <c r="X243" t="s">
        <v>1</v>
      </c>
      <c r="Y243">
        <v>1044654</v>
      </c>
      <c r="Z243">
        <v>46020000</v>
      </c>
      <c r="AA243">
        <v>885000</v>
      </c>
      <c r="AB243">
        <v>214</v>
      </c>
      <c r="AC243" s="34">
        <v>45922</v>
      </c>
      <c r="AD243" s="34">
        <v>46022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 t="s">
        <v>122</v>
      </c>
      <c r="AT243">
        <v>18720</v>
      </c>
      <c r="AU243">
        <v>424.94</v>
      </c>
      <c r="AV243">
        <v>27612000</v>
      </c>
      <c r="AW243">
        <v>626786.5</v>
      </c>
    </row>
    <row r="244" spans="1:49" hidden="1" x14ac:dyDescent="0.35">
      <c r="A244">
        <v>5802710</v>
      </c>
      <c r="B244">
        <v>5010005802701</v>
      </c>
      <c r="D244">
        <v>30712286497</v>
      </c>
      <c r="E244" t="s">
        <v>545</v>
      </c>
      <c r="F244" t="s">
        <v>1</v>
      </c>
      <c r="G244" t="s">
        <v>24</v>
      </c>
      <c r="H244" t="s">
        <v>24</v>
      </c>
      <c r="I244">
        <v>6070</v>
      </c>
      <c r="J244">
        <v>1</v>
      </c>
      <c r="K244" t="s">
        <v>16</v>
      </c>
      <c r="L244">
        <v>11014</v>
      </c>
      <c r="M244" t="s">
        <v>232</v>
      </c>
      <c r="N244">
        <v>4</v>
      </c>
      <c r="O244" t="s">
        <v>125</v>
      </c>
      <c r="P244" t="s">
        <v>549</v>
      </c>
      <c r="Q244">
        <v>721.86</v>
      </c>
      <c r="R244">
        <v>31800</v>
      </c>
      <c r="S244">
        <v>53</v>
      </c>
      <c r="T244">
        <v>600</v>
      </c>
      <c r="U244">
        <v>26</v>
      </c>
      <c r="V244">
        <v>1475</v>
      </c>
      <c r="W244" t="s">
        <v>121</v>
      </c>
      <c r="X244" t="s">
        <v>1</v>
      </c>
      <c r="Y244">
        <v>1064743.5</v>
      </c>
      <c r="Z244">
        <v>46905000</v>
      </c>
      <c r="AA244">
        <v>885000</v>
      </c>
      <c r="AB244">
        <v>214</v>
      </c>
      <c r="AC244" s="34">
        <v>45922</v>
      </c>
      <c r="AD244" s="34">
        <v>46022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 t="s">
        <v>122</v>
      </c>
      <c r="AT244">
        <v>19080</v>
      </c>
      <c r="AU244">
        <v>433.12</v>
      </c>
      <c r="AV244">
        <v>28143000</v>
      </c>
      <c r="AW244">
        <v>638852</v>
      </c>
    </row>
    <row r="245" spans="1:49" hidden="1" x14ac:dyDescent="0.35">
      <c r="A245">
        <v>5802910</v>
      </c>
      <c r="B245">
        <v>5010005802901</v>
      </c>
      <c r="D245">
        <v>30712286497</v>
      </c>
      <c r="E245" t="s">
        <v>545</v>
      </c>
      <c r="F245" t="s">
        <v>1</v>
      </c>
      <c r="G245" t="s">
        <v>24</v>
      </c>
      <c r="H245" t="s">
        <v>24</v>
      </c>
      <c r="I245">
        <v>6070</v>
      </c>
      <c r="J245">
        <v>1</v>
      </c>
      <c r="K245" t="s">
        <v>16</v>
      </c>
      <c r="L245">
        <v>11014</v>
      </c>
      <c r="M245" t="s">
        <v>232</v>
      </c>
      <c r="N245">
        <v>1</v>
      </c>
      <c r="O245" t="s">
        <v>119</v>
      </c>
      <c r="P245" t="s">
        <v>550</v>
      </c>
      <c r="Q245">
        <v>341.76</v>
      </c>
      <c r="R245">
        <v>19200</v>
      </c>
      <c r="S245">
        <v>48</v>
      </c>
      <c r="T245">
        <v>400</v>
      </c>
      <c r="U245">
        <v>26</v>
      </c>
      <c r="V245">
        <v>1475</v>
      </c>
      <c r="W245" t="s">
        <v>121</v>
      </c>
      <c r="X245" t="s">
        <v>1</v>
      </c>
      <c r="Y245">
        <v>504096</v>
      </c>
      <c r="Z245">
        <v>28320000</v>
      </c>
      <c r="AA245">
        <v>590000</v>
      </c>
      <c r="AB245">
        <v>106</v>
      </c>
      <c r="AC245" s="34">
        <v>45922</v>
      </c>
      <c r="AD245" s="34">
        <v>46022</v>
      </c>
      <c r="AF245">
        <v>0</v>
      </c>
      <c r="AG245">
        <v>1424</v>
      </c>
      <c r="AH245">
        <v>0</v>
      </c>
      <c r="AI245">
        <v>2100400</v>
      </c>
      <c r="AJ245">
        <v>0</v>
      </c>
      <c r="AK245">
        <v>0</v>
      </c>
      <c r="AL245">
        <v>527194.5</v>
      </c>
      <c r="AM245">
        <v>0</v>
      </c>
      <c r="AN245">
        <v>2627594.5</v>
      </c>
      <c r="AO245" t="s">
        <v>122</v>
      </c>
      <c r="AP245">
        <v>15</v>
      </c>
      <c r="AQ245">
        <v>213.6</v>
      </c>
      <c r="AR245">
        <v>315060</v>
      </c>
      <c r="AT245">
        <v>11520</v>
      </c>
      <c r="AU245">
        <v>205.06</v>
      </c>
      <c r="AV245">
        <v>16992000</v>
      </c>
      <c r="AW245">
        <v>302463.5</v>
      </c>
    </row>
    <row r="246" spans="1:49" hidden="1" x14ac:dyDescent="0.35">
      <c r="A246">
        <v>5802910</v>
      </c>
      <c r="B246">
        <v>5010005802901</v>
      </c>
      <c r="D246">
        <v>30712286497</v>
      </c>
      <c r="E246" t="s">
        <v>545</v>
      </c>
      <c r="F246" t="s">
        <v>1</v>
      </c>
      <c r="G246" t="s">
        <v>24</v>
      </c>
      <c r="H246" t="s">
        <v>24</v>
      </c>
      <c r="I246">
        <v>6070</v>
      </c>
      <c r="J246">
        <v>1</v>
      </c>
      <c r="K246" t="s">
        <v>16</v>
      </c>
      <c r="L246">
        <v>11014</v>
      </c>
      <c r="M246" t="s">
        <v>232</v>
      </c>
      <c r="N246">
        <v>2</v>
      </c>
      <c r="O246" t="s">
        <v>119</v>
      </c>
      <c r="P246" t="s">
        <v>551</v>
      </c>
      <c r="Q246">
        <v>334.64</v>
      </c>
      <c r="R246">
        <v>18800</v>
      </c>
      <c r="S246">
        <v>47</v>
      </c>
      <c r="T246">
        <v>400</v>
      </c>
      <c r="U246">
        <v>26</v>
      </c>
      <c r="V246">
        <v>1475</v>
      </c>
      <c r="W246" t="s">
        <v>121</v>
      </c>
      <c r="X246" t="s">
        <v>1</v>
      </c>
      <c r="Y246">
        <v>493594</v>
      </c>
      <c r="Z246">
        <v>27730000</v>
      </c>
      <c r="AA246">
        <v>590000</v>
      </c>
      <c r="AB246">
        <v>106</v>
      </c>
      <c r="AC246" s="34">
        <v>45922</v>
      </c>
      <c r="AD246" s="34">
        <v>46022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 t="s">
        <v>122</v>
      </c>
      <c r="AT246">
        <v>11280</v>
      </c>
      <c r="AU246">
        <v>200.78</v>
      </c>
      <c r="AV246">
        <v>16638000</v>
      </c>
      <c r="AW246">
        <v>296150.5</v>
      </c>
    </row>
    <row r="247" spans="1:49" hidden="1" x14ac:dyDescent="0.35">
      <c r="A247">
        <v>5802910</v>
      </c>
      <c r="B247">
        <v>5010005802901</v>
      </c>
      <c r="D247">
        <v>30712286497</v>
      </c>
      <c r="E247" t="s">
        <v>545</v>
      </c>
      <c r="F247" t="s">
        <v>1</v>
      </c>
      <c r="G247" t="s">
        <v>24</v>
      </c>
      <c r="H247" t="s">
        <v>24</v>
      </c>
      <c r="I247">
        <v>6070</v>
      </c>
      <c r="J247">
        <v>1</v>
      </c>
      <c r="K247" t="s">
        <v>16</v>
      </c>
      <c r="L247">
        <v>11014</v>
      </c>
      <c r="M247" t="s">
        <v>232</v>
      </c>
      <c r="N247">
        <v>3</v>
      </c>
      <c r="O247" t="s">
        <v>119</v>
      </c>
      <c r="P247" t="s">
        <v>552</v>
      </c>
      <c r="Q247">
        <v>370.24</v>
      </c>
      <c r="R247">
        <v>20800</v>
      </c>
      <c r="S247">
        <v>52</v>
      </c>
      <c r="T247">
        <v>400</v>
      </c>
      <c r="U247">
        <v>26</v>
      </c>
      <c r="V247">
        <v>1475</v>
      </c>
      <c r="W247" t="s">
        <v>121</v>
      </c>
      <c r="X247" t="s">
        <v>1</v>
      </c>
      <c r="Y247">
        <v>546104</v>
      </c>
      <c r="Z247">
        <v>30680000</v>
      </c>
      <c r="AA247">
        <v>590000</v>
      </c>
      <c r="AB247">
        <v>106</v>
      </c>
      <c r="AC247" s="34">
        <v>45922</v>
      </c>
      <c r="AD247" s="34">
        <v>46022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 t="s">
        <v>122</v>
      </c>
      <c r="AT247">
        <v>12480</v>
      </c>
      <c r="AU247">
        <v>222.14</v>
      </c>
      <c r="AV247">
        <v>18408000</v>
      </c>
      <c r="AW247">
        <v>327656.5</v>
      </c>
    </row>
    <row r="248" spans="1:49" hidden="1" x14ac:dyDescent="0.35">
      <c r="A248">
        <v>5802910</v>
      </c>
      <c r="B248">
        <v>5010005802901</v>
      </c>
      <c r="D248">
        <v>30712286497</v>
      </c>
      <c r="E248" t="s">
        <v>545</v>
      </c>
      <c r="F248" t="s">
        <v>1</v>
      </c>
      <c r="G248" t="s">
        <v>24</v>
      </c>
      <c r="H248" t="s">
        <v>24</v>
      </c>
      <c r="I248">
        <v>6070</v>
      </c>
      <c r="J248">
        <v>1</v>
      </c>
      <c r="K248" t="s">
        <v>16</v>
      </c>
      <c r="L248">
        <v>11014</v>
      </c>
      <c r="M248" t="s">
        <v>232</v>
      </c>
      <c r="N248">
        <v>4</v>
      </c>
      <c r="O248" t="s">
        <v>119</v>
      </c>
      <c r="P248" t="s">
        <v>553</v>
      </c>
      <c r="Q248">
        <v>377.36</v>
      </c>
      <c r="R248">
        <v>21200</v>
      </c>
      <c r="S248">
        <v>53</v>
      </c>
      <c r="T248">
        <v>400</v>
      </c>
      <c r="U248">
        <v>26</v>
      </c>
      <c r="V248">
        <v>1475</v>
      </c>
      <c r="W248" t="s">
        <v>121</v>
      </c>
      <c r="X248" t="s">
        <v>1</v>
      </c>
      <c r="Y248">
        <v>556606</v>
      </c>
      <c r="Z248">
        <v>31270000</v>
      </c>
      <c r="AA248">
        <v>590000</v>
      </c>
      <c r="AB248">
        <v>106</v>
      </c>
      <c r="AC248" s="34">
        <v>45922</v>
      </c>
      <c r="AD248" s="34">
        <v>46022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 t="s">
        <v>122</v>
      </c>
      <c r="AT248">
        <v>12720</v>
      </c>
      <c r="AU248">
        <v>226.42</v>
      </c>
      <c r="AV248">
        <v>18762000</v>
      </c>
      <c r="AW248">
        <v>333969.5</v>
      </c>
    </row>
    <row r="249" spans="1:49" hidden="1" x14ac:dyDescent="0.35">
      <c r="A249">
        <v>5803010</v>
      </c>
      <c r="B249">
        <v>1090005803001</v>
      </c>
      <c r="D249">
        <v>30582241801</v>
      </c>
      <c r="E249" t="s">
        <v>554</v>
      </c>
      <c r="F249" t="s">
        <v>1</v>
      </c>
      <c r="G249" t="s">
        <v>23</v>
      </c>
      <c r="H249" t="s">
        <v>23</v>
      </c>
      <c r="I249">
        <v>6230</v>
      </c>
      <c r="J249">
        <v>1</v>
      </c>
      <c r="K249" t="s">
        <v>16</v>
      </c>
      <c r="L249">
        <v>6127</v>
      </c>
      <c r="M249" t="s">
        <v>118</v>
      </c>
      <c r="N249">
        <v>1</v>
      </c>
      <c r="O249" t="s">
        <v>125</v>
      </c>
      <c r="P249" t="s">
        <v>555</v>
      </c>
      <c r="Q249">
        <v>3120</v>
      </c>
      <c r="R249">
        <v>100000</v>
      </c>
      <c r="S249">
        <v>200</v>
      </c>
      <c r="T249">
        <v>500</v>
      </c>
      <c r="U249">
        <v>26</v>
      </c>
      <c r="V249">
        <v>1408</v>
      </c>
      <c r="W249" t="s">
        <v>121</v>
      </c>
      <c r="X249" t="s">
        <v>1</v>
      </c>
      <c r="Y249">
        <v>4392960</v>
      </c>
      <c r="Z249">
        <v>140800000</v>
      </c>
      <c r="AA249">
        <v>704000</v>
      </c>
      <c r="AB249">
        <v>106</v>
      </c>
      <c r="AC249" s="34">
        <v>45924</v>
      </c>
      <c r="AD249" s="34">
        <v>46022</v>
      </c>
      <c r="AF249">
        <v>0</v>
      </c>
      <c r="AG249">
        <v>3120</v>
      </c>
      <c r="AH249">
        <v>0</v>
      </c>
      <c r="AI249">
        <v>4392960</v>
      </c>
      <c r="AJ249">
        <v>0</v>
      </c>
      <c r="AK249">
        <v>0</v>
      </c>
      <c r="AL249">
        <v>1102632.96</v>
      </c>
      <c r="AM249">
        <v>0</v>
      </c>
      <c r="AN249">
        <v>5495592.96</v>
      </c>
      <c r="AO249" t="s">
        <v>122</v>
      </c>
      <c r="AP249">
        <v>12</v>
      </c>
      <c r="AQ249">
        <v>374.4</v>
      </c>
      <c r="AR249">
        <v>527155.19999999995</v>
      </c>
      <c r="AT249">
        <v>60000</v>
      </c>
      <c r="AU249">
        <v>1872</v>
      </c>
      <c r="AV249">
        <v>84480000</v>
      </c>
      <c r="AW249">
        <v>2635776</v>
      </c>
    </row>
    <row r="250" spans="1:49" hidden="1" x14ac:dyDescent="0.35">
      <c r="A250">
        <v>5803110</v>
      </c>
      <c r="B250">
        <v>1090005803101</v>
      </c>
      <c r="D250">
        <v>30710198299</v>
      </c>
      <c r="E250" t="s">
        <v>556</v>
      </c>
      <c r="F250" t="s">
        <v>1</v>
      </c>
      <c r="G250" t="s">
        <v>169</v>
      </c>
      <c r="H250" t="s">
        <v>170</v>
      </c>
      <c r="I250">
        <v>8166</v>
      </c>
      <c r="J250">
        <v>1</v>
      </c>
      <c r="K250" t="s">
        <v>16</v>
      </c>
      <c r="L250">
        <v>12320</v>
      </c>
      <c r="M250" t="s">
        <v>403</v>
      </c>
      <c r="N250">
        <v>1</v>
      </c>
      <c r="O250" t="s">
        <v>125</v>
      </c>
      <c r="P250" t="s">
        <v>557</v>
      </c>
      <c r="Q250">
        <v>5385.6</v>
      </c>
      <c r="R250">
        <v>112200</v>
      </c>
      <c r="S250">
        <v>374</v>
      </c>
      <c r="T250">
        <v>300</v>
      </c>
      <c r="U250">
        <v>26</v>
      </c>
      <c r="V250">
        <v>1337.5</v>
      </c>
      <c r="W250" t="s">
        <v>121</v>
      </c>
      <c r="X250" t="s">
        <v>1</v>
      </c>
      <c r="Y250">
        <v>7203240</v>
      </c>
      <c r="Z250">
        <v>150067500</v>
      </c>
      <c r="AA250">
        <v>401250</v>
      </c>
      <c r="AB250">
        <v>106</v>
      </c>
      <c r="AC250" s="34">
        <v>45921</v>
      </c>
      <c r="AD250" s="34">
        <v>46053</v>
      </c>
      <c r="AE250" t="s">
        <v>134</v>
      </c>
      <c r="AF250">
        <v>2</v>
      </c>
      <c r="AG250">
        <v>8769.6</v>
      </c>
      <c r="AH250">
        <v>0</v>
      </c>
      <c r="AI250">
        <v>11729340</v>
      </c>
      <c r="AJ250">
        <v>0</v>
      </c>
      <c r="AK250">
        <v>0</v>
      </c>
      <c r="AL250">
        <v>2944078.25</v>
      </c>
      <c r="AM250">
        <v>0</v>
      </c>
      <c r="AN250">
        <v>14673418.25</v>
      </c>
      <c r="AO250" t="s">
        <v>122</v>
      </c>
      <c r="AP250">
        <v>12</v>
      </c>
      <c r="AQ250">
        <v>1052.3499999999999</v>
      </c>
      <c r="AR250">
        <v>1407518.13</v>
      </c>
      <c r="AT250">
        <v>67320</v>
      </c>
      <c r="AU250">
        <v>3231.36</v>
      </c>
      <c r="AV250">
        <v>90040500</v>
      </c>
      <c r="AW250">
        <v>4321944</v>
      </c>
    </row>
    <row r="251" spans="1:49" hidden="1" x14ac:dyDescent="0.35">
      <c r="A251">
        <v>5803110</v>
      </c>
      <c r="B251">
        <v>1090005803101</v>
      </c>
      <c r="D251">
        <v>30710198299</v>
      </c>
      <c r="E251" t="s">
        <v>556</v>
      </c>
      <c r="F251" t="s">
        <v>1</v>
      </c>
      <c r="G251" t="s">
        <v>169</v>
      </c>
      <c r="H251" t="s">
        <v>170</v>
      </c>
      <c r="I251">
        <v>8166</v>
      </c>
      <c r="J251">
        <v>1</v>
      </c>
      <c r="K251" t="s">
        <v>16</v>
      </c>
      <c r="L251">
        <v>12320</v>
      </c>
      <c r="M251" t="s">
        <v>403</v>
      </c>
      <c r="N251">
        <v>2</v>
      </c>
      <c r="O251" t="s">
        <v>125</v>
      </c>
      <c r="P251" t="s">
        <v>558</v>
      </c>
      <c r="Q251">
        <v>2851.2</v>
      </c>
      <c r="R251">
        <v>59400</v>
      </c>
      <c r="S251">
        <v>198</v>
      </c>
      <c r="T251">
        <v>300</v>
      </c>
      <c r="U251">
        <v>26</v>
      </c>
      <c r="V251">
        <v>1337.5</v>
      </c>
      <c r="W251" t="s">
        <v>121</v>
      </c>
      <c r="X251" t="s">
        <v>1</v>
      </c>
      <c r="Y251">
        <v>3813480</v>
      </c>
      <c r="Z251">
        <v>79447500</v>
      </c>
      <c r="AA251">
        <v>401250</v>
      </c>
      <c r="AB251">
        <v>106</v>
      </c>
      <c r="AC251" s="34">
        <v>45921</v>
      </c>
      <c r="AD251" s="34">
        <v>46053</v>
      </c>
      <c r="AE251" t="s">
        <v>134</v>
      </c>
      <c r="AF251">
        <v>2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 t="s">
        <v>122</v>
      </c>
      <c r="AT251">
        <v>35640</v>
      </c>
      <c r="AU251">
        <v>1710.72</v>
      </c>
      <c r="AV251">
        <v>47668500</v>
      </c>
      <c r="AW251">
        <v>2288088</v>
      </c>
    </row>
    <row r="252" spans="1:49" hidden="1" x14ac:dyDescent="0.35">
      <c r="A252">
        <v>5803110</v>
      </c>
      <c r="B252">
        <v>1090005803101</v>
      </c>
      <c r="D252">
        <v>30710198299</v>
      </c>
      <c r="E252" t="s">
        <v>556</v>
      </c>
      <c r="F252" t="s">
        <v>1</v>
      </c>
      <c r="G252" t="s">
        <v>73</v>
      </c>
      <c r="H252" t="s">
        <v>73</v>
      </c>
      <c r="I252">
        <v>8174</v>
      </c>
      <c r="J252">
        <v>1</v>
      </c>
      <c r="K252" t="s">
        <v>16</v>
      </c>
      <c r="L252">
        <v>12320</v>
      </c>
      <c r="M252" t="s">
        <v>403</v>
      </c>
      <c r="N252">
        <v>3</v>
      </c>
      <c r="O252" t="s">
        <v>125</v>
      </c>
      <c r="P252" t="s">
        <v>559</v>
      </c>
      <c r="Q252">
        <v>532.79999999999995</v>
      </c>
      <c r="R252">
        <v>11100</v>
      </c>
      <c r="S252">
        <v>37</v>
      </c>
      <c r="T252">
        <v>300</v>
      </c>
      <c r="U252">
        <v>26</v>
      </c>
      <c r="V252">
        <v>1337.5</v>
      </c>
      <c r="W252" t="s">
        <v>121</v>
      </c>
      <c r="X252" t="s">
        <v>1</v>
      </c>
      <c r="Y252">
        <v>712620</v>
      </c>
      <c r="Z252">
        <v>14846250</v>
      </c>
      <c r="AA252">
        <v>401250</v>
      </c>
      <c r="AB252">
        <v>106</v>
      </c>
      <c r="AC252" s="34">
        <v>45921</v>
      </c>
      <c r="AD252" s="34">
        <v>46053</v>
      </c>
      <c r="AE252" t="s">
        <v>134</v>
      </c>
      <c r="AF252">
        <v>2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 t="s">
        <v>122</v>
      </c>
      <c r="AT252">
        <v>6660</v>
      </c>
      <c r="AU252">
        <v>319.68</v>
      </c>
      <c r="AV252">
        <v>8907750</v>
      </c>
      <c r="AW252">
        <v>427572</v>
      </c>
    </row>
    <row r="253" spans="1:49" hidden="1" x14ac:dyDescent="0.35">
      <c r="A253">
        <v>5803210</v>
      </c>
      <c r="B253">
        <v>1170005803201</v>
      </c>
      <c r="D253">
        <v>20261264413</v>
      </c>
      <c r="E253" t="s">
        <v>560</v>
      </c>
      <c r="F253" t="s">
        <v>1</v>
      </c>
      <c r="G253" t="s">
        <v>198</v>
      </c>
      <c r="H253" t="s">
        <v>28</v>
      </c>
      <c r="I253">
        <v>2914</v>
      </c>
      <c r="J253">
        <v>1</v>
      </c>
      <c r="K253" t="s">
        <v>16</v>
      </c>
      <c r="L253">
        <v>8105</v>
      </c>
      <c r="M253" t="s">
        <v>199</v>
      </c>
      <c r="N253">
        <v>1</v>
      </c>
      <c r="O253" t="s">
        <v>125</v>
      </c>
      <c r="P253" t="s">
        <v>561</v>
      </c>
      <c r="Q253">
        <v>277</v>
      </c>
      <c r="R253">
        <v>10000</v>
      </c>
      <c r="S253">
        <v>25</v>
      </c>
      <c r="T253">
        <v>400</v>
      </c>
      <c r="U253">
        <v>26</v>
      </c>
      <c r="V253">
        <v>1337.5</v>
      </c>
      <c r="W253" t="s">
        <v>121</v>
      </c>
      <c r="X253" t="s">
        <v>1</v>
      </c>
      <c r="Y253">
        <v>370487.5</v>
      </c>
      <c r="Z253">
        <v>13375000</v>
      </c>
      <c r="AA253">
        <v>535000</v>
      </c>
      <c r="AB253">
        <v>106</v>
      </c>
      <c r="AC253" s="34">
        <v>45920</v>
      </c>
      <c r="AD253" s="34">
        <v>46022</v>
      </c>
      <c r="AE253" t="s">
        <v>161</v>
      </c>
      <c r="AF253">
        <v>0</v>
      </c>
      <c r="AG253">
        <v>2969.44</v>
      </c>
      <c r="AH253">
        <v>0</v>
      </c>
      <c r="AI253">
        <v>3971626</v>
      </c>
      <c r="AJ253">
        <v>0</v>
      </c>
      <c r="AK253">
        <v>0</v>
      </c>
      <c r="AL253">
        <v>996878.88</v>
      </c>
      <c r="AM253">
        <v>0</v>
      </c>
      <c r="AN253">
        <v>4968504.88</v>
      </c>
      <c r="AO253" t="s">
        <v>122</v>
      </c>
      <c r="AP253">
        <v>12</v>
      </c>
      <c r="AQ253">
        <v>356.33</v>
      </c>
      <c r="AR253">
        <v>476591.38</v>
      </c>
      <c r="AT253">
        <v>6000</v>
      </c>
      <c r="AU253">
        <v>166.2</v>
      </c>
      <c r="AV253">
        <v>8025000</v>
      </c>
      <c r="AW253">
        <v>222292.5</v>
      </c>
    </row>
    <row r="254" spans="1:49" hidden="1" x14ac:dyDescent="0.35">
      <c r="A254">
        <v>5803210</v>
      </c>
      <c r="B254">
        <v>1170005803201</v>
      </c>
      <c r="D254">
        <v>20261264413</v>
      </c>
      <c r="E254" t="s">
        <v>560</v>
      </c>
      <c r="F254" t="s">
        <v>1</v>
      </c>
      <c r="G254" t="s">
        <v>198</v>
      </c>
      <c r="H254" t="s">
        <v>28</v>
      </c>
      <c r="I254">
        <v>2914</v>
      </c>
      <c r="J254">
        <v>1</v>
      </c>
      <c r="K254" t="s">
        <v>16</v>
      </c>
      <c r="L254">
        <v>8105</v>
      </c>
      <c r="M254" t="s">
        <v>199</v>
      </c>
      <c r="N254">
        <v>2</v>
      </c>
      <c r="O254" t="s">
        <v>125</v>
      </c>
      <c r="P254" t="s">
        <v>562</v>
      </c>
      <c r="Q254">
        <v>587.24</v>
      </c>
      <c r="R254">
        <v>21200</v>
      </c>
      <c r="S254">
        <v>53</v>
      </c>
      <c r="T254">
        <v>400</v>
      </c>
      <c r="U254">
        <v>26</v>
      </c>
      <c r="V254">
        <v>1337.5</v>
      </c>
      <c r="W254" t="s">
        <v>121</v>
      </c>
      <c r="X254" t="s">
        <v>1</v>
      </c>
      <c r="Y254">
        <v>785433.5</v>
      </c>
      <c r="Z254">
        <v>28355000</v>
      </c>
      <c r="AA254">
        <v>535000</v>
      </c>
      <c r="AB254">
        <v>106</v>
      </c>
      <c r="AC254" s="34">
        <v>45920</v>
      </c>
      <c r="AD254" s="34">
        <v>46022</v>
      </c>
      <c r="AE254" t="s">
        <v>161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 t="s">
        <v>122</v>
      </c>
      <c r="AT254">
        <v>12720</v>
      </c>
      <c r="AU254">
        <v>352.34</v>
      </c>
      <c r="AV254">
        <v>17013000</v>
      </c>
      <c r="AW254">
        <v>471254.75</v>
      </c>
    </row>
    <row r="255" spans="1:49" hidden="1" x14ac:dyDescent="0.35">
      <c r="A255">
        <v>5803210</v>
      </c>
      <c r="B255">
        <v>1170005803201</v>
      </c>
      <c r="D255">
        <v>20261264413</v>
      </c>
      <c r="E255" t="s">
        <v>560</v>
      </c>
      <c r="F255" t="s">
        <v>1</v>
      </c>
      <c r="G255" t="s">
        <v>198</v>
      </c>
      <c r="H255" t="s">
        <v>28</v>
      </c>
      <c r="I255">
        <v>2914</v>
      </c>
      <c r="J255">
        <v>1</v>
      </c>
      <c r="K255" t="s">
        <v>16</v>
      </c>
      <c r="L255">
        <v>8105</v>
      </c>
      <c r="M255" t="s">
        <v>199</v>
      </c>
      <c r="N255">
        <v>3</v>
      </c>
      <c r="O255" t="s">
        <v>125</v>
      </c>
      <c r="P255" t="s">
        <v>563</v>
      </c>
      <c r="Q255">
        <v>509.68</v>
      </c>
      <c r="R255">
        <v>18400</v>
      </c>
      <c r="S255">
        <v>46</v>
      </c>
      <c r="T255">
        <v>400</v>
      </c>
      <c r="U255">
        <v>26</v>
      </c>
      <c r="V255">
        <v>1337.5</v>
      </c>
      <c r="W255" t="s">
        <v>121</v>
      </c>
      <c r="X255" t="s">
        <v>1</v>
      </c>
      <c r="Y255">
        <v>681697</v>
      </c>
      <c r="Z255">
        <v>24610000</v>
      </c>
      <c r="AA255">
        <v>535000</v>
      </c>
      <c r="AB255">
        <v>106</v>
      </c>
      <c r="AC255" s="34">
        <v>45920</v>
      </c>
      <c r="AD255" s="34">
        <v>46022</v>
      </c>
      <c r="AE255" t="s">
        <v>161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 t="s">
        <v>122</v>
      </c>
      <c r="AT255">
        <v>11040</v>
      </c>
      <c r="AU255">
        <v>305.81</v>
      </c>
      <c r="AV255">
        <v>14766000</v>
      </c>
      <c r="AW255">
        <v>409020.88</v>
      </c>
    </row>
    <row r="256" spans="1:49" hidden="1" x14ac:dyDescent="0.35">
      <c r="A256">
        <v>5803210</v>
      </c>
      <c r="B256">
        <v>1170005803201</v>
      </c>
      <c r="D256">
        <v>20261264413</v>
      </c>
      <c r="E256" t="s">
        <v>560</v>
      </c>
      <c r="F256" t="s">
        <v>1</v>
      </c>
      <c r="G256" t="s">
        <v>198</v>
      </c>
      <c r="H256" t="s">
        <v>28</v>
      </c>
      <c r="I256">
        <v>2914</v>
      </c>
      <c r="J256">
        <v>1</v>
      </c>
      <c r="K256" t="s">
        <v>16</v>
      </c>
      <c r="L256">
        <v>8105</v>
      </c>
      <c r="M256" t="s">
        <v>199</v>
      </c>
      <c r="N256">
        <v>4</v>
      </c>
      <c r="O256" t="s">
        <v>125</v>
      </c>
      <c r="P256" t="s">
        <v>564</v>
      </c>
      <c r="Q256">
        <v>576.16</v>
      </c>
      <c r="R256">
        <v>20800</v>
      </c>
      <c r="S256">
        <v>52</v>
      </c>
      <c r="T256">
        <v>400</v>
      </c>
      <c r="U256">
        <v>26</v>
      </c>
      <c r="V256">
        <v>1337.5</v>
      </c>
      <c r="W256" t="s">
        <v>121</v>
      </c>
      <c r="X256" t="s">
        <v>1</v>
      </c>
      <c r="Y256">
        <v>770614</v>
      </c>
      <c r="Z256">
        <v>27820000</v>
      </c>
      <c r="AA256">
        <v>535000</v>
      </c>
      <c r="AB256">
        <v>106</v>
      </c>
      <c r="AC256" s="34">
        <v>45920</v>
      </c>
      <c r="AD256" s="34">
        <v>46022</v>
      </c>
      <c r="AE256" t="s">
        <v>161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 t="s">
        <v>122</v>
      </c>
      <c r="AT256">
        <v>12480</v>
      </c>
      <c r="AU256">
        <v>345.7</v>
      </c>
      <c r="AV256">
        <v>16692000</v>
      </c>
      <c r="AW256">
        <v>462373.75</v>
      </c>
    </row>
    <row r="257" spans="1:49" hidden="1" x14ac:dyDescent="0.35">
      <c r="A257">
        <v>5803210</v>
      </c>
      <c r="B257">
        <v>1170005803201</v>
      </c>
      <c r="D257">
        <v>20261264413</v>
      </c>
      <c r="E257" t="s">
        <v>560</v>
      </c>
      <c r="F257" t="s">
        <v>1</v>
      </c>
      <c r="G257" t="s">
        <v>198</v>
      </c>
      <c r="H257" t="s">
        <v>28</v>
      </c>
      <c r="I257">
        <v>2914</v>
      </c>
      <c r="J257">
        <v>1</v>
      </c>
      <c r="K257" t="s">
        <v>16</v>
      </c>
      <c r="L257">
        <v>8105</v>
      </c>
      <c r="M257" t="s">
        <v>199</v>
      </c>
      <c r="N257">
        <v>5</v>
      </c>
      <c r="O257" t="s">
        <v>125</v>
      </c>
      <c r="P257" t="s">
        <v>565</v>
      </c>
      <c r="Q257">
        <v>775.6</v>
      </c>
      <c r="R257">
        <v>28000</v>
      </c>
      <c r="S257">
        <v>70</v>
      </c>
      <c r="T257">
        <v>400</v>
      </c>
      <c r="U257">
        <v>26</v>
      </c>
      <c r="V257">
        <v>1337.5</v>
      </c>
      <c r="W257" t="s">
        <v>121</v>
      </c>
      <c r="X257" t="s">
        <v>1</v>
      </c>
      <c r="Y257">
        <v>1037365</v>
      </c>
      <c r="Z257">
        <v>37450000</v>
      </c>
      <c r="AA257">
        <v>535000</v>
      </c>
      <c r="AB257">
        <v>106</v>
      </c>
      <c r="AC257" s="34">
        <v>45920</v>
      </c>
      <c r="AD257" s="34">
        <v>46022</v>
      </c>
      <c r="AE257" t="s">
        <v>161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 t="s">
        <v>122</v>
      </c>
      <c r="AT257">
        <v>16800</v>
      </c>
      <c r="AU257">
        <v>465.36</v>
      </c>
      <c r="AV257">
        <v>22470000</v>
      </c>
      <c r="AW257">
        <v>622419</v>
      </c>
    </row>
    <row r="258" spans="1:49" hidden="1" x14ac:dyDescent="0.35">
      <c r="A258">
        <v>5803210</v>
      </c>
      <c r="B258">
        <v>1170005803201</v>
      </c>
      <c r="D258">
        <v>20261264413</v>
      </c>
      <c r="E258" t="s">
        <v>560</v>
      </c>
      <c r="F258" t="s">
        <v>1</v>
      </c>
      <c r="G258" t="s">
        <v>198</v>
      </c>
      <c r="H258" t="s">
        <v>28</v>
      </c>
      <c r="I258">
        <v>2914</v>
      </c>
      <c r="J258">
        <v>1</v>
      </c>
      <c r="K258" t="s">
        <v>16</v>
      </c>
      <c r="L258">
        <v>8105</v>
      </c>
      <c r="M258" t="s">
        <v>199</v>
      </c>
      <c r="N258">
        <v>6</v>
      </c>
      <c r="O258" t="s">
        <v>125</v>
      </c>
      <c r="P258" t="s">
        <v>566</v>
      </c>
      <c r="Q258">
        <v>243.76</v>
      </c>
      <c r="R258">
        <v>8800</v>
      </c>
      <c r="S258">
        <v>22</v>
      </c>
      <c r="T258">
        <v>400</v>
      </c>
      <c r="U258">
        <v>26</v>
      </c>
      <c r="V258">
        <v>1337.5</v>
      </c>
      <c r="W258" t="s">
        <v>121</v>
      </c>
      <c r="X258" t="s">
        <v>1</v>
      </c>
      <c r="Y258">
        <v>326029</v>
      </c>
      <c r="Z258">
        <v>11770000</v>
      </c>
      <c r="AA258">
        <v>535000</v>
      </c>
      <c r="AB258">
        <v>106</v>
      </c>
      <c r="AC258" s="34">
        <v>45920</v>
      </c>
      <c r="AD258" s="34">
        <v>46022</v>
      </c>
      <c r="AE258" t="s">
        <v>161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 t="s">
        <v>122</v>
      </c>
      <c r="AT258">
        <v>5280</v>
      </c>
      <c r="AU258">
        <v>146.26</v>
      </c>
      <c r="AV258">
        <v>7062000</v>
      </c>
      <c r="AW258">
        <v>195622.75</v>
      </c>
    </row>
    <row r="259" spans="1:49" hidden="1" x14ac:dyDescent="0.35">
      <c r="A259">
        <v>5803310</v>
      </c>
      <c r="B259">
        <v>1090005803301</v>
      </c>
      <c r="D259">
        <v>30715428845</v>
      </c>
      <c r="E259" t="s">
        <v>567</v>
      </c>
      <c r="F259" t="s">
        <v>1</v>
      </c>
      <c r="G259" t="s">
        <v>568</v>
      </c>
      <c r="H259" t="s">
        <v>57</v>
      </c>
      <c r="I259">
        <v>6360</v>
      </c>
      <c r="J259">
        <v>21</v>
      </c>
      <c r="K259" t="s">
        <v>33</v>
      </c>
      <c r="L259">
        <v>6127</v>
      </c>
      <c r="M259" t="s">
        <v>118</v>
      </c>
      <c r="N259">
        <v>1</v>
      </c>
      <c r="O259" t="s">
        <v>125</v>
      </c>
      <c r="P259" t="s">
        <v>569</v>
      </c>
      <c r="Q259">
        <v>2116.8000000000002</v>
      </c>
      <c r="R259">
        <v>67200</v>
      </c>
      <c r="S259">
        <v>120</v>
      </c>
      <c r="T259">
        <v>560</v>
      </c>
      <c r="U259">
        <v>26</v>
      </c>
      <c r="V259">
        <v>1337.5</v>
      </c>
      <c r="W259" t="s">
        <v>121</v>
      </c>
      <c r="X259" t="s">
        <v>1</v>
      </c>
      <c r="Y259">
        <v>2831220</v>
      </c>
      <c r="Z259">
        <v>89880000</v>
      </c>
      <c r="AA259">
        <v>749000</v>
      </c>
      <c r="AB259">
        <v>106</v>
      </c>
      <c r="AC259" s="34">
        <v>45922</v>
      </c>
      <c r="AD259" s="34">
        <v>46022</v>
      </c>
      <c r="AF259">
        <v>0</v>
      </c>
      <c r="AG259">
        <v>2116.8000000000002</v>
      </c>
      <c r="AH259">
        <v>0</v>
      </c>
      <c r="AI259">
        <v>2831220</v>
      </c>
      <c r="AJ259">
        <v>0</v>
      </c>
      <c r="AK259">
        <v>0</v>
      </c>
      <c r="AL259">
        <v>710627.13</v>
      </c>
      <c r="AM259">
        <v>0</v>
      </c>
      <c r="AN259">
        <v>3541847.13</v>
      </c>
      <c r="AO259" t="s">
        <v>122</v>
      </c>
      <c r="AP259">
        <v>12</v>
      </c>
      <c r="AQ259">
        <v>254.02</v>
      </c>
      <c r="AR259">
        <v>339751.75</v>
      </c>
      <c r="AT259">
        <v>40320</v>
      </c>
      <c r="AU259">
        <v>1270.08</v>
      </c>
      <c r="AV259">
        <v>53928000</v>
      </c>
      <c r="AW259">
        <v>1698732</v>
      </c>
    </row>
    <row r="260" spans="1:49" hidden="1" x14ac:dyDescent="0.35">
      <c r="A260">
        <v>5803410</v>
      </c>
      <c r="B260">
        <v>1090005803401</v>
      </c>
      <c r="D260">
        <v>27179810870</v>
      </c>
      <c r="E260" t="s">
        <v>570</v>
      </c>
      <c r="F260" t="s">
        <v>1</v>
      </c>
      <c r="G260" t="s">
        <v>27</v>
      </c>
      <c r="H260" t="s">
        <v>27</v>
      </c>
      <c r="I260">
        <v>8180</v>
      </c>
      <c r="J260">
        <v>1</v>
      </c>
      <c r="K260" t="s">
        <v>16</v>
      </c>
      <c r="L260">
        <v>7754</v>
      </c>
      <c r="M260" t="s">
        <v>171</v>
      </c>
      <c r="N260">
        <v>1</v>
      </c>
      <c r="O260" t="s">
        <v>125</v>
      </c>
      <c r="P260" t="s">
        <v>571</v>
      </c>
      <c r="Q260">
        <v>1287.9000000000001</v>
      </c>
      <c r="R260">
        <v>24300</v>
      </c>
      <c r="S260">
        <v>81</v>
      </c>
      <c r="T260">
        <v>300</v>
      </c>
      <c r="U260">
        <v>26</v>
      </c>
      <c r="V260">
        <v>1337.5</v>
      </c>
      <c r="W260" t="s">
        <v>121</v>
      </c>
      <c r="X260" t="s">
        <v>1</v>
      </c>
      <c r="Y260">
        <v>1722566.25</v>
      </c>
      <c r="Z260">
        <v>32501250</v>
      </c>
      <c r="AA260">
        <v>401250</v>
      </c>
      <c r="AB260">
        <v>106</v>
      </c>
      <c r="AC260" s="34">
        <v>45923</v>
      </c>
      <c r="AD260" s="34">
        <v>46053</v>
      </c>
      <c r="AE260" t="s">
        <v>134</v>
      </c>
      <c r="AF260">
        <v>1</v>
      </c>
      <c r="AG260">
        <v>1287.9000000000001</v>
      </c>
      <c r="AH260">
        <v>0</v>
      </c>
      <c r="AI260">
        <v>1722566.25</v>
      </c>
      <c r="AJ260">
        <v>0</v>
      </c>
      <c r="AK260">
        <v>0</v>
      </c>
      <c r="AL260">
        <v>518508.63</v>
      </c>
      <c r="AM260">
        <v>0</v>
      </c>
      <c r="AN260">
        <v>2241074.88</v>
      </c>
      <c r="AO260" t="s">
        <v>122</v>
      </c>
      <c r="AP260">
        <v>12</v>
      </c>
      <c r="AQ260">
        <v>154.55000000000001</v>
      </c>
      <c r="AR260">
        <v>206710.63</v>
      </c>
      <c r="AT260">
        <v>14580</v>
      </c>
      <c r="AU260">
        <v>772.74</v>
      </c>
      <c r="AV260">
        <v>19500750</v>
      </c>
      <c r="AW260">
        <v>1033539.75</v>
      </c>
    </row>
    <row r="261" spans="1:49" hidden="1" x14ac:dyDescent="0.35">
      <c r="A261">
        <v>5803510</v>
      </c>
      <c r="B261">
        <v>1090005803501</v>
      </c>
      <c r="D261">
        <v>30717389405</v>
      </c>
      <c r="E261" t="s">
        <v>572</v>
      </c>
      <c r="F261" t="s">
        <v>1</v>
      </c>
      <c r="G261" t="s">
        <v>370</v>
      </c>
      <c r="H261" t="s">
        <v>58</v>
      </c>
      <c r="I261">
        <v>6333</v>
      </c>
      <c r="J261">
        <v>21</v>
      </c>
      <c r="K261" t="s">
        <v>33</v>
      </c>
      <c r="L261">
        <v>6127</v>
      </c>
      <c r="M261" t="s">
        <v>118</v>
      </c>
      <c r="N261">
        <v>1</v>
      </c>
      <c r="O261" t="s">
        <v>125</v>
      </c>
      <c r="P261" t="s">
        <v>573</v>
      </c>
      <c r="Q261">
        <v>1365</v>
      </c>
      <c r="R261">
        <v>39000</v>
      </c>
      <c r="S261">
        <v>195</v>
      </c>
      <c r="T261">
        <v>200</v>
      </c>
      <c r="U261">
        <v>26</v>
      </c>
      <c r="V261">
        <v>1337.5</v>
      </c>
      <c r="W261" t="s">
        <v>121</v>
      </c>
      <c r="X261" t="s">
        <v>1</v>
      </c>
      <c r="Y261">
        <v>1825687.5</v>
      </c>
      <c r="Z261">
        <v>52162500</v>
      </c>
      <c r="AA261">
        <v>267500</v>
      </c>
      <c r="AB261">
        <v>214</v>
      </c>
      <c r="AC261" s="34">
        <v>45909</v>
      </c>
      <c r="AD261" s="34">
        <v>46022</v>
      </c>
      <c r="AF261">
        <v>0</v>
      </c>
      <c r="AG261">
        <v>1365</v>
      </c>
      <c r="AH261">
        <v>0</v>
      </c>
      <c r="AI261">
        <v>1825687.5</v>
      </c>
      <c r="AJ261">
        <v>0</v>
      </c>
      <c r="AK261">
        <v>0</v>
      </c>
      <c r="AL261">
        <v>458254.25</v>
      </c>
      <c r="AM261">
        <v>0</v>
      </c>
      <c r="AN261">
        <v>2283941.75</v>
      </c>
      <c r="AO261" t="s">
        <v>122</v>
      </c>
      <c r="AP261">
        <v>12</v>
      </c>
      <c r="AQ261">
        <v>163.80000000000001</v>
      </c>
      <c r="AR261">
        <v>219082.5</v>
      </c>
      <c r="AT261">
        <v>23400</v>
      </c>
      <c r="AU261">
        <v>819</v>
      </c>
      <c r="AV261">
        <v>31297500</v>
      </c>
      <c r="AW261">
        <v>1095412.5</v>
      </c>
    </row>
    <row r="262" spans="1:49" hidden="1" x14ac:dyDescent="0.35">
      <c r="A262">
        <v>5803610</v>
      </c>
      <c r="B262">
        <v>5010005803601</v>
      </c>
      <c r="D262">
        <v>20214456045</v>
      </c>
      <c r="E262" t="s">
        <v>574</v>
      </c>
      <c r="F262" t="s">
        <v>1</v>
      </c>
      <c r="G262" t="s">
        <v>17</v>
      </c>
      <c r="H262" t="s">
        <v>17</v>
      </c>
      <c r="I262">
        <v>6500</v>
      </c>
      <c r="J262">
        <v>1</v>
      </c>
      <c r="K262" t="s">
        <v>16</v>
      </c>
      <c r="L262">
        <v>11014</v>
      </c>
      <c r="M262" t="s">
        <v>232</v>
      </c>
      <c r="N262">
        <v>1</v>
      </c>
      <c r="O262" t="s">
        <v>125</v>
      </c>
      <c r="P262" t="s">
        <v>575</v>
      </c>
      <c r="Q262">
        <v>456826.5</v>
      </c>
      <c r="R262">
        <v>18495000</v>
      </c>
      <c r="S262">
        <v>30</v>
      </c>
      <c r="T262">
        <v>616500</v>
      </c>
      <c r="U262">
        <v>1</v>
      </c>
      <c r="V262">
        <v>1</v>
      </c>
      <c r="W262" t="s">
        <v>127</v>
      </c>
      <c r="X262">
        <v>24660</v>
      </c>
      <c r="Y262">
        <v>456826.5</v>
      </c>
      <c r="Z262">
        <v>18495000</v>
      </c>
      <c r="AA262">
        <v>616500</v>
      </c>
      <c r="AB262">
        <v>105</v>
      </c>
      <c r="AC262" s="34">
        <v>45924</v>
      </c>
      <c r="AD262" s="34">
        <v>46022</v>
      </c>
      <c r="AF262">
        <v>0</v>
      </c>
      <c r="AG262">
        <v>989790.75</v>
      </c>
      <c r="AH262">
        <v>0</v>
      </c>
      <c r="AI262">
        <v>989790.75</v>
      </c>
      <c r="AJ262">
        <v>0</v>
      </c>
      <c r="AK262">
        <v>0</v>
      </c>
      <c r="AL262">
        <v>248437.49</v>
      </c>
      <c r="AM262">
        <v>0</v>
      </c>
      <c r="AN262">
        <v>1238228.24</v>
      </c>
      <c r="AO262" t="s">
        <v>122</v>
      </c>
      <c r="AP262">
        <v>15</v>
      </c>
      <c r="AQ262">
        <v>148468.62</v>
      </c>
      <c r="AR262">
        <v>148468.62</v>
      </c>
      <c r="AT262">
        <v>11097000</v>
      </c>
      <c r="AU262">
        <v>274095.90000000002</v>
      </c>
      <c r="AV262">
        <v>11097000</v>
      </c>
      <c r="AW262">
        <v>274095.90000000002</v>
      </c>
    </row>
    <row r="263" spans="1:49" hidden="1" x14ac:dyDescent="0.35">
      <c r="A263">
        <v>5803610</v>
      </c>
      <c r="B263">
        <v>5010005803601</v>
      </c>
      <c r="D263">
        <v>20214456045</v>
      </c>
      <c r="E263" t="s">
        <v>574</v>
      </c>
      <c r="F263" t="s">
        <v>1</v>
      </c>
      <c r="G263" t="s">
        <v>17</v>
      </c>
      <c r="H263" t="s">
        <v>17</v>
      </c>
      <c r="I263">
        <v>6500</v>
      </c>
      <c r="J263">
        <v>1</v>
      </c>
      <c r="K263" t="s">
        <v>16</v>
      </c>
      <c r="L263">
        <v>11014</v>
      </c>
      <c r="M263" t="s">
        <v>232</v>
      </c>
      <c r="N263">
        <v>2</v>
      </c>
      <c r="O263" t="s">
        <v>125</v>
      </c>
      <c r="P263" t="s">
        <v>576</v>
      </c>
      <c r="Q263">
        <v>532964.25</v>
      </c>
      <c r="R263">
        <v>21577500</v>
      </c>
      <c r="S263">
        <v>30</v>
      </c>
      <c r="T263">
        <v>719250</v>
      </c>
      <c r="U263">
        <v>1</v>
      </c>
      <c r="V263">
        <v>1</v>
      </c>
      <c r="W263" t="s">
        <v>127</v>
      </c>
      <c r="X263">
        <v>24660</v>
      </c>
      <c r="Y263">
        <v>532964.25</v>
      </c>
      <c r="Z263">
        <v>21577500</v>
      </c>
      <c r="AA263">
        <v>719250</v>
      </c>
      <c r="AB263">
        <v>105</v>
      </c>
      <c r="AC263" s="34">
        <v>45924</v>
      </c>
      <c r="AD263" s="34">
        <v>46022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 t="s">
        <v>122</v>
      </c>
      <c r="AT263">
        <v>12946500</v>
      </c>
      <c r="AU263">
        <v>319778.55</v>
      </c>
      <c r="AV263">
        <v>12946500</v>
      </c>
      <c r="AW263">
        <v>319778.55</v>
      </c>
    </row>
    <row r="264" spans="1:49" hidden="1" x14ac:dyDescent="0.35">
      <c r="A264">
        <v>5803710</v>
      </c>
      <c r="B264">
        <v>1170005803701</v>
      </c>
      <c r="D264">
        <v>30617465341</v>
      </c>
      <c r="E264" t="s">
        <v>577</v>
      </c>
      <c r="F264" t="s">
        <v>1</v>
      </c>
      <c r="G264" t="s">
        <v>578</v>
      </c>
      <c r="H264" t="s">
        <v>297</v>
      </c>
      <c r="I264">
        <v>2107</v>
      </c>
      <c r="J264">
        <v>12</v>
      </c>
      <c r="K264" t="s">
        <v>34</v>
      </c>
      <c r="L264">
        <v>10987</v>
      </c>
      <c r="M264" t="s">
        <v>298</v>
      </c>
      <c r="N264">
        <v>1</v>
      </c>
      <c r="O264" t="s">
        <v>125</v>
      </c>
      <c r="P264" t="s">
        <v>579</v>
      </c>
      <c r="Q264">
        <v>284.39999999999998</v>
      </c>
      <c r="R264">
        <v>9000</v>
      </c>
      <c r="S264">
        <v>15</v>
      </c>
      <c r="T264">
        <v>600</v>
      </c>
      <c r="U264">
        <v>26</v>
      </c>
      <c r="V264">
        <v>1337.5</v>
      </c>
      <c r="W264" t="s">
        <v>121</v>
      </c>
      <c r="X264" t="s">
        <v>1</v>
      </c>
      <c r="Y264">
        <v>380385</v>
      </c>
      <c r="Z264">
        <v>12037500</v>
      </c>
      <c r="AA264">
        <v>802500</v>
      </c>
      <c r="AB264">
        <v>106</v>
      </c>
      <c r="AC264" s="34">
        <v>45920</v>
      </c>
      <c r="AD264" s="34">
        <v>46022</v>
      </c>
      <c r="AE264" t="s">
        <v>161</v>
      </c>
      <c r="AF264">
        <v>0</v>
      </c>
      <c r="AG264">
        <v>284.39999999999998</v>
      </c>
      <c r="AH264">
        <v>0</v>
      </c>
      <c r="AI264">
        <v>380385</v>
      </c>
      <c r="AJ264">
        <v>0</v>
      </c>
      <c r="AK264">
        <v>0</v>
      </c>
      <c r="AL264">
        <v>97370</v>
      </c>
      <c r="AM264">
        <v>0</v>
      </c>
      <c r="AN264">
        <v>477755</v>
      </c>
      <c r="AO264" t="s">
        <v>122</v>
      </c>
      <c r="AP264">
        <v>15</v>
      </c>
      <c r="AQ264">
        <v>42.66</v>
      </c>
      <c r="AR264">
        <v>57057.75</v>
      </c>
      <c r="AT264">
        <v>5400</v>
      </c>
      <c r="AU264">
        <v>170.64</v>
      </c>
      <c r="AV264">
        <v>7222500</v>
      </c>
      <c r="AW264">
        <v>228231</v>
      </c>
    </row>
    <row r="265" spans="1:49" hidden="1" x14ac:dyDescent="0.35">
      <c r="A265">
        <v>5803810</v>
      </c>
      <c r="B265">
        <v>1090005803801</v>
      </c>
      <c r="D265">
        <v>20177149242</v>
      </c>
      <c r="E265" t="s">
        <v>580</v>
      </c>
      <c r="F265" t="s">
        <v>1</v>
      </c>
      <c r="G265" t="s">
        <v>45</v>
      </c>
      <c r="H265" t="s">
        <v>45</v>
      </c>
      <c r="I265">
        <v>6409</v>
      </c>
      <c r="J265">
        <v>1</v>
      </c>
      <c r="K265" t="s">
        <v>16</v>
      </c>
      <c r="L265">
        <v>9371</v>
      </c>
      <c r="M265" t="s">
        <v>581</v>
      </c>
      <c r="N265">
        <v>1</v>
      </c>
      <c r="O265" t="s">
        <v>125</v>
      </c>
      <c r="P265" t="s">
        <v>582</v>
      </c>
      <c r="Q265">
        <v>373.1</v>
      </c>
      <c r="R265">
        <v>13000</v>
      </c>
      <c r="S265">
        <v>52</v>
      </c>
      <c r="T265">
        <v>250</v>
      </c>
      <c r="U265">
        <v>26</v>
      </c>
      <c r="V265">
        <v>1337.5</v>
      </c>
      <c r="W265" t="s">
        <v>121</v>
      </c>
      <c r="X265" t="s">
        <v>1</v>
      </c>
      <c r="Y265">
        <v>499021.25</v>
      </c>
      <c r="Z265">
        <v>17387500</v>
      </c>
      <c r="AA265">
        <v>334375</v>
      </c>
      <c r="AB265">
        <v>106</v>
      </c>
      <c r="AC265" s="34">
        <v>45923</v>
      </c>
      <c r="AD265" s="34">
        <v>46022</v>
      </c>
      <c r="AF265">
        <v>0</v>
      </c>
      <c r="AG265">
        <v>373.1</v>
      </c>
      <c r="AH265">
        <v>0</v>
      </c>
      <c r="AI265">
        <v>499021.25</v>
      </c>
      <c r="AJ265">
        <v>0</v>
      </c>
      <c r="AK265">
        <v>0</v>
      </c>
      <c r="AL265">
        <v>125256.88</v>
      </c>
      <c r="AM265">
        <v>0</v>
      </c>
      <c r="AN265">
        <v>624278.13</v>
      </c>
      <c r="AO265" t="s">
        <v>122</v>
      </c>
      <c r="AP265">
        <v>10</v>
      </c>
      <c r="AQ265">
        <v>37.31</v>
      </c>
      <c r="AR265">
        <v>49902.13</v>
      </c>
      <c r="AT265">
        <v>7800</v>
      </c>
      <c r="AU265">
        <v>223.86</v>
      </c>
      <c r="AV265">
        <v>10432500</v>
      </c>
      <c r="AW265">
        <v>299412.75</v>
      </c>
    </row>
    <row r="266" spans="1:49" hidden="1" x14ac:dyDescent="0.35">
      <c r="A266">
        <v>5803910</v>
      </c>
      <c r="B266">
        <v>1170005803901</v>
      </c>
      <c r="D266">
        <v>20238019134</v>
      </c>
      <c r="E266" t="s">
        <v>138</v>
      </c>
      <c r="F266" t="s">
        <v>1</v>
      </c>
      <c r="G266" t="s">
        <v>226</v>
      </c>
      <c r="H266" t="s">
        <v>63</v>
      </c>
      <c r="I266">
        <v>2535</v>
      </c>
      <c r="J266">
        <v>12</v>
      </c>
      <c r="K266" t="s">
        <v>34</v>
      </c>
      <c r="L266">
        <v>83429</v>
      </c>
      <c r="M266" t="s">
        <v>140</v>
      </c>
      <c r="N266">
        <v>1</v>
      </c>
      <c r="O266" t="s">
        <v>119</v>
      </c>
      <c r="P266" t="s">
        <v>583</v>
      </c>
      <c r="Q266">
        <v>1842935</v>
      </c>
      <c r="R266">
        <v>102046000</v>
      </c>
      <c r="S266">
        <v>74</v>
      </c>
      <c r="T266">
        <v>1379000</v>
      </c>
      <c r="U266">
        <v>1</v>
      </c>
      <c r="V266">
        <v>1</v>
      </c>
      <c r="W266" t="s">
        <v>127</v>
      </c>
      <c r="X266">
        <v>19700</v>
      </c>
      <c r="Y266">
        <v>1842935</v>
      </c>
      <c r="Z266">
        <v>102046000</v>
      </c>
      <c r="AA266">
        <v>1379000</v>
      </c>
      <c r="AB266">
        <v>212</v>
      </c>
      <c r="AC266" s="34">
        <v>45927</v>
      </c>
      <c r="AD266" s="34">
        <v>46142</v>
      </c>
      <c r="AF266">
        <v>0</v>
      </c>
      <c r="AG266">
        <v>1842935</v>
      </c>
      <c r="AH266">
        <v>0</v>
      </c>
      <c r="AI266">
        <v>1842935</v>
      </c>
      <c r="AJ266">
        <v>0</v>
      </c>
      <c r="AK266">
        <v>0</v>
      </c>
      <c r="AL266">
        <v>471791.37</v>
      </c>
      <c r="AM266">
        <v>0</v>
      </c>
      <c r="AN266">
        <v>2314726.37</v>
      </c>
      <c r="AO266" t="s">
        <v>122</v>
      </c>
      <c r="AP266">
        <v>15</v>
      </c>
      <c r="AQ266">
        <v>276440.25</v>
      </c>
      <c r="AR266">
        <v>276440.25</v>
      </c>
      <c r="AT266">
        <v>61227600</v>
      </c>
      <c r="AU266">
        <v>1105761</v>
      </c>
      <c r="AV266">
        <v>61227600</v>
      </c>
      <c r="AW266">
        <v>1105761</v>
      </c>
    </row>
    <row r="267" spans="1:49" hidden="1" x14ac:dyDescent="0.35">
      <c r="A267">
        <v>5804010</v>
      </c>
      <c r="B267">
        <v>1170005804001</v>
      </c>
      <c r="D267">
        <v>30707778136</v>
      </c>
      <c r="E267" t="s">
        <v>486</v>
      </c>
      <c r="F267" t="s">
        <v>1</v>
      </c>
      <c r="G267" t="s">
        <v>226</v>
      </c>
      <c r="H267" t="s">
        <v>63</v>
      </c>
      <c r="I267">
        <v>2535</v>
      </c>
      <c r="J267">
        <v>12</v>
      </c>
      <c r="K267" t="s">
        <v>34</v>
      </c>
      <c r="L267">
        <v>83429</v>
      </c>
      <c r="M267" t="s">
        <v>140</v>
      </c>
      <c r="N267">
        <v>1</v>
      </c>
      <c r="O267" t="s">
        <v>119</v>
      </c>
      <c r="P267" t="s">
        <v>584</v>
      </c>
      <c r="Q267">
        <v>996229</v>
      </c>
      <c r="R267">
        <v>55160000</v>
      </c>
      <c r="S267">
        <v>40</v>
      </c>
      <c r="T267">
        <v>1379000</v>
      </c>
      <c r="U267">
        <v>1</v>
      </c>
      <c r="V267">
        <v>1</v>
      </c>
      <c r="W267" t="s">
        <v>127</v>
      </c>
      <c r="X267">
        <v>19700</v>
      </c>
      <c r="Y267">
        <v>996229</v>
      </c>
      <c r="Z267">
        <v>55160000</v>
      </c>
      <c r="AA267">
        <v>1379000</v>
      </c>
      <c r="AB267">
        <v>212</v>
      </c>
      <c r="AC267" s="34">
        <v>45927</v>
      </c>
      <c r="AD267" s="34">
        <v>46142</v>
      </c>
      <c r="AF267">
        <v>0</v>
      </c>
      <c r="AG267">
        <v>1992458</v>
      </c>
      <c r="AH267">
        <v>0</v>
      </c>
      <c r="AI267">
        <v>1992458</v>
      </c>
      <c r="AJ267">
        <v>0</v>
      </c>
      <c r="AK267">
        <v>0</v>
      </c>
      <c r="AL267">
        <v>510069.25</v>
      </c>
      <c r="AM267">
        <v>0</v>
      </c>
      <c r="AN267">
        <v>2502527.25</v>
      </c>
      <c r="AO267" t="s">
        <v>122</v>
      </c>
      <c r="AP267">
        <v>15</v>
      </c>
      <c r="AQ267">
        <v>298868.7</v>
      </c>
      <c r="AR267">
        <v>298868.7</v>
      </c>
      <c r="AT267">
        <v>33096000</v>
      </c>
      <c r="AU267">
        <v>597737.4</v>
      </c>
      <c r="AV267">
        <v>33096000</v>
      </c>
      <c r="AW267">
        <v>597737.4</v>
      </c>
    </row>
    <row r="268" spans="1:49" hidden="1" x14ac:dyDescent="0.35">
      <c r="A268">
        <v>5804010</v>
      </c>
      <c r="B268">
        <v>1170005804001</v>
      </c>
      <c r="D268">
        <v>30707778136</v>
      </c>
      <c r="E268" t="s">
        <v>486</v>
      </c>
      <c r="F268" t="s">
        <v>1</v>
      </c>
      <c r="G268" t="s">
        <v>226</v>
      </c>
      <c r="H268" t="s">
        <v>63</v>
      </c>
      <c r="I268">
        <v>2535</v>
      </c>
      <c r="J268">
        <v>12</v>
      </c>
      <c r="K268" t="s">
        <v>34</v>
      </c>
      <c r="L268">
        <v>83429</v>
      </c>
      <c r="M268" t="s">
        <v>140</v>
      </c>
      <c r="N268">
        <v>2</v>
      </c>
      <c r="O268" t="s">
        <v>119</v>
      </c>
      <c r="P268" t="s">
        <v>585</v>
      </c>
      <c r="Q268">
        <v>996229</v>
      </c>
      <c r="R268">
        <v>55160000</v>
      </c>
      <c r="S268">
        <v>40</v>
      </c>
      <c r="T268">
        <v>1379000</v>
      </c>
      <c r="U268">
        <v>1</v>
      </c>
      <c r="V268">
        <v>1</v>
      </c>
      <c r="W268" t="s">
        <v>127</v>
      </c>
      <c r="X268">
        <v>19700</v>
      </c>
      <c r="Y268">
        <v>996229</v>
      </c>
      <c r="Z268">
        <v>55160000</v>
      </c>
      <c r="AA268">
        <v>1379000</v>
      </c>
      <c r="AB268">
        <v>212</v>
      </c>
      <c r="AC268" s="34">
        <v>45927</v>
      </c>
      <c r="AD268" s="34">
        <v>46142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 t="s">
        <v>122</v>
      </c>
      <c r="AT268">
        <v>33096000</v>
      </c>
      <c r="AU268">
        <v>597737.4</v>
      </c>
      <c r="AV268">
        <v>33096000</v>
      </c>
      <c r="AW268">
        <v>597737.4</v>
      </c>
    </row>
    <row r="269" spans="1:49" hidden="1" x14ac:dyDescent="0.35">
      <c r="A269">
        <v>5804110</v>
      </c>
      <c r="B269">
        <v>1070005804101</v>
      </c>
      <c r="D269">
        <v>30708174226</v>
      </c>
      <c r="E269" t="s">
        <v>586</v>
      </c>
      <c r="F269" t="s">
        <v>1</v>
      </c>
      <c r="G269" t="s">
        <v>587</v>
      </c>
      <c r="H269" t="s">
        <v>587</v>
      </c>
      <c r="I269">
        <v>6555</v>
      </c>
      <c r="J269">
        <v>1</v>
      </c>
      <c r="K269" t="s">
        <v>16</v>
      </c>
      <c r="L269">
        <v>9056</v>
      </c>
      <c r="M269" t="s">
        <v>326</v>
      </c>
      <c r="N269">
        <v>1</v>
      </c>
      <c r="O269" t="s">
        <v>125</v>
      </c>
      <c r="P269" t="s">
        <v>588</v>
      </c>
      <c r="Q269">
        <v>3493.84</v>
      </c>
      <c r="R269">
        <v>119652</v>
      </c>
      <c r="S269">
        <v>230.1</v>
      </c>
      <c r="T269">
        <v>520</v>
      </c>
      <c r="U269">
        <v>26</v>
      </c>
      <c r="V269">
        <v>1337.5</v>
      </c>
      <c r="W269" t="s">
        <v>121</v>
      </c>
      <c r="X269" t="s">
        <v>1</v>
      </c>
      <c r="Y269">
        <v>4673011</v>
      </c>
      <c r="Z269">
        <v>160034550</v>
      </c>
      <c r="AA269">
        <v>695500</v>
      </c>
      <c r="AB269">
        <v>106</v>
      </c>
      <c r="AC269" s="34">
        <v>45921</v>
      </c>
      <c r="AD269" s="34">
        <v>46022</v>
      </c>
      <c r="AF269">
        <v>1</v>
      </c>
      <c r="AG269">
        <v>18205.599999999999</v>
      </c>
      <c r="AH269">
        <v>0</v>
      </c>
      <c r="AI269">
        <v>24349990</v>
      </c>
      <c r="AJ269">
        <v>0</v>
      </c>
      <c r="AK269">
        <v>0</v>
      </c>
      <c r="AL269">
        <v>6111853.3799999999</v>
      </c>
      <c r="AM269">
        <v>0</v>
      </c>
      <c r="AN269">
        <v>30461843.379999999</v>
      </c>
      <c r="AO269" t="s">
        <v>122</v>
      </c>
      <c r="AP269">
        <v>15</v>
      </c>
      <c r="AQ269">
        <v>2730.84</v>
      </c>
      <c r="AR269">
        <v>3652498.5</v>
      </c>
      <c r="AT269">
        <v>71791.199999999997</v>
      </c>
      <c r="AU269">
        <v>2096.3000000000002</v>
      </c>
      <c r="AV269">
        <v>96020730</v>
      </c>
      <c r="AW269">
        <v>2803801.25</v>
      </c>
    </row>
    <row r="270" spans="1:49" hidden="1" x14ac:dyDescent="0.35">
      <c r="A270">
        <v>5804110</v>
      </c>
      <c r="B270">
        <v>1070005804101</v>
      </c>
      <c r="D270">
        <v>30708174226</v>
      </c>
      <c r="E270" t="s">
        <v>586</v>
      </c>
      <c r="F270" t="s">
        <v>1</v>
      </c>
      <c r="G270" t="s">
        <v>589</v>
      </c>
      <c r="H270" t="s">
        <v>422</v>
      </c>
      <c r="I270">
        <v>6550</v>
      </c>
      <c r="J270">
        <v>1</v>
      </c>
      <c r="K270" t="s">
        <v>16</v>
      </c>
      <c r="L270">
        <v>9056</v>
      </c>
      <c r="M270" t="s">
        <v>326</v>
      </c>
      <c r="N270">
        <v>2</v>
      </c>
      <c r="O270" t="s">
        <v>125</v>
      </c>
      <c r="P270" t="s">
        <v>590</v>
      </c>
      <c r="Q270">
        <v>5588.88</v>
      </c>
      <c r="R270">
        <v>191400</v>
      </c>
      <c r="S270">
        <v>348</v>
      </c>
      <c r="T270">
        <v>550</v>
      </c>
      <c r="U270">
        <v>26</v>
      </c>
      <c r="V270">
        <v>1337.5</v>
      </c>
      <c r="W270" t="s">
        <v>121</v>
      </c>
      <c r="X270" t="s">
        <v>1</v>
      </c>
      <c r="Y270">
        <v>7475127</v>
      </c>
      <c r="Z270">
        <v>255997500</v>
      </c>
      <c r="AA270">
        <v>735625</v>
      </c>
      <c r="AB270">
        <v>106</v>
      </c>
      <c r="AC270" s="34">
        <v>45921</v>
      </c>
      <c r="AD270" s="34">
        <v>46022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 t="s">
        <v>122</v>
      </c>
      <c r="AT270">
        <v>114840</v>
      </c>
      <c r="AU270">
        <v>3353.33</v>
      </c>
      <c r="AV270">
        <v>153598500</v>
      </c>
      <c r="AW270">
        <v>4485078.88</v>
      </c>
    </row>
    <row r="271" spans="1:49" hidden="1" x14ac:dyDescent="0.35">
      <c r="A271">
        <v>5804110</v>
      </c>
      <c r="B271">
        <v>1070005804101</v>
      </c>
      <c r="D271">
        <v>30708174226</v>
      </c>
      <c r="E271" t="s">
        <v>586</v>
      </c>
      <c r="F271" t="s">
        <v>1</v>
      </c>
      <c r="G271" t="s">
        <v>589</v>
      </c>
      <c r="H271" t="s">
        <v>422</v>
      </c>
      <c r="I271">
        <v>6550</v>
      </c>
      <c r="J271">
        <v>1</v>
      </c>
      <c r="K271" t="s">
        <v>16</v>
      </c>
      <c r="L271">
        <v>9056</v>
      </c>
      <c r="M271" t="s">
        <v>326</v>
      </c>
      <c r="N271">
        <v>3</v>
      </c>
      <c r="O271" t="s">
        <v>125</v>
      </c>
      <c r="P271" t="s">
        <v>591</v>
      </c>
      <c r="Q271">
        <v>9122.8799999999992</v>
      </c>
      <c r="R271">
        <v>335400</v>
      </c>
      <c r="S271">
        <v>559</v>
      </c>
      <c r="T271">
        <v>600</v>
      </c>
      <c r="U271">
        <v>26</v>
      </c>
      <c r="V271">
        <v>1337.5</v>
      </c>
      <c r="W271" t="s">
        <v>121</v>
      </c>
      <c r="X271" t="s">
        <v>1</v>
      </c>
      <c r="Y271">
        <v>12201852</v>
      </c>
      <c r="Z271">
        <v>448597500</v>
      </c>
      <c r="AA271">
        <v>802500</v>
      </c>
      <c r="AB271">
        <v>106</v>
      </c>
      <c r="AC271" s="34">
        <v>45921</v>
      </c>
      <c r="AD271" s="34">
        <v>46022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 t="s">
        <v>122</v>
      </c>
      <c r="AT271">
        <v>201240</v>
      </c>
      <c r="AU271">
        <v>5473.73</v>
      </c>
      <c r="AV271">
        <v>269158500</v>
      </c>
      <c r="AW271">
        <v>7321113.8799999999</v>
      </c>
    </row>
    <row r="272" spans="1:49" hidden="1" x14ac:dyDescent="0.35">
      <c r="A272">
        <v>5804210</v>
      </c>
      <c r="B272">
        <v>1170005804201</v>
      </c>
      <c r="D272">
        <v>20165383355</v>
      </c>
      <c r="E272" t="s">
        <v>592</v>
      </c>
      <c r="F272" t="s">
        <v>1</v>
      </c>
      <c r="G272" t="s">
        <v>212</v>
      </c>
      <c r="H272" t="s">
        <v>59</v>
      </c>
      <c r="I272">
        <v>2637</v>
      </c>
      <c r="J272">
        <v>12</v>
      </c>
      <c r="K272" t="s">
        <v>34</v>
      </c>
      <c r="L272">
        <v>14218</v>
      </c>
      <c r="M272" t="s">
        <v>213</v>
      </c>
      <c r="N272">
        <v>1</v>
      </c>
      <c r="O272" t="s">
        <v>125</v>
      </c>
      <c r="P272" t="s">
        <v>593</v>
      </c>
      <c r="Q272">
        <v>2395531.0499999998</v>
      </c>
      <c r="R272">
        <v>52649100</v>
      </c>
      <c r="S272">
        <v>61</v>
      </c>
      <c r="T272">
        <v>863100</v>
      </c>
      <c r="U272">
        <v>1</v>
      </c>
      <c r="V272">
        <v>1</v>
      </c>
      <c r="W272" t="s">
        <v>127</v>
      </c>
      <c r="X272">
        <v>24660</v>
      </c>
      <c r="Y272">
        <v>2395531.0499999998</v>
      </c>
      <c r="Z272">
        <v>52649100</v>
      </c>
      <c r="AA272">
        <v>863100</v>
      </c>
      <c r="AB272">
        <v>214</v>
      </c>
      <c r="AC272" s="34">
        <v>45871</v>
      </c>
      <c r="AD272" s="34">
        <v>46022</v>
      </c>
      <c r="AE272" t="s">
        <v>134</v>
      </c>
      <c r="AF272">
        <v>0</v>
      </c>
      <c r="AG272">
        <v>2395531.0499999998</v>
      </c>
      <c r="AH272">
        <v>0</v>
      </c>
      <c r="AI272">
        <v>2395531.0499999998</v>
      </c>
      <c r="AJ272">
        <v>0</v>
      </c>
      <c r="AK272">
        <v>0</v>
      </c>
      <c r="AL272">
        <v>613255.96</v>
      </c>
      <c r="AM272">
        <v>0</v>
      </c>
      <c r="AN272">
        <v>3008787.01</v>
      </c>
      <c r="AO272" t="s">
        <v>122</v>
      </c>
      <c r="AP272">
        <v>15</v>
      </c>
      <c r="AQ272">
        <v>359329.66</v>
      </c>
      <c r="AR272">
        <v>359329.66</v>
      </c>
      <c r="AT272">
        <v>31589460</v>
      </c>
      <c r="AU272">
        <v>1437318.63</v>
      </c>
      <c r="AV272">
        <v>31589460</v>
      </c>
      <c r="AW272">
        <v>1437318.63</v>
      </c>
    </row>
    <row r="273" spans="1:49" hidden="1" x14ac:dyDescent="0.35">
      <c r="A273">
        <v>5804310</v>
      </c>
      <c r="B273">
        <v>1170005804301</v>
      </c>
      <c r="D273">
        <v>20310389766</v>
      </c>
      <c r="E273" t="s">
        <v>594</v>
      </c>
      <c r="F273" t="s">
        <v>1</v>
      </c>
      <c r="G273" t="s">
        <v>226</v>
      </c>
      <c r="H273" t="s">
        <v>63</v>
      </c>
      <c r="I273">
        <v>2535</v>
      </c>
      <c r="J273">
        <v>12</v>
      </c>
      <c r="K273" t="s">
        <v>34</v>
      </c>
      <c r="L273">
        <v>83429</v>
      </c>
      <c r="M273" t="s">
        <v>140</v>
      </c>
      <c r="N273">
        <v>1</v>
      </c>
      <c r="O273" t="s">
        <v>125</v>
      </c>
      <c r="P273" t="s">
        <v>595</v>
      </c>
      <c r="Q273">
        <v>1387471</v>
      </c>
      <c r="R273">
        <v>76830000</v>
      </c>
      <c r="S273">
        <v>65</v>
      </c>
      <c r="T273">
        <v>1182000</v>
      </c>
      <c r="U273">
        <v>1</v>
      </c>
      <c r="V273">
        <v>1</v>
      </c>
      <c r="W273" t="s">
        <v>127</v>
      </c>
      <c r="X273">
        <v>19700</v>
      </c>
      <c r="Y273">
        <v>1387471</v>
      </c>
      <c r="Z273">
        <v>76830000</v>
      </c>
      <c r="AA273">
        <v>1182000</v>
      </c>
      <c r="AB273">
        <v>212</v>
      </c>
      <c r="AC273" s="34">
        <v>45929</v>
      </c>
      <c r="AD273" s="34">
        <v>46142</v>
      </c>
      <c r="AF273">
        <v>0</v>
      </c>
      <c r="AG273">
        <v>1387471</v>
      </c>
      <c r="AH273">
        <v>0</v>
      </c>
      <c r="AI273">
        <v>1387471</v>
      </c>
      <c r="AJ273">
        <v>0</v>
      </c>
      <c r="AK273">
        <v>0</v>
      </c>
      <c r="AL273">
        <v>355192.59</v>
      </c>
      <c r="AM273">
        <v>0</v>
      </c>
      <c r="AN273">
        <v>1742663.59</v>
      </c>
      <c r="AO273" t="s">
        <v>122</v>
      </c>
      <c r="AP273">
        <v>15</v>
      </c>
      <c r="AQ273">
        <v>208120.65</v>
      </c>
      <c r="AR273">
        <v>208120.65</v>
      </c>
      <c r="AT273">
        <v>46098000</v>
      </c>
      <c r="AU273">
        <v>832482.6</v>
      </c>
      <c r="AV273">
        <v>46098000</v>
      </c>
      <c r="AW273">
        <v>832482.6</v>
      </c>
    </row>
    <row r="274" spans="1:49" hidden="1" x14ac:dyDescent="0.35">
      <c r="A274">
        <v>5804410</v>
      </c>
      <c r="B274">
        <v>1170005804401</v>
      </c>
      <c r="D274">
        <v>27240192433</v>
      </c>
      <c r="E274" t="s">
        <v>596</v>
      </c>
      <c r="F274" t="s">
        <v>1</v>
      </c>
      <c r="G274" t="s">
        <v>226</v>
      </c>
      <c r="H274" t="s">
        <v>63</v>
      </c>
      <c r="I274">
        <v>2535</v>
      </c>
      <c r="J274">
        <v>12</v>
      </c>
      <c r="K274" t="s">
        <v>34</v>
      </c>
      <c r="L274">
        <v>83429</v>
      </c>
      <c r="M274" t="s">
        <v>140</v>
      </c>
      <c r="N274">
        <v>1</v>
      </c>
      <c r="O274" t="s">
        <v>119</v>
      </c>
      <c r="P274" t="s">
        <v>597</v>
      </c>
      <c r="Q274">
        <v>683196</v>
      </c>
      <c r="R274">
        <v>37824000</v>
      </c>
      <c r="S274">
        <v>32</v>
      </c>
      <c r="T274">
        <v>1182000</v>
      </c>
      <c r="U274">
        <v>1</v>
      </c>
      <c r="V274">
        <v>1</v>
      </c>
      <c r="W274" t="s">
        <v>127</v>
      </c>
      <c r="X274">
        <v>19700</v>
      </c>
      <c r="Y274">
        <v>683196</v>
      </c>
      <c r="Z274">
        <v>37824000</v>
      </c>
      <c r="AA274">
        <v>1182000</v>
      </c>
      <c r="AB274">
        <v>212</v>
      </c>
      <c r="AC274" s="34">
        <v>45927</v>
      </c>
      <c r="AD274" s="34">
        <v>46142</v>
      </c>
      <c r="AF274">
        <v>0</v>
      </c>
      <c r="AG274">
        <v>683196</v>
      </c>
      <c r="AH274">
        <v>0</v>
      </c>
      <c r="AI274">
        <v>683196</v>
      </c>
      <c r="AJ274">
        <v>0</v>
      </c>
      <c r="AK274">
        <v>0</v>
      </c>
      <c r="AL274">
        <v>174898.18</v>
      </c>
      <c r="AM274">
        <v>0</v>
      </c>
      <c r="AN274">
        <v>858094.18</v>
      </c>
      <c r="AO274" t="s">
        <v>122</v>
      </c>
      <c r="AP274">
        <v>15</v>
      </c>
      <c r="AQ274">
        <v>102479.4</v>
      </c>
      <c r="AR274">
        <v>102479.4</v>
      </c>
      <c r="AT274">
        <v>22694400</v>
      </c>
      <c r="AU274">
        <v>409917.6</v>
      </c>
      <c r="AV274">
        <v>22694400</v>
      </c>
      <c r="AW274">
        <v>409917.6</v>
      </c>
    </row>
    <row r="275" spans="1:49" hidden="1" x14ac:dyDescent="0.35">
      <c r="A275">
        <v>5804510</v>
      </c>
      <c r="B275">
        <v>1170005804501</v>
      </c>
      <c r="D275">
        <v>27240192433</v>
      </c>
      <c r="E275" t="s">
        <v>596</v>
      </c>
      <c r="F275" t="s">
        <v>1</v>
      </c>
      <c r="G275" t="s">
        <v>226</v>
      </c>
      <c r="H275" t="s">
        <v>63</v>
      </c>
      <c r="I275">
        <v>2535</v>
      </c>
      <c r="J275">
        <v>12</v>
      </c>
      <c r="K275" t="s">
        <v>34</v>
      </c>
      <c r="L275">
        <v>83429</v>
      </c>
      <c r="M275" t="s">
        <v>140</v>
      </c>
      <c r="N275">
        <v>1</v>
      </c>
      <c r="O275" t="s">
        <v>119</v>
      </c>
      <c r="P275" t="s">
        <v>598</v>
      </c>
      <c r="Q275">
        <v>2303940.87</v>
      </c>
      <c r="R275">
        <v>84385080</v>
      </c>
      <c r="S275">
        <v>78</v>
      </c>
      <c r="T275">
        <v>1081860</v>
      </c>
      <c r="U275">
        <v>1</v>
      </c>
      <c r="V275">
        <v>1</v>
      </c>
      <c r="W275" t="s">
        <v>127</v>
      </c>
      <c r="X275">
        <v>54093</v>
      </c>
      <c r="Y275">
        <v>2303940.87</v>
      </c>
      <c r="Z275">
        <v>84385080</v>
      </c>
      <c r="AA275">
        <v>1081860</v>
      </c>
      <c r="AB275">
        <v>212</v>
      </c>
      <c r="AC275" s="34">
        <v>45927</v>
      </c>
      <c r="AD275" s="34">
        <v>46112</v>
      </c>
      <c r="AF275">
        <v>0</v>
      </c>
      <c r="AG275">
        <v>2303820.87</v>
      </c>
      <c r="AH275">
        <v>120</v>
      </c>
      <c r="AI275">
        <v>2303820.87</v>
      </c>
      <c r="AJ275">
        <v>120</v>
      </c>
      <c r="AK275">
        <v>0</v>
      </c>
      <c r="AL275">
        <v>589808.86</v>
      </c>
      <c r="AM275">
        <v>0</v>
      </c>
      <c r="AN275">
        <v>2893749.73</v>
      </c>
      <c r="AO275" t="s">
        <v>122</v>
      </c>
      <c r="AP275">
        <v>15</v>
      </c>
      <c r="AQ275">
        <v>345573.13</v>
      </c>
      <c r="AR275">
        <v>345573.13</v>
      </c>
      <c r="AT275">
        <v>50631048</v>
      </c>
      <c r="AU275">
        <v>1382292.52</v>
      </c>
      <c r="AV275">
        <v>50631048</v>
      </c>
      <c r="AW275">
        <v>1382292.52</v>
      </c>
    </row>
    <row r="276" spans="1:49" hidden="1" x14ac:dyDescent="0.35">
      <c r="A276">
        <v>5804610</v>
      </c>
      <c r="B276">
        <v>5010005804601</v>
      </c>
      <c r="D276">
        <v>30509685416</v>
      </c>
      <c r="E276" t="s">
        <v>599</v>
      </c>
      <c r="F276" t="s">
        <v>1</v>
      </c>
      <c r="G276" t="s">
        <v>600</v>
      </c>
      <c r="H276" t="s">
        <v>600</v>
      </c>
      <c r="I276">
        <v>7020</v>
      </c>
      <c r="J276">
        <v>1</v>
      </c>
      <c r="K276" t="s">
        <v>16</v>
      </c>
      <c r="L276">
        <v>4525</v>
      </c>
      <c r="M276" t="s">
        <v>601</v>
      </c>
      <c r="N276">
        <v>1</v>
      </c>
      <c r="O276" t="s">
        <v>125</v>
      </c>
      <c r="P276" t="s">
        <v>602</v>
      </c>
      <c r="Q276">
        <v>4608</v>
      </c>
      <c r="R276">
        <v>153600</v>
      </c>
      <c r="S276">
        <v>256</v>
      </c>
      <c r="T276">
        <v>600</v>
      </c>
      <c r="U276">
        <v>26</v>
      </c>
      <c r="V276">
        <v>1326</v>
      </c>
      <c r="W276" t="s">
        <v>121</v>
      </c>
      <c r="X276" t="s">
        <v>1</v>
      </c>
      <c r="Y276">
        <v>6110208</v>
      </c>
      <c r="Z276">
        <v>203673600</v>
      </c>
      <c r="AA276">
        <v>795600</v>
      </c>
      <c r="AB276">
        <v>106</v>
      </c>
      <c r="AC276" s="34">
        <v>45929</v>
      </c>
      <c r="AD276" s="34">
        <v>46022</v>
      </c>
      <c r="AF276">
        <v>0</v>
      </c>
      <c r="AG276">
        <v>9048.69</v>
      </c>
      <c r="AH276">
        <v>0</v>
      </c>
      <c r="AI276">
        <v>11998562.939999999</v>
      </c>
      <c r="AJ276">
        <v>0</v>
      </c>
      <c r="AK276">
        <v>0</v>
      </c>
      <c r="AL276">
        <v>3011624.46</v>
      </c>
      <c r="AM276">
        <v>0</v>
      </c>
      <c r="AN276">
        <v>15010187.4</v>
      </c>
      <c r="AO276" t="s">
        <v>122</v>
      </c>
      <c r="AP276">
        <v>15</v>
      </c>
      <c r="AQ276">
        <v>1357.3</v>
      </c>
      <c r="AR276">
        <v>1799779.8</v>
      </c>
      <c r="AT276">
        <v>92160</v>
      </c>
      <c r="AU276">
        <v>2764.8</v>
      </c>
      <c r="AV276">
        <v>122204160</v>
      </c>
      <c r="AW276">
        <v>3666124.7999999998</v>
      </c>
    </row>
    <row r="277" spans="1:49" hidden="1" x14ac:dyDescent="0.35">
      <c r="A277">
        <v>5804610</v>
      </c>
      <c r="B277">
        <v>5010005804601</v>
      </c>
      <c r="D277">
        <v>30509685416</v>
      </c>
      <c r="E277" t="s">
        <v>599</v>
      </c>
      <c r="F277" t="s">
        <v>1</v>
      </c>
      <c r="G277" t="s">
        <v>600</v>
      </c>
      <c r="H277" t="s">
        <v>600</v>
      </c>
      <c r="I277">
        <v>7020</v>
      </c>
      <c r="J277">
        <v>1</v>
      </c>
      <c r="K277" t="s">
        <v>16</v>
      </c>
      <c r="L277">
        <v>4525</v>
      </c>
      <c r="M277" t="s">
        <v>601</v>
      </c>
      <c r="N277">
        <v>2</v>
      </c>
      <c r="O277" t="s">
        <v>125</v>
      </c>
      <c r="P277" t="s">
        <v>603</v>
      </c>
      <c r="Q277">
        <v>4440.6899999999996</v>
      </c>
      <c r="R277">
        <v>147600</v>
      </c>
      <c r="S277">
        <v>246</v>
      </c>
      <c r="T277">
        <v>600</v>
      </c>
      <c r="U277">
        <v>26</v>
      </c>
      <c r="V277">
        <v>1326</v>
      </c>
      <c r="W277" t="s">
        <v>121</v>
      </c>
      <c r="X277" t="s">
        <v>1</v>
      </c>
      <c r="Y277">
        <v>5888354.9400000004</v>
      </c>
      <c r="Z277">
        <v>195717600</v>
      </c>
      <c r="AA277">
        <v>795600</v>
      </c>
      <c r="AB277">
        <v>106</v>
      </c>
      <c r="AC277" s="34">
        <v>45929</v>
      </c>
      <c r="AD277" s="34">
        <v>46022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 t="s">
        <v>122</v>
      </c>
      <c r="AT277">
        <v>88560</v>
      </c>
      <c r="AU277">
        <v>2664.41</v>
      </c>
      <c r="AV277">
        <v>117430560</v>
      </c>
      <c r="AW277">
        <v>3533007.66</v>
      </c>
    </row>
    <row r="278" spans="1:49" hidden="1" x14ac:dyDescent="0.35">
      <c r="A278">
        <v>5804810</v>
      </c>
      <c r="B278">
        <v>1250005804801</v>
      </c>
      <c r="D278">
        <v>30711984336</v>
      </c>
      <c r="E278" t="s">
        <v>604</v>
      </c>
      <c r="F278" t="s">
        <v>1</v>
      </c>
      <c r="G278" t="s">
        <v>174</v>
      </c>
      <c r="H278" t="s">
        <v>51</v>
      </c>
      <c r="I278">
        <v>5929</v>
      </c>
      <c r="J278">
        <v>3</v>
      </c>
      <c r="K278" t="s">
        <v>32</v>
      </c>
      <c r="L278">
        <v>6435</v>
      </c>
      <c r="M278" t="s">
        <v>175</v>
      </c>
      <c r="N278">
        <v>1</v>
      </c>
      <c r="O278" t="s">
        <v>125</v>
      </c>
      <c r="P278" t="s">
        <v>605</v>
      </c>
      <c r="Q278">
        <v>3147168.38</v>
      </c>
      <c r="R278">
        <v>57852360</v>
      </c>
      <c r="S278">
        <v>138</v>
      </c>
      <c r="T278">
        <v>419220</v>
      </c>
      <c r="U278">
        <v>1</v>
      </c>
      <c r="V278">
        <v>1</v>
      </c>
      <c r="W278" t="s">
        <v>127</v>
      </c>
      <c r="X278">
        <v>24660</v>
      </c>
      <c r="Y278">
        <v>3147168.38</v>
      </c>
      <c r="Z278">
        <v>57852360</v>
      </c>
      <c r="AA278">
        <v>419220</v>
      </c>
      <c r="AB278">
        <v>105</v>
      </c>
      <c r="AC278" s="34">
        <v>45928</v>
      </c>
      <c r="AD278" s="34">
        <v>46022</v>
      </c>
      <c r="AF278">
        <v>0</v>
      </c>
      <c r="AG278">
        <v>3147168.38</v>
      </c>
      <c r="AH278">
        <v>0</v>
      </c>
      <c r="AI278">
        <v>3147168.38</v>
      </c>
      <c r="AJ278">
        <v>0</v>
      </c>
      <c r="AK278">
        <v>0</v>
      </c>
      <c r="AL278">
        <v>821410.96</v>
      </c>
      <c r="AM278">
        <v>0</v>
      </c>
      <c r="AN278">
        <v>3968579.34</v>
      </c>
      <c r="AO278" t="s">
        <v>122</v>
      </c>
      <c r="AP278">
        <v>15</v>
      </c>
      <c r="AQ278">
        <v>472075.26</v>
      </c>
      <c r="AR278">
        <v>472075.26</v>
      </c>
      <c r="AT278">
        <v>34711416</v>
      </c>
      <c r="AU278">
        <v>1888301.03</v>
      </c>
      <c r="AV278">
        <v>34711416</v>
      </c>
      <c r="AW278">
        <v>1888301.03</v>
      </c>
    </row>
    <row r="279" spans="1:49" hidden="1" x14ac:dyDescent="0.35">
      <c r="A279">
        <v>5804910</v>
      </c>
      <c r="B279">
        <v>1250005804901</v>
      </c>
      <c r="D279">
        <v>20169818178</v>
      </c>
      <c r="E279" t="s">
        <v>606</v>
      </c>
      <c r="F279" t="s">
        <v>1</v>
      </c>
      <c r="G279" t="s">
        <v>174</v>
      </c>
      <c r="H279" t="s">
        <v>51</v>
      </c>
      <c r="I279">
        <v>5929</v>
      </c>
      <c r="J279">
        <v>3</v>
      </c>
      <c r="K279" t="s">
        <v>32</v>
      </c>
      <c r="L279">
        <v>6435</v>
      </c>
      <c r="M279" t="s">
        <v>175</v>
      </c>
      <c r="N279">
        <v>1</v>
      </c>
      <c r="O279" t="s">
        <v>125</v>
      </c>
      <c r="P279" t="s">
        <v>607</v>
      </c>
      <c r="Q279">
        <v>3398029.63</v>
      </c>
      <c r="R279">
        <v>62463780</v>
      </c>
      <c r="S279">
        <v>149</v>
      </c>
      <c r="T279">
        <v>419220</v>
      </c>
      <c r="U279">
        <v>1</v>
      </c>
      <c r="V279">
        <v>1</v>
      </c>
      <c r="W279" t="s">
        <v>127</v>
      </c>
      <c r="X279">
        <v>24660</v>
      </c>
      <c r="Y279">
        <v>3398029.63</v>
      </c>
      <c r="Z279">
        <v>62463780</v>
      </c>
      <c r="AA279">
        <v>419220</v>
      </c>
      <c r="AB279">
        <v>105</v>
      </c>
      <c r="AC279" s="34">
        <v>45928</v>
      </c>
      <c r="AD279" s="34">
        <v>46022</v>
      </c>
      <c r="AF279">
        <v>0</v>
      </c>
      <c r="AG279">
        <v>3398029.63</v>
      </c>
      <c r="AH279">
        <v>0</v>
      </c>
      <c r="AI279">
        <v>3398029.63</v>
      </c>
      <c r="AJ279">
        <v>0</v>
      </c>
      <c r="AK279">
        <v>0</v>
      </c>
      <c r="AL279">
        <v>886885.73</v>
      </c>
      <c r="AM279">
        <v>0</v>
      </c>
      <c r="AN279">
        <v>4284915.3600000003</v>
      </c>
      <c r="AO279" t="s">
        <v>122</v>
      </c>
      <c r="AP279">
        <v>15</v>
      </c>
      <c r="AQ279">
        <v>509704.44</v>
      </c>
      <c r="AR279">
        <v>509704.44</v>
      </c>
      <c r="AT279">
        <v>37478268</v>
      </c>
      <c r="AU279">
        <v>2038817.78</v>
      </c>
      <c r="AV279">
        <v>37478268</v>
      </c>
      <c r="AW279">
        <v>2038817.78</v>
      </c>
    </row>
    <row r="280" spans="1:49" hidden="1" x14ac:dyDescent="0.35">
      <c r="A280">
        <v>5805010</v>
      </c>
      <c r="B280">
        <v>1170005805001</v>
      </c>
      <c r="D280">
        <v>20214217075</v>
      </c>
      <c r="E280" t="s">
        <v>148</v>
      </c>
      <c r="F280" t="s">
        <v>1</v>
      </c>
      <c r="G280" t="s">
        <v>226</v>
      </c>
      <c r="H280" t="s">
        <v>63</v>
      </c>
      <c r="I280">
        <v>2535</v>
      </c>
      <c r="J280">
        <v>12</v>
      </c>
      <c r="K280" t="s">
        <v>34</v>
      </c>
      <c r="L280">
        <v>83429</v>
      </c>
      <c r="M280" t="s">
        <v>140</v>
      </c>
      <c r="N280">
        <v>1</v>
      </c>
      <c r="O280" t="s">
        <v>119</v>
      </c>
      <c r="P280" t="s">
        <v>608</v>
      </c>
      <c r="Q280">
        <v>697380</v>
      </c>
      <c r="R280">
        <v>38612000</v>
      </c>
      <c r="S280">
        <v>28</v>
      </c>
      <c r="T280">
        <v>1379000</v>
      </c>
      <c r="U280">
        <v>1</v>
      </c>
      <c r="V280">
        <v>1</v>
      </c>
      <c r="W280" t="s">
        <v>127</v>
      </c>
      <c r="X280">
        <v>19700</v>
      </c>
      <c r="Y280">
        <v>697380</v>
      </c>
      <c r="Z280">
        <v>38612000</v>
      </c>
      <c r="AA280">
        <v>1379000</v>
      </c>
      <c r="AB280">
        <v>212</v>
      </c>
      <c r="AC280" s="34">
        <v>45935</v>
      </c>
      <c r="AD280" s="34">
        <v>46142</v>
      </c>
      <c r="AF280">
        <v>0</v>
      </c>
      <c r="AG280">
        <v>4881266</v>
      </c>
      <c r="AH280">
        <v>0</v>
      </c>
      <c r="AI280">
        <v>4881266</v>
      </c>
      <c r="AJ280">
        <v>0</v>
      </c>
      <c r="AK280">
        <v>0</v>
      </c>
      <c r="AL280">
        <v>1249604.1000000001</v>
      </c>
      <c r="AM280">
        <v>0</v>
      </c>
      <c r="AN280">
        <v>6130870.0999999996</v>
      </c>
      <c r="AO280" t="s">
        <v>122</v>
      </c>
      <c r="AP280">
        <v>15</v>
      </c>
      <c r="AQ280">
        <v>732189.9</v>
      </c>
      <c r="AR280">
        <v>732189.9</v>
      </c>
      <c r="AT280">
        <v>23167200</v>
      </c>
      <c r="AU280">
        <v>418428</v>
      </c>
      <c r="AV280">
        <v>23167200</v>
      </c>
      <c r="AW280">
        <v>418428</v>
      </c>
    </row>
    <row r="281" spans="1:49" hidden="1" x14ac:dyDescent="0.35">
      <c r="A281">
        <v>5805010</v>
      </c>
      <c r="B281">
        <v>1170005805001</v>
      </c>
      <c r="D281">
        <v>20214217075</v>
      </c>
      <c r="E281" t="s">
        <v>148</v>
      </c>
      <c r="F281" t="s">
        <v>1</v>
      </c>
      <c r="G281" t="s">
        <v>226</v>
      </c>
      <c r="H281" t="s">
        <v>63</v>
      </c>
      <c r="I281">
        <v>2535</v>
      </c>
      <c r="J281">
        <v>12</v>
      </c>
      <c r="K281" t="s">
        <v>34</v>
      </c>
      <c r="L281">
        <v>83429</v>
      </c>
      <c r="M281" t="s">
        <v>140</v>
      </c>
      <c r="N281">
        <v>2</v>
      </c>
      <c r="O281" t="s">
        <v>119</v>
      </c>
      <c r="P281" t="s">
        <v>609</v>
      </c>
      <c r="Q281">
        <v>1618749</v>
      </c>
      <c r="R281">
        <v>89635000</v>
      </c>
      <c r="S281">
        <v>65</v>
      </c>
      <c r="T281">
        <v>1379000</v>
      </c>
      <c r="U281">
        <v>1</v>
      </c>
      <c r="V281">
        <v>1</v>
      </c>
      <c r="W281" t="s">
        <v>127</v>
      </c>
      <c r="X281">
        <v>19700</v>
      </c>
      <c r="Y281">
        <v>1618749</v>
      </c>
      <c r="Z281">
        <v>89635000</v>
      </c>
      <c r="AA281">
        <v>1379000</v>
      </c>
      <c r="AB281">
        <v>212</v>
      </c>
      <c r="AC281" s="34">
        <v>45935</v>
      </c>
      <c r="AD281" s="34">
        <v>46142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 t="s">
        <v>122</v>
      </c>
      <c r="AT281">
        <v>53781000</v>
      </c>
      <c r="AU281">
        <v>971249.4</v>
      </c>
      <c r="AV281">
        <v>53781000</v>
      </c>
      <c r="AW281">
        <v>971249.4</v>
      </c>
    </row>
    <row r="282" spans="1:49" hidden="1" x14ac:dyDescent="0.35">
      <c r="A282">
        <v>5805010</v>
      </c>
      <c r="B282">
        <v>1170005805001</v>
      </c>
      <c r="D282">
        <v>20214217075</v>
      </c>
      <c r="E282" t="s">
        <v>148</v>
      </c>
      <c r="F282" t="s">
        <v>1</v>
      </c>
      <c r="G282" t="s">
        <v>226</v>
      </c>
      <c r="H282" t="s">
        <v>63</v>
      </c>
      <c r="I282">
        <v>2535</v>
      </c>
      <c r="J282">
        <v>12</v>
      </c>
      <c r="K282" t="s">
        <v>34</v>
      </c>
      <c r="L282">
        <v>83429</v>
      </c>
      <c r="M282" t="s">
        <v>140</v>
      </c>
      <c r="N282">
        <v>3</v>
      </c>
      <c r="O282" t="s">
        <v>119</v>
      </c>
      <c r="P282" t="s">
        <v>610</v>
      </c>
      <c r="Q282">
        <v>1120733</v>
      </c>
      <c r="R282">
        <v>62055000</v>
      </c>
      <c r="S282">
        <v>45</v>
      </c>
      <c r="T282">
        <v>1379000</v>
      </c>
      <c r="U282">
        <v>1</v>
      </c>
      <c r="V282">
        <v>1</v>
      </c>
      <c r="W282" t="s">
        <v>127</v>
      </c>
      <c r="X282">
        <v>19700</v>
      </c>
      <c r="Y282">
        <v>1120733</v>
      </c>
      <c r="Z282">
        <v>62055000</v>
      </c>
      <c r="AA282">
        <v>1379000</v>
      </c>
      <c r="AB282">
        <v>212</v>
      </c>
      <c r="AC282" s="34">
        <v>45935</v>
      </c>
      <c r="AD282" s="34">
        <v>46142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 t="s">
        <v>122</v>
      </c>
      <c r="AT282">
        <v>37233000</v>
      </c>
      <c r="AU282">
        <v>672439.8</v>
      </c>
      <c r="AV282">
        <v>37233000</v>
      </c>
      <c r="AW282">
        <v>672439.8</v>
      </c>
    </row>
    <row r="283" spans="1:49" hidden="1" x14ac:dyDescent="0.35">
      <c r="A283">
        <v>5805010</v>
      </c>
      <c r="B283">
        <v>1170005805001</v>
      </c>
      <c r="D283">
        <v>20214217075</v>
      </c>
      <c r="E283" t="s">
        <v>148</v>
      </c>
      <c r="F283" t="s">
        <v>1</v>
      </c>
      <c r="G283" t="s">
        <v>226</v>
      </c>
      <c r="H283" t="s">
        <v>63</v>
      </c>
      <c r="I283">
        <v>2535</v>
      </c>
      <c r="J283">
        <v>12</v>
      </c>
      <c r="K283" t="s">
        <v>34</v>
      </c>
      <c r="L283">
        <v>83429</v>
      </c>
      <c r="M283" t="s">
        <v>140</v>
      </c>
      <c r="N283">
        <v>4</v>
      </c>
      <c r="O283" t="s">
        <v>119</v>
      </c>
      <c r="P283" t="s">
        <v>611</v>
      </c>
      <c r="Q283">
        <v>1444404</v>
      </c>
      <c r="R283">
        <v>79982000</v>
      </c>
      <c r="S283">
        <v>58</v>
      </c>
      <c r="T283">
        <v>1379000</v>
      </c>
      <c r="U283">
        <v>1</v>
      </c>
      <c r="V283">
        <v>1</v>
      </c>
      <c r="W283" t="s">
        <v>127</v>
      </c>
      <c r="X283">
        <v>19700</v>
      </c>
      <c r="Y283">
        <v>1444404</v>
      </c>
      <c r="Z283">
        <v>79982000</v>
      </c>
      <c r="AA283">
        <v>1379000</v>
      </c>
      <c r="AB283">
        <v>212</v>
      </c>
      <c r="AC283" s="34">
        <v>45935</v>
      </c>
      <c r="AD283" s="34">
        <v>46142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 t="s">
        <v>122</v>
      </c>
      <c r="AT283">
        <v>47989200</v>
      </c>
      <c r="AU283">
        <v>866642.4</v>
      </c>
      <c r="AV283">
        <v>47989200</v>
      </c>
      <c r="AW283">
        <v>866642.4</v>
      </c>
    </row>
    <row r="284" spans="1:49" hidden="1" x14ac:dyDescent="0.35">
      <c r="A284">
        <v>5805210</v>
      </c>
      <c r="B284">
        <v>1170005805201</v>
      </c>
      <c r="D284">
        <v>30717022447</v>
      </c>
      <c r="E284" t="s">
        <v>225</v>
      </c>
      <c r="F284" t="s">
        <v>1</v>
      </c>
      <c r="G284" t="s">
        <v>226</v>
      </c>
      <c r="H284" t="s">
        <v>63</v>
      </c>
      <c r="I284">
        <v>2535</v>
      </c>
      <c r="J284">
        <v>12</v>
      </c>
      <c r="K284" t="s">
        <v>34</v>
      </c>
      <c r="L284">
        <v>83429</v>
      </c>
      <c r="M284" t="s">
        <v>140</v>
      </c>
      <c r="N284">
        <v>1</v>
      </c>
      <c r="O284" t="s">
        <v>119</v>
      </c>
      <c r="P284" t="s">
        <v>612</v>
      </c>
      <c r="Q284">
        <v>2365970</v>
      </c>
      <c r="R284">
        <v>131005000</v>
      </c>
      <c r="S284">
        <v>95</v>
      </c>
      <c r="T284">
        <v>1379000</v>
      </c>
      <c r="U284">
        <v>1</v>
      </c>
      <c r="V284">
        <v>1</v>
      </c>
      <c r="W284" t="s">
        <v>127</v>
      </c>
      <c r="X284">
        <v>19700</v>
      </c>
      <c r="Y284">
        <v>2365970</v>
      </c>
      <c r="Z284">
        <v>131005000</v>
      </c>
      <c r="AA284">
        <v>1379000</v>
      </c>
      <c r="AB284">
        <v>212</v>
      </c>
      <c r="AC284" s="34">
        <v>45935</v>
      </c>
      <c r="AD284" s="34">
        <v>46142</v>
      </c>
      <c r="AF284">
        <v>0</v>
      </c>
      <c r="AG284">
        <v>2938846</v>
      </c>
      <c r="AH284">
        <v>0</v>
      </c>
      <c r="AI284">
        <v>2938846</v>
      </c>
      <c r="AJ284">
        <v>0</v>
      </c>
      <c r="AK284">
        <v>0</v>
      </c>
      <c r="AL284">
        <v>752344.58</v>
      </c>
      <c r="AM284">
        <v>0</v>
      </c>
      <c r="AN284">
        <v>3691190.58</v>
      </c>
      <c r="AO284" t="s">
        <v>122</v>
      </c>
      <c r="AP284">
        <v>15</v>
      </c>
      <c r="AQ284">
        <v>440826.9</v>
      </c>
      <c r="AR284">
        <v>440826.9</v>
      </c>
      <c r="AT284">
        <v>78603000</v>
      </c>
      <c r="AU284">
        <v>1419582</v>
      </c>
      <c r="AV284">
        <v>78603000</v>
      </c>
      <c r="AW284">
        <v>1419582</v>
      </c>
    </row>
    <row r="285" spans="1:49" hidden="1" x14ac:dyDescent="0.35">
      <c r="A285">
        <v>5805210</v>
      </c>
      <c r="B285">
        <v>1170005805201</v>
      </c>
      <c r="D285">
        <v>30717022447</v>
      </c>
      <c r="E285" t="s">
        <v>225</v>
      </c>
      <c r="F285" t="s">
        <v>1</v>
      </c>
      <c r="G285" t="s">
        <v>226</v>
      </c>
      <c r="H285" t="s">
        <v>63</v>
      </c>
      <c r="I285">
        <v>2535</v>
      </c>
      <c r="J285">
        <v>12</v>
      </c>
      <c r="K285" t="s">
        <v>34</v>
      </c>
      <c r="L285">
        <v>83429</v>
      </c>
      <c r="M285" t="s">
        <v>140</v>
      </c>
      <c r="N285">
        <v>2</v>
      </c>
      <c r="O285" t="s">
        <v>119</v>
      </c>
      <c r="P285" t="s">
        <v>613</v>
      </c>
      <c r="Q285">
        <v>572876</v>
      </c>
      <c r="R285">
        <v>31717000</v>
      </c>
      <c r="S285">
        <v>23</v>
      </c>
      <c r="T285">
        <v>1379000</v>
      </c>
      <c r="U285">
        <v>1</v>
      </c>
      <c r="V285">
        <v>1</v>
      </c>
      <c r="W285" t="s">
        <v>127</v>
      </c>
      <c r="X285">
        <v>19700</v>
      </c>
      <c r="Y285">
        <v>572876</v>
      </c>
      <c r="Z285">
        <v>31717000</v>
      </c>
      <c r="AA285">
        <v>1379000</v>
      </c>
      <c r="AB285">
        <v>212</v>
      </c>
      <c r="AC285" s="34">
        <v>45935</v>
      </c>
      <c r="AD285" s="34">
        <v>46142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 t="s">
        <v>122</v>
      </c>
      <c r="AT285">
        <v>19030200</v>
      </c>
      <c r="AU285">
        <v>343725.6</v>
      </c>
      <c r="AV285">
        <v>19030200</v>
      </c>
      <c r="AW285">
        <v>343725.6</v>
      </c>
    </row>
    <row r="286" spans="1:49" hidden="1" x14ac:dyDescent="0.35">
      <c r="A286">
        <v>5805410</v>
      </c>
      <c r="B286">
        <v>1090005805401</v>
      </c>
      <c r="D286">
        <v>20318178586</v>
      </c>
      <c r="E286" t="s">
        <v>614</v>
      </c>
      <c r="F286" t="s">
        <v>1</v>
      </c>
      <c r="G286" t="s">
        <v>27</v>
      </c>
      <c r="H286" t="s">
        <v>27</v>
      </c>
      <c r="I286">
        <v>8180</v>
      </c>
      <c r="J286">
        <v>1</v>
      </c>
      <c r="K286" t="s">
        <v>16</v>
      </c>
      <c r="L286">
        <v>12320</v>
      </c>
      <c r="M286" t="s">
        <v>403</v>
      </c>
      <c r="N286">
        <v>1</v>
      </c>
      <c r="O286" t="s">
        <v>125</v>
      </c>
      <c r="P286" t="s">
        <v>615</v>
      </c>
      <c r="Q286">
        <v>627.20000000000005</v>
      </c>
      <c r="R286">
        <v>22400</v>
      </c>
      <c r="S286">
        <v>56</v>
      </c>
      <c r="T286">
        <v>400</v>
      </c>
      <c r="U286">
        <v>26</v>
      </c>
      <c r="V286">
        <v>1423</v>
      </c>
      <c r="W286" t="s">
        <v>121</v>
      </c>
      <c r="X286" t="s">
        <v>1</v>
      </c>
      <c r="Y286">
        <v>892505.59999999998</v>
      </c>
      <c r="Z286">
        <v>31875200</v>
      </c>
      <c r="AA286">
        <v>569200</v>
      </c>
      <c r="AB286">
        <v>106</v>
      </c>
      <c r="AC286" s="34">
        <v>45916</v>
      </c>
      <c r="AD286" s="34">
        <v>46053</v>
      </c>
      <c r="AF286">
        <v>0</v>
      </c>
      <c r="AG286">
        <v>2620.8000000000002</v>
      </c>
      <c r="AH286">
        <v>0</v>
      </c>
      <c r="AI286">
        <v>3729398.4</v>
      </c>
      <c r="AJ286">
        <v>0</v>
      </c>
      <c r="AK286">
        <v>0</v>
      </c>
      <c r="AL286">
        <v>947248.41</v>
      </c>
      <c r="AM286">
        <v>0</v>
      </c>
      <c r="AN286">
        <v>4676646.8099999996</v>
      </c>
      <c r="AO286" t="s">
        <v>122</v>
      </c>
      <c r="AP286">
        <v>10</v>
      </c>
      <c r="AQ286">
        <v>262.08</v>
      </c>
      <c r="AR286">
        <v>372939.84</v>
      </c>
      <c r="AT286">
        <v>13440</v>
      </c>
      <c r="AU286">
        <v>376.32</v>
      </c>
      <c r="AV286">
        <v>19125120</v>
      </c>
      <c r="AW286">
        <v>535503.35999999999</v>
      </c>
    </row>
    <row r="287" spans="1:49" hidden="1" x14ac:dyDescent="0.35">
      <c r="A287">
        <v>5805410</v>
      </c>
      <c r="B287">
        <v>1090005805401</v>
      </c>
      <c r="D287">
        <v>20318178586</v>
      </c>
      <c r="E287" t="s">
        <v>614</v>
      </c>
      <c r="F287" t="s">
        <v>1</v>
      </c>
      <c r="G287" t="s">
        <v>27</v>
      </c>
      <c r="H287" t="s">
        <v>27</v>
      </c>
      <c r="I287">
        <v>8180</v>
      </c>
      <c r="J287">
        <v>1</v>
      </c>
      <c r="K287" t="s">
        <v>16</v>
      </c>
      <c r="L287">
        <v>12320</v>
      </c>
      <c r="M287" t="s">
        <v>403</v>
      </c>
      <c r="N287">
        <v>2</v>
      </c>
      <c r="O287" t="s">
        <v>125</v>
      </c>
      <c r="P287" t="s">
        <v>616</v>
      </c>
      <c r="Q287">
        <v>593.6</v>
      </c>
      <c r="R287">
        <v>21200</v>
      </c>
      <c r="S287">
        <v>53</v>
      </c>
      <c r="T287">
        <v>400</v>
      </c>
      <c r="U287">
        <v>26</v>
      </c>
      <c r="V287">
        <v>1423</v>
      </c>
      <c r="W287" t="s">
        <v>121</v>
      </c>
      <c r="X287" t="s">
        <v>1</v>
      </c>
      <c r="Y287">
        <v>844692.8</v>
      </c>
      <c r="Z287">
        <v>30167600</v>
      </c>
      <c r="AA287">
        <v>569200</v>
      </c>
      <c r="AB287">
        <v>106</v>
      </c>
      <c r="AC287" s="34">
        <v>45916</v>
      </c>
      <c r="AD287" s="34">
        <v>46053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 t="s">
        <v>122</v>
      </c>
      <c r="AT287">
        <v>12720</v>
      </c>
      <c r="AU287">
        <v>356.16</v>
      </c>
      <c r="AV287">
        <v>18100560</v>
      </c>
      <c r="AW287">
        <v>506815.68</v>
      </c>
    </row>
    <row r="288" spans="1:49" hidden="1" x14ac:dyDescent="0.35">
      <c r="A288">
        <v>5805410</v>
      </c>
      <c r="B288">
        <v>1090005805401</v>
      </c>
      <c r="D288">
        <v>20318178586</v>
      </c>
      <c r="E288" t="s">
        <v>614</v>
      </c>
      <c r="F288" t="s">
        <v>1</v>
      </c>
      <c r="G288" t="s">
        <v>27</v>
      </c>
      <c r="H288" t="s">
        <v>27</v>
      </c>
      <c r="I288">
        <v>8180</v>
      </c>
      <c r="J288">
        <v>1</v>
      </c>
      <c r="K288" t="s">
        <v>16</v>
      </c>
      <c r="L288">
        <v>12320</v>
      </c>
      <c r="M288" t="s">
        <v>403</v>
      </c>
      <c r="N288">
        <v>3</v>
      </c>
      <c r="O288" t="s">
        <v>125</v>
      </c>
      <c r="P288" t="s">
        <v>617</v>
      </c>
      <c r="Q288">
        <v>1400</v>
      </c>
      <c r="R288">
        <v>50000</v>
      </c>
      <c r="S288">
        <v>125</v>
      </c>
      <c r="T288">
        <v>400</v>
      </c>
      <c r="U288">
        <v>26</v>
      </c>
      <c r="V288">
        <v>1423</v>
      </c>
      <c r="W288" t="s">
        <v>121</v>
      </c>
      <c r="X288" t="s">
        <v>1</v>
      </c>
      <c r="Y288">
        <v>1992200</v>
      </c>
      <c r="Z288">
        <v>71150000</v>
      </c>
      <c r="AA288">
        <v>569200</v>
      </c>
      <c r="AB288">
        <v>106</v>
      </c>
      <c r="AC288" s="34">
        <v>45916</v>
      </c>
      <c r="AD288" s="34">
        <v>46053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 t="s">
        <v>122</v>
      </c>
      <c r="AT288">
        <v>30000</v>
      </c>
      <c r="AU288">
        <v>840</v>
      </c>
      <c r="AV288">
        <v>42690000</v>
      </c>
      <c r="AW288">
        <v>1195320</v>
      </c>
    </row>
    <row r="289" spans="1:49" hidden="1" x14ac:dyDescent="0.35">
      <c r="A289">
        <v>5805510</v>
      </c>
      <c r="B289">
        <v>1090005805501</v>
      </c>
      <c r="D289">
        <v>30717716368</v>
      </c>
      <c r="E289" t="s">
        <v>618</v>
      </c>
      <c r="F289" t="s">
        <v>1</v>
      </c>
      <c r="G289" t="s">
        <v>412</v>
      </c>
      <c r="H289" t="s">
        <v>412</v>
      </c>
      <c r="I289">
        <v>6369</v>
      </c>
      <c r="J289">
        <v>21</v>
      </c>
      <c r="K289" t="s">
        <v>33</v>
      </c>
      <c r="L289">
        <v>82963</v>
      </c>
      <c r="M289" t="s">
        <v>396</v>
      </c>
      <c r="N289">
        <v>1</v>
      </c>
      <c r="O289" t="s">
        <v>125</v>
      </c>
      <c r="P289" t="s">
        <v>619</v>
      </c>
      <c r="Q289">
        <v>584010</v>
      </c>
      <c r="R289">
        <v>13500000</v>
      </c>
      <c r="S289">
        <v>45</v>
      </c>
      <c r="T289">
        <v>300000</v>
      </c>
      <c r="U289">
        <v>1</v>
      </c>
      <c r="V289">
        <v>1</v>
      </c>
      <c r="W289" t="s">
        <v>121</v>
      </c>
      <c r="X289" t="s">
        <v>1</v>
      </c>
      <c r="Y289">
        <v>584010</v>
      </c>
      <c r="Z289">
        <v>13500000</v>
      </c>
      <c r="AA289">
        <v>300000</v>
      </c>
      <c r="AB289">
        <v>105</v>
      </c>
      <c r="AC289" s="34">
        <v>45928</v>
      </c>
      <c r="AD289" s="34">
        <v>46022</v>
      </c>
      <c r="AE289" t="s">
        <v>161</v>
      </c>
      <c r="AF289">
        <v>0</v>
      </c>
      <c r="AG289">
        <v>1492470</v>
      </c>
      <c r="AH289">
        <v>0</v>
      </c>
      <c r="AI289">
        <v>1492470</v>
      </c>
      <c r="AJ289">
        <v>0</v>
      </c>
      <c r="AK289">
        <v>0</v>
      </c>
      <c r="AL289">
        <v>374609.97</v>
      </c>
      <c r="AM289">
        <v>0</v>
      </c>
      <c r="AN289">
        <v>1867079.97</v>
      </c>
      <c r="AO289" t="s">
        <v>122</v>
      </c>
      <c r="AP289">
        <v>15</v>
      </c>
      <c r="AQ289">
        <v>223870.5</v>
      </c>
      <c r="AR289">
        <v>223870.5</v>
      </c>
      <c r="AT289">
        <v>8100000</v>
      </c>
      <c r="AU289">
        <v>350406</v>
      </c>
      <c r="AV289">
        <v>8100000</v>
      </c>
      <c r="AW289">
        <v>350406</v>
      </c>
    </row>
    <row r="290" spans="1:49" hidden="1" x14ac:dyDescent="0.35">
      <c r="A290">
        <v>5805510</v>
      </c>
      <c r="B290">
        <v>1090005805501</v>
      </c>
      <c r="D290">
        <v>30717716368</v>
      </c>
      <c r="E290" t="s">
        <v>618</v>
      </c>
      <c r="F290" t="s">
        <v>1</v>
      </c>
      <c r="G290" t="s">
        <v>412</v>
      </c>
      <c r="H290" t="s">
        <v>412</v>
      </c>
      <c r="I290">
        <v>6369</v>
      </c>
      <c r="J290">
        <v>21</v>
      </c>
      <c r="K290" t="s">
        <v>33</v>
      </c>
      <c r="L290">
        <v>82963</v>
      </c>
      <c r="M290" t="s">
        <v>396</v>
      </c>
      <c r="N290">
        <v>2</v>
      </c>
      <c r="O290" t="s">
        <v>125</v>
      </c>
      <c r="P290" t="s">
        <v>620</v>
      </c>
      <c r="Q290">
        <v>648900</v>
      </c>
      <c r="R290">
        <v>15000000</v>
      </c>
      <c r="S290">
        <v>50</v>
      </c>
      <c r="T290">
        <v>300000</v>
      </c>
      <c r="U290">
        <v>1</v>
      </c>
      <c r="V290">
        <v>1</v>
      </c>
      <c r="W290" t="s">
        <v>121</v>
      </c>
      <c r="X290" t="s">
        <v>1</v>
      </c>
      <c r="Y290">
        <v>648900</v>
      </c>
      <c r="Z290">
        <v>15000000</v>
      </c>
      <c r="AA290">
        <v>300000</v>
      </c>
      <c r="AB290">
        <v>105</v>
      </c>
      <c r="AC290" s="34">
        <v>45928</v>
      </c>
      <c r="AD290" s="34">
        <v>46022</v>
      </c>
      <c r="AE290" t="s">
        <v>161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 t="s">
        <v>122</v>
      </c>
      <c r="AT290">
        <v>9000000</v>
      </c>
      <c r="AU290">
        <v>389340</v>
      </c>
      <c r="AV290">
        <v>9000000</v>
      </c>
      <c r="AW290">
        <v>389340</v>
      </c>
    </row>
    <row r="291" spans="1:49" hidden="1" x14ac:dyDescent="0.35">
      <c r="A291">
        <v>5805510</v>
      </c>
      <c r="B291">
        <v>1090005805501</v>
      </c>
      <c r="D291">
        <v>30717716368</v>
      </c>
      <c r="E291" t="s">
        <v>618</v>
      </c>
      <c r="F291" t="s">
        <v>1</v>
      </c>
      <c r="G291" t="s">
        <v>412</v>
      </c>
      <c r="H291" t="s">
        <v>412</v>
      </c>
      <c r="I291">
        <v>6369</v>
      </c>
      <c r="J291">
        <v>21</v>
      </c>
      <c r="K291" t="s">
        <v>33</v>
      </c>
      <c r="L291">
        <v>82963</v>
      </c>
      <c r="M291" t="s">
        <v>396</v>
      </c>
      <c r="N291">
        <v>3</v>
      </c>
      <c r="O291" t="s">
        <v>125</v>
      </c>
      <c r="P291" t="s">
        <v>621</v>
      </c>
      <c r="Q291">
        <v>259560</v>
      </c>
      <c r="R291">
        <v>6000000</v>
      </c>
      <c r="S291">
        <v>20</v>
      </c>
      <c r="T291">
        <v>300000</v>
      </c>
      <c r="U291">
        <v>1</v>
      </c>
      <c r="V291">
        <v>1</v>
      </c>
      <c r="W291" t="s">
        <v>121</v>
      </c>
      <c r="X291" t="s">
        <v>1</v>
      </c>
      <c r="Y291">
        <v>259560</v>
      </c>
      <c r="Z291">
        <v>6000000</v>
      </c>
      <c r="AA291">
        <v>300000</v>
      </c>
      <c r="AB291">
        <v>105</v>
      </c>
      <c r="AC291" s="34">
        <v>45928</v>
      </c>
      <c r="AD291" s="34">
        <v>46022</v>
      </c>
      <c r="AE291" t="s">
        <v>161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 t="s">
        <v>122</v>
      </c>
      <c r="AT291">
        <v>3600000</v>
      </c>
      <c r="AU291">
        <v>155736</v>
      </c>
      <c r="AV291">
        <v>3600000</v>
      </c>
      <c r="AW291">
        <v>155736</v>
      </c>
    </row>
    <row r="292" spans="1:49" hidden="1" x14ac:dyDescent="0.35">
      <c r="A292">
        <v>5805610</v>
      </c>
      <c r="B292">
        <v>5010005805601</v>
      </c>
      <c r="D292">
        <v>30700916908</v>
      </c>
      <c r="E292" t="s">
        <v>622</v>
      </c>
      <c r="F292" t="s">
        <v>1</v>
      </c>
      <c r="G292" t="s">
        <v>623</v>
      </c>
      <c r="H292" t="s">
        <v>623</v>
      </c>
      <c r="I292">
        <v>7620</v>
      </c>
      <c r="J292">
        <v>1</v>
      </c>
      <c r="K292" t="s">
        <v>16</v>
      </c>
      <c r="L292">
        <v>13212</v>
      </c>
      <c r="M292" t="s">
        <v>429</v>
      </c>
      <c r="N292">
        <v>1</v>
      </c>
      <c r="O292" t="s">
        <v>125</v>
      </c>
      <c r="P292" t="s">
        <v>624</v>
      </c>
      <c r="Q292">
        <v>3399.47</v>
      </c>
      <c r="R292">
        <v>156240</v>
      </c>
      <c r="S292">
        <v>195.3</v>
      </c>
      <c r="T292">
        <v>800</v>
      </c>
      <c r="U292">
        <v>26</v>
      </c>
      <c r="V292">
        <v>1423</v>
      </c>
      <c r="W292" t="s">
        <v>121</v>
      </c>
      <c r="X292" t="s">
        <v>1</v>
      </c>
      <c r="Y292">
        <v>4837445.8099999996</v>
      </c>
      <c r="Z292">
        <v>222329520</v>
      </c>
      <c r="AA292">
        <v>1138400</v>
      </c>
      <c r="AB292">
        <v>212</v>
      </c>
      <c r="AC292" s="34">
        <v>45922</v>
      </c>
      <c r="AD292" s="34">
        <v>46053</v>
      </c>
      <c r="AF292">
        <v>0</v>
      </c>
      <c r="AG292">
        <v>12619.64</v>
      </c>
      <c r="AH292">
        <v>0</v>
      </c>
      <c r="AI292">
        <v>17957747.719999999</v>
      </c>
      <c r="AJ292">
        <v>0</v>
      </c>
      <c r="AK292">
        <v>0</v>
      </c>
      <c r="AL292">
        <v>4507395.1900000004</v>
      </c>
      <c r="AM292">
        <v>0</v>
      </c>
      <c r="AN292">
        <v>22465142.91</v>
      </c>
      <c r="AO292" t="s">
        <v>122</v>
      </c>
      <c r="AP292">
        <v>15</v>
      </c>
      <c r="AQ292">
        <v>1892.95</v>
      </c>
      <c r="AR292">
        <v>2693667.85</v>
      </c>
      <c r="AT292">
        <v>93744</v>
      </c>
      <c r="AU292">
        <v>2039.68</v>
      </c>
      <c r="AV292">
        <v>133397712</v>
      </c>
      <c r="AW292">
        <v>2902464.64</v>
      </c>
    </row>
    <row r="293" spans="1:49" hidden="1" x14ac:dyDescent="0.35">
      <c r="A293">
        <v>5805610</v>
      </c>
      <c r="B293">
        <v>5010005805601</v>
      </c>
      <c r="D293">
        <v>30700916908</v>
      </c>
      <c r="E293" t="s">
        <v>622</v>
      </c>
      <c r="F293" t="s">
        <v>1</v>
      </c>
      <c r="G293" t="s">
        <v>623</v>
      </c>
      <c r="H293" t="s">
        <v>623</v>
      </c>
      <c r="I293">
        <v>7620</v>
      </c>
      <c r="J293">
        <v>1</v>
      </c>
      <c r="K293" t="s">
        <v>16</v>
      </c>
      <c r="L293">
        <v>13212</v>
      </c>
      <c r="M293" t="s">
        <v>429</v>
      </c>
      <c r="N293">
        <v>2</v>
      </c>
      <c r="O293" t="s">
        <v>125</v>
      </c>
      <c r="P293" t="s">
        <v>625</v>
      </c>
      <c r="Q293">
        <v>2584.85</v>
      </c>
      <c r="R293">
        <v>118800</v>
      </c>
      <c r="S293">
        <v>148.5</v>
      </c>
      <c r="T293">
        <v>800</v>
      </c>
      <c r="U293">
        <v>26</v>
      </c>
      <c r="V293">
        <v>1423</v>
      </c>
      <c r="W293" t="s">
        <v>121</v>
      </c>
      <c r="X293" t="s">
        <v>1</v>
      </c>
      <c r="Y293">
        <v>3678241.55</v>
      </c>
      <c r="Z293">
        <v>169052400</v>
      </c>
      <c r="AA293">
        <v>1138400</v>
      </c>
      <c r="AB293">
        <v>212</v>
      </c>
      <c r="AC293" s="34">
        <v>45922</v>
      </c>
      <c r="AD293" s="34">
        <v>46053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 t="s">
        <v>122</v>
      </c>
      <c r="AT293">
        <v>71280</v>
      </c>
      <c r="AU293">
        <v>1550.91</v>
      </c>
      <c r="AV293">
        <v>101431440</v>
      </c>
      <c r="AW293">
        <v>2206944.9300000002</v>
      </c>
    </row>
    <row r="294" spans="1:49" hidden="1" x14ac:dyDescent="0.35">
      <c r="A294">
        <v>5805610</v>
      </c>
      <c r="B294">
        <v>5010005805601</v>
      </c>
      <c r="D294">
        <v>30700916908</v>
      </c>
      <c r="E294" t="s">
        <v>622</v>
      </c>
      <c r="F294" t="s">
        <v>1</v>
      </c>
      <c r="G294" t="s">
        <v>623</v>
      </c>
      <c r="H294" t="s">
        <v>623</v>
      </c>
      <c r="I294">
        <v>7620</v>
      </c>
      <c r="J294">
        <v>1</v>
      </c>
      <c r="K294" t="s">
        <v>16</v>
      </c>
      <c r="L294">
        <v>13212</v>
      </c>
      <c r="M294" t="s">
        <v>429</v>
      </c>
      <c r="N294">
        <v>3</v>
      </c>
      <c r="O294" t="s">
        <v>125</v>
      </c>
      <c r="P294" t="s">
        <v>626</v>
      </c>
      <c r="Q294">
        <v>2823.32</v>
      </c>
      <c r="R294">
        <v>129760</v>
      </c>
      <c r="S294">
        <v>162.19999999999999</v>
      </c>
      <c r="T294">
        <v>800</v>
      </c>
      <c r="U294">
        <v>26</v>
      </c>
      <c r="V294">
        <v>1423</v>
      </c>
      <c r="W294" t="s">
        <v>121</v>
      </c>
      <c r="X294" t="s">
        <v>1</v>
      </c>
      <c r="Y294">
        <v>4017584.36</v>
      </c>
      <c r="Z294">
        <v>184648480</v>
      </c>
      <c r="AA294">
        <v>1138400</v>
      </c>
      <c r="AB294">
        <v>212</v>
      </c>
      <c r="AC294" s="34">
        <v>45922</v>
      </c>
      <c r="AD294" s="34">
        <v>46053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 t="s">
        <v>122</v>
      </c>
      <c r="AT294">
        <v>77856</v>
      </c>
      <c r="AU294">
        <v>1693.99</v>
      </c>
      <c r="AV294">
        <v>110789088</v>
      </c>
      <c r="AW294">
        <v>2410547.77</v>
      </c>
    </row>
    <row r="295" spans="1:49" hidden="1" x14ac:dyDescent="0.35">
      <c r="A295">
        <v>5805610</v>
      </c>
      <c r="B295">
        <v>5010005805601</v>
      </c>
      <c r="D295">
        <v>30700916908</v>
      </c>
      <c r="E295" t="s">
        <v>622</v>
      </c>
      <c r="F295" t="s">
        <v>1</v>
      </c>
      <c r="G295" t="s">
        <v>623</v>
      </c>
      <c r="H295" t="s">
        <v>623</v>
      </c>
      <c r="I295">
        <v>7620</v>
      </c>
      <c r="J295">
        <v>1</v>
      </c>
      <c r="K295" t="s">
        <v>16</v>
      </c>
      <c r="L295">
        <v>13212</v>
      </c>
      <c r="M295" t="s">
        <v>429</v>
      </c>
      <c r="N295">
        <v>4</v>
      </c>
      <c r="O295" t="s">
        <v>125</v>
      </c>
      <c r="P295" t="s">
        <v>627</v>
      </c>
      <c r="Q295">
        <v>2297.64</v>
      </c>
      <c r="R295">
        <v>105600</v>
      </c>
      <c r="S295">
        <v>132</v>
      </c>
      <c r="T295">
        <v>800</v>
      </c>
      <c r="U295">
        <v>26</v>
      </c>
      <c r="V295">
        <v>1423</v>
      </c>
      <c r="W295" t="s">
        <v>121</v>
      </c>
      <c r="X295" t="s">
        <v>1</v>
      </c>
      <c r="Y295">
        <v>3269541.72</v>
      </c>
      <c r="Z295">
        <v>150268800</v>
      </c>
      <c r="AA295">
        <v>1138400</v>
      </c>
      <c r="AB295">
        <v>212</v>
      </c>
      <c r="AC295" s="34">
        <v>45922</v>
      </c>
      <c r="AD295" s="34">
        <v>46053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 t="s">
        <v>122</v>
      </c>
      <c r="AT295">
        <v>63360</v>
      </c>
      <c r="AU295">
        <v>1378.58</v>
      </c>
      <c r="AV295">
        <v>90161280</v>
      </c>
      <c r="AW295">
        <v>1961719.34</v>
      </c>
    </row>
    <row r="296" spans="1:49" hidden="1" x14ac:dyDescent="0.35">
      <c r="A296">
        <v>5805610</v>
      </c>
      <c r="B296">
        <v>5010005805601</v>
      </c>
      <c r="D296">
        <v>30700916908</v>
      </c>
      <c r="E296" t="s">
        <v>622</v>
      </c>
      <c r="F296" t="s">
        <v>1</v>
      </c>
      <c r="G296" t="s">
        <v>623</v>
      </c>
      <c r="H296" t="s">
        <v>623</v>
      </c>
      <c r="I296">
        <v>7620</v>
      </c>
      <c r="J296">
        <v>1</v>
      </c>
      <c r="K296" t="s">
        <v>16</v>
      </c>
      <c r="L296">
        <v>13212</v>
      </c>
      <c r="M296" t="s">
        <v>429</v>
      </c>
      <c r="N296">
        <v>5</v>
      </c>
      <c r="O296" t="s">
        <v>125</v>
      </c>
      <c r="P296" t="s">
        <v>628</v>
      </c>
      <c r="Q296">
        <v>1514.36</v>
      </c>
      <c r="R296">
        <v>69600</v>
      </c>
      <c r="S296">
        <v>87</v>
      </c>
      <c r="T296">
        <v>800</v>
      </c>
      <c r="U296">
        <v>26</v>
      </c>
      <c r="V296">
        <v>1423</v>
      </c>
      <c r="W296" t="s">
        <v>121</v>
      </c>
      <c r="X296" t="s">
        <v>1</v>
      </c>
      <c r="Y296">
        <v>2154934.2799999998</v>
      </c>
      <c r="Z296">
        <v>99040800</v>
      </c>
      <c r="AA296">
        <v>1138400</v>
      </c>
      <c r="AB296">
        <v>212</v>
      </c>
      <c r="AC296" s="34">
        <v>45922</v>
      </c>
      <c r="AD296" s="34">
        <v>46053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 t="s">
        <v>122</v>
      </c>
      <c r="AT296">
        <v>41760</v>
      </c>
      <c r="AU296">
        <v>908.62</v>
      </c>
      <c r="AV296">
        <v>59424480</v>
      </c>
      <c r="AW296">
        <v>1292966.26</v>
      </c>
    </row>
    <row r="297" spans="1:49" hidden="1" x14ac:dyDescent="0.35">
      <c r="A297">
        <v>5805710</v>
      </c>
      <c r="B297">
        <v>1170005805701</v>
      </c>
      <c r="D297">
        <v>20214217075</v>
      </c>
      <c r="E297" t="s">
        <v>148</v>
      </c>
      <c r="F297" t="s">
        <v>1</v>
      </c>
      <c r="G297" t="s">
        <v>226</v>
      </c>
      <c r="H297" t="s">
        <v>63</v>
      </c>
      <c r="I297">
        <v>2535</v>
      </c>
      <c r="J297">
        <v>12</v>
      </c>
      <c r="K297" t="s">
        <v>34</v>
      </c>
      <c r="L297">
        <v>83429</v>
      </c>
      <c r="M297" t="s">
        <v>140</v>
      </c>
      <c r="N297">
        <v>1</v>
      </c>
      <c r="O297" t="s">
        <v>119</v>
      </c>
      <c r="P297" t="s">
        <v>629</v>
      </c>
      <c r="Q297">
        <v>3750808.62</v>
      </c>
      <c r="R297">
        <v>137396220</v>
      </c>
      <c r="S297">
        <v>127</v>
      </c>
      <c r="T297">
        <v>1081860</v>
      </c>
      <c r="U297">
        <v>1</v>
      </c>
      <c r="V297">
        <v>1</v>
      </c>
      <c r="W297" t="s">
        <v>127</v>
      </c>
      <c r="X297">
        <v>54093</v>
      </c>
      <c r="Y297">
        <v>3750808.62</v>
      </c>
      <c r="Z297">
        <v>137396220</v>
      </c>
      <c r="AA297">
        <v>1081860</v>
      </c>
      <c r="AB297">
        <v>212</v>
      </c>
      <c r="AC297" s="34">
        <v>45935</v>
      </c>
      <c r="AD297" s="34">
        <v>46112</v>
      </c>
      <c r="AF297">
        <v>0</v>
      </c>
      <c r="AG297">
        <v>3750808.62</v>
      </c>
      <c r="AH297">
        <v>0</v>
      </c>
      <c r="AI297">
        <v>3750808.62</v>
      </c>
      <c r="AJ297">
        <v>0</v>
      </c>
      <c r="AK297">
        <v>0</v>
      </c>
      <c r="AL297">
        <v>960207</v>
      </c>
      <c r="AM297">
        <v>0</v>
      </c>
      <c r="AN297">
        <v>4711015.62</v>
      </c>
      <c r="AO297" t="s">
        <v>122</v>
      </c>
      <c r="AP297">
        <v>15</v>
      </c>
      <c r="AQ297">
        <v>562621.29</v>
      </c>
      <c r="AR297">
        <v>562621.29</v>
      </c>
      <c r="AT297">
        <v>82437732</v>
      </c>
      <c r="AU297">
        <v>2250485.17</v>
      </c>
      <c r="AV297">
        <v>82437732</v>
      </c>
      <c r="AW297">
        <v>2250485.17</v>
      </c>
    </row>
    <row r="298" spans="1:49" hidden="1" x14ac:dyDescent="0.35">
      <c r="A298">
        <v>5805810</v>
      </c>
      <c r="B298">
        <v>1170005805801</v>
      </c>
      <c r="D298">
        <v>23227544139</v>
      </c>
      <c r="E298" t="s">
        <v>630</v>
      </c>
      <c r="F298" t="s">
        <v>1</v>
      </c>
      <c r="G298" t="s">
        <v>226</v>
      </c>
      <c r="H298" t="s">
        <v>63</v>
      </c>
      <c r="I298">
        <v>2535</v>
      </c>
      <c r="J298">
        <v>12</v>
      </c>
      <c r="K298" t="s">
        <v>34</v>
      </c>
      <c r="L298">
        <v>83429</v>
      </c>
      <c r="M298" t="s">
        <v>140</v>
      </c>
      <c r="N298">
        <v>1</v>
      </c>
      <c r="O298" t="s">
        <v>125</v>
      </c>
      <c r="P298" t="s">
        <v>631</v>
      </c>
      <c r="Q298">
        <v>505036.79999999999</v>
      </c>
      <c r="R298">
        <v>19234800</v>
      </c>
      <c r="S298">
        <v>130</v>
      </c>
      <c r="T298">
        <v>147960</v>
      </c>
      <c r="U298">
        <v>1</v>
      </c>
      <c r="V298">
        <v>1</v>
      </c>
      <c r="W298" t="s">
        <v>127</v>
      </c>
      <c r="X298">
        <v>24660</v>
      </c>
      <c r="Y298">
        <v>505036.79999999999</v>
      </c>
      <c r="Z298">
        <v>19234800</v>
      </c>
      <c r="AA298">
        <v>147960</v>
      </c>
      <c r="AB298">
        <v>214</v>
      </c>
      <c r="AC298" s="34">
        <v>45936</v>
      </c>
      <c r="AD298" s="34">
        <v>46022</v>
      </c>
      <c r="AF298">
        <v>0</v>
      </c>
      <c r="AG298">
        <v>831288.6</v>
      </c>
      <c r="AH298">
        <v>0</v>
      </c>
      <c r="AI298">
        <v>831288.6</v>
      </c>
      <c r="AJ298">
        <v>0</v>
      </c>
      <c r="AK298">
        <v>0</v>
      </c>
      <c r="AL298">
        <v>212809.9</v>
      </c>
      <c r="AM298">
        <v>0</v>
      </c>
      <c r="AN298">
        <v>1044098.5</v>
      </c>
      <c r="AO298" t="s">
        <v>122</v>
      </c>
      <c r="AP298">
        <v>15</v>
      </c>
      <c r="AQ298">
        <v>124693.29</v>
      </c>
      <c r="AR298">
        <v>124693.29</v>
      </c>
      <c r="AT298">
        <v>11540880</v>
      </c>
      <c r="AU298">
        <v>303022.08000000002</v>
      </c>
      <c r="AV298">
        <v>11540880</v>
      </c>
      <c r="AW298">
        <v>303022.08000000002</v>
      </c>
    </row>
    <row r="299" spans="1:49" hidden="1" x14ac:dyDescent="0.35">
      <c r="A299">
        <v>5805810</v>
      </c>
      <c r="B299">
        <v>1170005805801</v>
      </c>
      <c r="D299">
        <v>23227544139</v>
      </c>
      <c r="E299" t="s">
        <v>630</v>
      </c>
      <c r="F299" t="s">
        <v>1</v>
      </c>
      <c r="G299" t="s">
        <v>226</v>
      </c>
      <c r="H299" t="s">
        <v>63</v>
      </c>
      <c r="I299">
        <v>2535</v>
      </c>
      <c r="J299">
        <v>12</v>
      </c>
      <c r="K299" t="s">
        <v>34</v>
      </c>
      <c r="L299">
        <v>83429</v>
      </c>
      <c r="M299" t="s">
        <v>140</v>
      </c>
      <c r="N299">
        <v>2</v>
      </c>
      <c r="O299" t="s">
        <v>125</v>
      </c>
      <c r="P299" t="s">
        <v>632</v>
      </c>
      <c r="Q299">
        <v>326251.8</v>
      </c>
      <c r="R299">
        <v>12428640</v>
      </c>
      <c r="S299">
        <v>56</v>
      </c>
      <c r="T299">
        <v>221940</v>
      </c>
      <c r="U299">
        <v>1</v>
      </c>
      <c r="V299">
        <v>1</v>
      </c>
      <c r="W299" t="s">
        <v>127</v>
      </c>
      <c r="X299">
        <v>24660</v>
      </c>
      <c r="Y299">
        <v>326251.8</v>
      </c>
      <c r="Z299">
        <v>12428640</v>
      </c>
      <c r="AA299">
        <v>221940</v>
      </c>
      <c r="AB299">
        <v>214</v>
      </c>
      <c r="AC299" s="34">
        <v>45936</v>
      </c>
      <c r="AD299" s="34">
        <v>46022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 t="s">
        <v>122</v>
      </c>
      <c r="AT299">
        <v>7457184</v>
      </c>
      <c r="AU299">
        <v>195751.08</v>
      </c>
      <c r="AV299">
        <v>7457184</v>
      </c>
      <c r="AW299">
        <v>195751.08</v>
      </c>
    </row>
    <row r="300" spans="1:49" hidden="1" x14ac:dyDescent="0.35">
      <c r="A300">
        <v>5805910</v>
      </c>
      <c r="B300">
        <v>5010005805901</v>
      </c>
      <c r="D300">
        <v>30700916908</v>
      </c>
      <c r="E300" t="s">
        <v>622</v>
      </c>
      <c r="F300" t="s">
        <v>1</v>
      </c>
      <c r="G300" t="s">
        <v>623</v>
      </c>
      <c r="H300" t="s">
        <v>623</v>
      </c>
      <c r="I300">
        <v>7620</v>
      </c>
      <c r="J300">
        <v>1</v>
      </c>
      <c r="K300" t="s">
        <v>16</v>
      </c>
      <c r="L300">
        <v>13212</v>
      </c>
      <c r="M300" t="s">
        <v>429</v>
      </c>
      <c r="N300">
        <v>1</v>
      </c>
      <c r="O300" t="s">
        <v>119</v>
      </c>
      <c r="P300" t="s">
        <v>633</v>
      </c>
      <c r="Q300">
        <v>1787.64</v>
      </c>
      <c r="R300">
        <v>82160</v>
      </c>
      <c r="S300">
        <v>102.7</v>
      </c>
      <c r="T300">
        <v>800</v>
      </c>
      <c r="U300">
        <v>26</v>
      </c>
      <c r="V300">
        <v>1423</v>
      </c>
      <c r="W300" t="s">
        <v>121</v>
      </c>
      <c r="X300" t="s">
        <v>1</v>
      </c>
      <c r="Y300">
        <v>2543811.7200000002</v>
      </c>
      <c r="Z300">
        <v>116913680</v>
      </c>
      <c r="AA300">
        <v>1138400</v>
      </c>
      <c r="AB300">
        <v>210</v>
      </c>
      <c r="AC300" s="34">
        <v>45922</v>
      </c>
      <c r="AD300" s="34">
        <v>46112</v>
      </c>
      <c r="AF300">
        <v>1</v>
      </c>
      <c r="AG300">
        <v>3058.31</v>
      </c>
      <c r="AH300">
        <v>0</v>
      </c>
      <c r="AI300">
        <v>4351975.13</v>
      </c>
      <c r="AJ300">
        <v>0</v>
      </c>
      <c r="AK300">
        <v>0</v>
      </c>
      <c r="AL300">
        <v>1092337.49</v>
      </c>
      <c r="AM300">
        <v>0</v>
      </c>
      <c r="AN300">
        <v>5444312.6200000001</v>
      </c>
      <c r="AO300" t="s">
        <v>122</v>
      </c>
      <c r="AP300">
        <v>15</v>
      </c>
      <c r="AQ300">
        <v>458.75</v>
      </c>
      <c r="AR300">
        <v>652801.25</v>
      </c>
      <c r="AT300">
        <v>49296</v>
      </c>
      <c r="AU300">
        <v>1072.58</v>
      </c>
      <c r="AV300">
        <v>70148208</v>
      </c>
      <c r="AW300">
        <v>1526281.34</v>
      </c>
    </row>
    <row r="301" spans="1:49" hidden="1" x14ac:dyDescent="0.35">
      <c r="A301">
        <v>5806010</v>
      </c>
      <c r="B301">
        <v>1250005806001</v>
      </c>
      <c r="D301">
        <v>30718009029</v>
      </c>
      <c r="E301" t="s">
        <v>634</v>
      </c>
      <c r="F301" t="s">
        <v>1</v>
      </c>
      <c r="G301" t="s">
        <v>49</v>
      </c>
      <c r="H301" t="s">
        <v>49</v>
      </c>
      <c r="I301">
        <v>5800</v>
      </c>
      <c r="J301">
        <v>3</v>
      </c>
      <c r="K301" t="s">
        <v>32</v>
      </c>
      <c r="L301">
        <v>6330</v>
      </c>
      <c r="M301" t="s">
        <v>635</v>
      </c>
      <c r="N301">
        <v>1</v>
      </c>
      <c r="O301" t="s">
        <v>119</v>
      </c>
      <c r="P301" t="s">
        <v>636</v>
      </c>
      <c r="Q301">
        <v>2547780.2999999998</v>
      </c>
      <c r="R301">
        <v>40569750</v>
      </c>
      <c r="S301">
        <v>50</v>
      </c>
      <c r="T301">
        <v>811395</v>
      </c>
      <c r="U301">
        <v>1</v>
      </c>
      <c r="V301">
        <v>1</v>
      </c>
      <c r="W301" t="s">
        <v>127</v>
      </c>
      <c r="X301">
        <v>54093</v>
      </c>
      <c r="Y301">
        <v>2547780.2999999998</v>
      </c>
      <c r="Z301">
        <v>40569750</v>
      </c>
      <c r="AA301">
        <v>811395</v>
      </c>
      <c r="AB301">
        <v>211</v>
      </c>
      <c r="AC301" s="34">
        <v>45934</v>
      </c>
      <c r="AD301" s="34">
        <v>46112</v>
      </c>
      <c r="AF301">
        <v>0</v>
      </c>
      <c r="AG301">
        <v>2547780.2999999998</v>
      </c>
      <c r="AH301">
        <v>0</v>
      </c>
      <c r="AI301">
        <v>2547780.2999999998</v>
      </c>
      <c r="AJ301">
        <v>0</v>
      </c>
      <c r="AK301">
        <v>0</v>
      </c>
      <c r="AL301">
        <v>664970.65</v>
      </c>
      <c r="AM301">
        <v>0</v>
      </c>
      <c r="AN301">
        <v>3212750.95</v>
      </c>
      <c r="AO301" t="s">
        <v>122</v>
      </c>
      <c r="AP301">
        <v>10</v>
      </c>
      <c r="AQ301">
        <v>254778.03</v>
      </c>
      <c r="AR301">
        <v>254778.03</v>
      </c>
      <c r="AT301">
        <v>24341850</v>
      </c>
      <c r="AU301">
        <v>1528668.18</v>
      </c>
      <c r="AV301">
        <v>24341850</v>
      </c>
      <c r="AW301">
        <v>1528668.18</v>
      </c>
    </row>
    <row r="302" spans="1:49" hidden="1" x14ac:dyDescent="0.35">
      <c r="A302">
        <v>5806110</v>
      </c>
      <c r="B302">
        <v>1250005806101</v>
      </c>
      <c r="D302">
        <v>30718009029</v>
      </c>
      <c r="E302" t="s">
        <v>634</v>
      </c>
      <c r="F302" t="s">
        <v>1</v>
      </c>
      <c r="G302" t="s">
        <v>49</v>
      </c>
      <c r="H302" t="s">
        <v>49</v>
      </c>
      <c r="I302">
        <v>5800</v>
      </c>
      <c r="J302">
        <v>3</v>
      </c>
      <c r="K302" t="s">
        <v>32</v>
      </c>
      <c r="L302">
        <v>6330</v>
      </c>
      <c r="M302" t="s">
        <v>635</v>
      </c>
      <c r="N302">
        <v>1</v>
      </c>
      <c r="O302" t="s">
        <v>119</v>
      </c>
      <c r="P302" t="s">
        <v>637</v>
      </c>
      <c r="Q302">
        <v>1065179</v>
      </c>
      <c r="R302">
        <v>17237500</v>
      </c>
      <c r="S302">
        <v>25</v>
      </c>
      <c r="T302">
        <v>689500</v>
      </c>
      <c r="U302">
        <v>1</v>
      </c>
      <c r="V302">
        <v>1</v>
      </c>
      <c r="W302" t="s">
        <v>127</v>
      </c>
      <c r="X302">
        <v>19700</v>
      </c>
      <c r="Y302">
        <v>1065179</v>
      </c>
      <c r="Z302">
        <v>17237500</v>
      </c>
      <c r="AA302">
        <v>689500</v>
      </c>
      <c r="AB302">
        <v>210</v>
      </c>
      <c r="AC302" s="34">
        <v>45934</v>
      </c>
      <c r="AD302" s="34">
        <v>46142</v>
      </c>
      <c r="AF302">
        <v>0</v>
      </c>
      <c r="AG302">
        <v>1065179</v>
      </c>
      <c r="AH302">
        <v>0</v>
      </c>
      <c r="AI302">
        <v>1065179</v>
      </c>
      <c r="AJ302">
        <v>0</v>
      </c>
      <c r="AK302">
        <v>0</v>
      </c>
      <c r="AL302">
        <v>278011.71999999997</v>
      </c>
      <c r="AM302">
        <v>0</v>
      </c>
      <c r="AN302">
        <v>1343190.72</v>
      </c>
      <c r="AO302" t="s">
        <v>122</v>
      </c>
      <c r="AP302">
        <v>10</v>
      </c>
      <c r="AQ302">
        <v>106517.9</v>
      </c>
      <c r="AR302">
        <v>106517.9</v>
      </c>
      <c r="AT302">
        <v>10342500</v>
      </c>
      <c r="AU302">
        <v>639107.4</v>
      </c>
      <c r="AV302">
        <v>10342500</v>
      </c>
      <c r="AW302">
        <v>639107.4</v>
      </c>
    </row>
    <row r="303" spans="1:49" hidden="1" x14ac:dyDescent="0.35">
      <c r="A303">
        <v>5806210</v>
      </c>
      <c r="B303">
        <v>1250005806201</v>
      </c>
      <c r="D303">
        <v>30718009029</v>
      </c>
      <c r="E303" t="s">
        <v>634</v>
      </c>
      <c r="F303" t="s">
        <v>1</v>
      </c>
      <c r="G303" t="s">
        <v>49</v>
      </c>
      <c r="H303" t="s">
        <v>49</v>
      </c>
      <c r="I303">
        <v>5800</v>
      </c>
      <c r="J303">
        <v>3</v>
      </c>
      <c r="K303" t="s">
        <v>32</v>
      </c>
      <c r="L303">
        <v>6330</v>
      </c>
      <c r="M303" t="s">
        <v>635</v>
      </c>
      <c r="N303">
        <v>1</v>
      </c>
      <c r="O303" t="s">
        <v>119</v>
      </c>
      <c r="P303" t="s">
        <v>638</v>
      </c>
      <c r="Q303">
        <v>3043650</v>
      </c>
      <c r="R303">
        <v>49250000</v>
      </c>
      <c r="S303">
        <v>100</v>
      </c>
      <c r="T303">
        <v>492500</v>
      </c>
      <c r="U303">
        <v>1</v>
      </c>
      <c r="V303">
        <v>1</v>
      </c>
      <c r="W303" t="s">
        <v>127</v>
      </c>
      <c r="X303">
        <v>19700</v>
      </c>
      <c r="Y303">
        <v>3043650</v>
      </c>
      <c r="Z303">
        <v>49250000</v>
      </c>
      <c r="AA303">
        <v>492500</v>
      </c>
      <c r="AB303">
        <v>105</v>
      </c>
      <c r="AC303" s="34">
        <v>45934</v>
      </c>
      <c r="AD303" s="34">
        <v>46188</v>
      </c>
      <c r="AF303">
        <v>0</v>
      </c>
      <c r="AG303">
        <v>3043650</v>
      </c>
      <c r="AH303">
        <v>0</v>
      </c>
      <c r="AI303">
        <v>3043650</v>
      </c>
      <c r="AJ303">
        <v>0</v>
      </c>
      <c r="AK303">
        <v>0</v>
      </c>
      <c r="AL303">
        <v>794392.65</v>
      </c>
      <c r="AM303">
        <v>0</v>
      </c>
      <c r="AN303">
        <v>3838042.65</v>
      </c>
      <c r="AO303" t="s">
        <v>122</v>
      </c>
      <c r="AP303">
        <v>10</v>
      </c>
      <c r="AQ303">
        <v>304365</v>
      </c>
      <c r="AR303">
        <v>304365</v>
      </c>
      <c r="AT303">
        <v>29550000</v>
      </c>
      <c r="AU303">
        <v>1826190</v>
      </c>
      <c r="AV303">
        <v>29550000</v>
      </c>
      <c r="AW303">
        <v>1826190</v>
      </c>
    </row>
    <row r="304" spans="1:49" hidden="1" x14ac:dyDescent="0.35">
      <c r="A304">
        <v>5806310</v>
      </c>
      <c r="B304">
        <v>1090005806301</v>
      </c>
      <c r="D304">
        <v>20229473086</v>
      </c>
      <c r="E304" t="s">
        <v>639</v>
      </c>
      <c r="F304" t="s">
        <v>1</v>
      </c>
      <c r="G304" t="s">
        <v>640</v>
      </c>
      <c r="H304" t="s">
        <v>44</v>
      </c>
      <c r="I304">
        <v>6339</v>
      </c>
      <c r="J304">
        <v>1</v>
      </c>
      <c r="K304" t="s">
        <v>16</v>
      </c>
      <c r="L304">
        <v>9371</v>
      </c>
      <c r="M304" t="s">
        <v>581</v>
      </c>
      <c r="N304">
        <v>1</v>
      </c>
      <c r="O304" t="s">
        <v>125</v>
      </c>
      <c r="P304" t="s">
        <v>641</v>
      </c>
      <c r="Q304">
        <v>1131.42</v>
      </c>
      <c r="R304">
        <v>51900</v>
      </c>
      <c r="S304">
        <v>173</v>
      </c>
      <c r="T304">
        <v>300</v>
      </c>
      <c r="U304">
        <v>26</v>
      </c>
      <c r="V304">
        <v>1424.5</v>
      </c>
      <c r="W304" t="s">
        <v>121</v>
      </c>
      <c r="X304" t="s">
        <v>1</v>
      </c>
      <c r="Y304">
        <v>1611707.79</v>
      </c>
      <c r="Z304">
        <v>73931550</v>
      </c>
      <c r="AA304">
        <v>427350</v>
      </c>
      <c r="AB304">
        <v>106</v>
      </c>
      <c r="AC304" s="34">
        <v>45928</v>
      </c>
      <c r="AD304" s="34">
        <v>46022</v>
      </c>
      <c r="AE304" t="s">
        <v>161</v>
      </c>
      <c r="AF304">
        <v>0</v>
      </c>
      <c r="AG304">
        <v>1131.42</v>
      </c>
      <c r="AH304">
        <v>0</v>
      </c>
      <c r="AI304">
        <v>1611707.79</v>
      </c>
      <c r="AJ304">
        <v>0</v>
      </c>
      <c r="AK304">
        <v>0</v>
      </c>
      <c r="AL304">
        <v>404543.76</v>
      </c>
      <c r="AM304">
        <v>0</v>
      </c>
      <c r="AN304">
        <v>2016251.55</v>
      </c>
      <c r="AO304" t="s">
        <v>122</v>
      </c>
      <c r="AP304">
        <v>10</v>
      </c>
      <c r="AQ304">
        <v>113.14</v>
      </c>
      <c r="AR304">
        <v>161167.93</v>
      </c>
      <c r="AT304">
        <v>31140</v>
      </c>
      <c r="AU304">
        <v>678.85</v>
      </c>
      <c r="AV304">
        <v>44358930</v>
      </c>
      <c r="AW304">
        <v>967021.83</v>
      </c>
    </row>
    <row r="305" spans="1:49" hidden="1" x14ac:dyDescent="0.35">
      <c r="A305">
        <v>5806410</v>
      </c>
      <c r="B305">
        <v>1170005806401</v>
      </c>
      <c r="D305">
        <v>20204434779</v>
      </c>
      <c r="E305" t="s">
        <v>642</v>
      </c>
      <c r="F305" t="s">
        <v>1</v>
      </c>
      <c r="G305" t="s">
        <v>226</v>
      </c>
      <c r="H305" t="s">
        <v>63</v>
      </c>
      <c r="I305">
        <v>2535</v>
      </c>
      <c r="J305">
        <v>12</v>
      </c>
      <c r="K305" t="s">
        <v>34</v>
      </c>
      <c r="L305">
        <v>83429</v>
      </c>
      <c r="M305" t="s">
        <v>140</v>
      </c>
      <c r="N305">
        <v>1</v>
      </c>
      <c r="O305" t="s">
        <v>125</v>
      </c>
      <c r="P305" t="s">
        <v>643</v>
      </c>
      <c r="Q305">
        <v>831288.62</v>
      </c>
      <c r="R305">
        <v>31663440</v>
      </c>
      <c r="S305">
        <v>186</v>
      </c>
      <c r="T305">
        <v>170233.55</v>
      </c>
      <c r="U305">
        <v>1</v>
      </c>
      <c r="V305">
        <v>1</v>
      </c>
      <c r="W305" t="s">
        <v>127</v>
      </c>
      <c r="X305">
        <v>24660</v>
      </c>
      <c r="Y305">
        <v>831288.62</v>
      </c>
      <c r="Z305">
        <v>31663440</v>
      </c>
      <c r="AA305">
        <v>170233.55</v>
      </c>
      <c r="AB305">
        <v>214</v>
      </c>
      <c r="AC305" s="34">
        <v>45936</v>
      </c>
      <c r="AD305" s="34">
        <v>46022</v>
      </c>
      <c r="AF305">
        <v>0</v>
      </c>
      <c r="AG305">
        <v>831288.62</v>
      </c>
      <c r="AH305">
        <v>0</v>
      </c>
      <c r="AI305">
        <v>831288.62</v>
      </c>
      <c r="AJ305">
        <v>0</v>
      </c>
      <c r="AK305">
        <v>0</v>
      </c>
      <c r="AL305">
        <v>212809.9</v>
      </c>
      <c r="AM305">
        <v>0</v>
      </c>
      <c r="AN305">
        <v>1044098.52</v>
      </c>
      <c r="AO305" t="s">
        <v>122</v>
      </c>
      <c r="AP305">
        <v>15</v>
      </c>
      <c r="AQ305">
        <v>124693.29</v>
      </c>
      <c r="AR305">
        <v>124693.29</v>
      </c>
      <c r="AT305">
        <v>18998064</v>
      </c>
      <c r="AU305">
        <v>498773.17</v>
      </c>
      <c r="AV305">
        <v>18998064</v>
      </c>
      <c r="AW305">
        <v>498773.17</v>
      </c>
    </row>
    <row r="306" spans="1:49" hidden="1" x14ac:dyDescent="0.35">
      <c r="A306">
        <v>5806510</v>
      </c>
      <c r="B306">
        <v>1170005806501</v>
      </c>
      <c r="D306">
        <v>20136059646</v>
      </c>
      <c r="E306" t="s">
        <v>644</v>
      </c>
      <c r="F306" t="s">
        <v>1</v>
      </c>
      <c r="G306" t="s">
        <v>226</v>
      </c>
      <c r="H306" t="s">
        <v>63</v>
      </c>
      <c r="I306">
        <v>2535</v>
      </c>
      <c r="J306">
        <v>12</v>
      </c>
      <c r="K306" t="s">
        <v>34</v>
      </c>
      <c r="L306">
        <v>83429</v>
      </c>
      <c r="M306" t="s">
        <v>140</v>
      </c>
      <c r="N306">
        <v>1</v>
      </c>
      <c r="O306" t="s">
        <v>125</v>
      </c>
      <c r="P306" t="s">
        <v>631</v>
      </c>
      <c r="Q306">
        <v>505036.79999999999</v>
      </c>
      <c r="R306">
        <v>19234800</v>
      </c>
      <c r="S306">
        <v>130</v>
      </c>
      <c r="T306">
        <v>147960</v>
      </c>
      <c r="U306">
        <v>1</v>
      </c>
      <c r="V306">
        <v>1</v>
      </c>
      <c r="W306" t="s">
        <v>127</v>
      </c>
      <c r="X306">
        <v>24660</v>
      </c>
      <c r="Y306">
        <v>505036.79999999999</v>
      </c>
      <c r="Z306">
        <v>19234800</v>
      </c>
      <c r="AA306">
        <v>147960</v>
      </c>
      <c r="AB306">
        <v>214</v>
      </c>
      <c r="AC306" s="34">
        <v>45936</v>
      </c>
      <c r="AD306" s="34">
        <v>46022</v>
      </c>
      <c r="AF306">
        <v>0</v>
      </c>
      <c r="AG306">
        <v>831288.6</v>
      </c>
      <c r="AH306">
        <v>0</v>
      </c>
      <c r="AI306">
        <v>831288.6</v>
      </c>
      <c r="AJ306">
        <v>0</v>
      </c>
      <c r="AK306">
        <v>0</v>
      </c>
      <c r="AL306">
        <v>212809.9</v>
      </c>
      <c r="AM306">
        <v>0</v>
      </c>
      <c r="AN306">
        <v>1044098.5</v>
      </c>
      <c r="AO306" t="s">
        <v>122</v>
      </c>
      <c r="AP306">
        <v>15</v>
      </c>
      <c r="AQ306">
        <v>124693.29</v>
      </c>
      <c r="AR306">
        <v>124693.29</v>
      </c>
      <c r="AT306">
        <v>11540880</v>
      </c>
      <c r="AU306">
        <v>303022.08000000002</v>
      </c>
      <c r="AV306">
        <v>11540880</v>
      </c>
      <c r="AW306">
        <v>303022.08000000002</v>
      </c>
    </row>
    <row r="307" spans="1:49" hidden="1" x14ac:dyDescent="0.35">
      <c r="A307">
        <v>5806510</v>
      </c>
      <c r="B307">
        <v>1170005806501</v>
      </c>
      <c r="D307">
        <v>20136059646</v>
      </c>
      <c r="E307" t="s">
        <v>644</v>
      </c>
      <c r="F307" t="s">
        <v>1</v>
      </c>
      <c r="G307" t="s">
        <v>226</v>
      </c>
      <c r="H307" t="s">
        <v>63</v>
      </c>
      <c r="I307">
        <v>2535</v>
      </c>
      <c r="J307">
        <v>12</v>
      </c>
      <c r="K307" t="s">
        <v>34</v>
      </c>
      <c r="L307">
        <v>83429</v>
      </c>
      <c r="M307" t="s">
        <v>140</v>
      </c>
      <c r="N307">
        <v>2</v>
      </c>
      <c r="O307" t="s">
        <v>125</v>
      </c>
      <c r="P307" t="s">
        <v>632</v>
      </c>
      <c r="Q307">
        <v>326251.8</v>
      </c>
      <c r="R307">
        <v>12428640</v>
      </c>
      <c r="S307">
        <v>56</v>
      </c>
      <c r="T307">
        <v>221940</v>
      </c>
      <c r="U307">
        <v>1</v>
      </c>
      <c r="V307">
        <v>1</v>
      </c>
      <c r="W307" t="s">
        <v>127</v>
      </c>
      <c r="X307">
        <v>24660</v>
      </c>
      <c r="Y307">
        <v>326251.8</v>
      </c>
      <c r="Z307">
        <v>12428640</v>
      </c>
      <c r="AA307">
        <v>221940</v>
      </c>
      <c r="AB307">
        <v>214</v>
      </c>
      <c r="AC307" s="34">
        <v>45936</v>
      </c>
      <c r="AD307" s="34">
        <v>46022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 t="s">
        <v>122</v>
      </c>
      <c r="AT307">
        <v>7457184</v>
      </c>
      <c r="AU307">
        <v>195751.08</v>
      </c>
      <c r="AV307">
        <v>7457184</v>
      </c>
      <c r="AW307">
        <v>195751.08</v>
      </c>
    </row>
    <row r="308" spans="1:49" hidden="1" x14ac:dyDescent="0.35">
      <c r="A308">
        <v>5806610</v>
      </c>
      <c r="B308">
        <v>5010005806601</v>
      </c>
      <c r="D308">
        <v>20293879533</v>
      </c>
      <c r="E308" t="s">
        <v>645</v>
      </c>
      <c r="F308" t="s">
        <v>1</v>
      </c>
      <c r="G308" t="s">
        <v>65</v>
      </c>
      <c r="H308" t="s">
        <v>65</v>
      </c>
      <c r="I308">
        <v>6455</v>
      </c>
      <c r="J308">
        <v>1</v>
      </c>
      <c r="K308" t="s">
        <v>16</v>
      </c>
      <c r="L308">
        <v>11014</v>
      </c>
      <c r="M308" t="s">
        <v>232</v>
      </c>
      <c r="N308">
        <v>1</v>
      </c>
      <c r="O308" t="s">
        <v>125</v>
      </c>
      <c r="P308" t="s">
        <v>646</v>
      </c>
      <c r="Q308">
        <v>3140672.94</v>
      </c>
      <c r="R308">
        <v>117628200</v>
      </c>
      <c r="S308">
        <v>159</v>
      </c>
      <c r="T308">
        <v>739800</v>
      </c>
      <c r="U308">
        <v>1</v>
      </c>
      <c r="V308">
        <v>1</v>
      </c>
      <c r="W308" t="s">
        <v>127</v>
      </c>
      <c r="X308">
        <v>24660</v>
      </c>
      <c r="Y308">
        <v>3140672.94</v>
      </c>
      <c r="Z308">
        <v>117628200</v>
      </c>
      <c r="AA308">
        <v>739800</v>
      </c>
      <c r="AB308">
        <v>105</v>
      </c>
      <c r="AC308" s="34">
        <v>45936</v>
      </c>
      <c r="AD308" s="34">
        <v>46022</v>
      </c>
      <c r="AF308">
        <v>0</v>
      </c>
      <c r="AG308">
        <v>3140672.94</v>
      </c>
      <c r="AH308">
        <v>0</v>
      </c>
      <c r="AI308">
        <v>3140672.94</v>
      </c>
      <c r="AJ308">
        <v>0</v>
      </c>
      <c r="AK308">
        <v>0</v>
      </c>
      <c r="AL308">
        <v>804478.41</v>
      </c>
      <c r="AM308">
        <v>0</v>
      </c>
      <c r="AN308">
        <v>3945151.35</v>
      </c>
      <c r="AO308" t="s">
        <v>122</v>
      </c>
      <c r="AP308">
        <v>15</v>
      </c>
      <c r="AQ308">
        <v>471100.95</v>
      </c>
      <c r="AR308">
        <v>471100.95</v>
      </c>
      <c r="AT308">
        <v>70576920</v>
      </c>
      <c r="AU308">
        <v>1884403.76</v>
      </c>
      <c r="AV308">
        <v>70576920</v>
      </c>
      <c r="AW308">
        <v>1884403.76</v>
      </c>
    </row>
    <row r="309" spans="1:49" hidden="1" x14ac:dyDescent="0.35">
      <c r="A309">
        <v>5806710</v>
      </c>
      <c r="B309">
        <v>1170005806701</v>
      </c>
      <c r="D309">
        <v>20126196793</v>
      </c>
      <c r="E309" t="s">
        <v>255</v>
      </c>
      <c r="F309" t="s">
        <v>1</v>
      </c>
      <c r="G309" t="s">
        <v>647</v>
      </c>
      <c r="H309" t="s">
        <v>71</v>
      </c>
      <c r="I309">
        <v>2520</v>
      </c>
      <c r="J309">
        <v>12</v>
      </c>
      <c r="K309" t="s">
        <v>34</v>
      </c>
      <c r="L309">
        <v>18076</v>
      </c>
      <c r="M309" t="s">
        <v>257</v>
      </c>
      <c r="N309">
        <v>1</v>
      </c>
      <c r="O309" t="s">
        <v>119</v>
      </c>
      <c r="P309" t="s">
        <v>648</v>
      </c>
      <c r="Q309">
        <v>719050</v>
      </c>
      <c r="R309">
        <v>30338000</v>
      </c>
      <c r="S309">
        <v>22</v>
      </c>
      <c r="T309">
        <v>1379000</v>
      </c>
      <c r="U309">
        <v>1</v>
      </c>
      <c r="V309">
        <v>1</v>
      </c>
      <c r="W309" t="s">
        <v>127</v>
      </c>
      <c r="X309">
        <v>19700</v>
      </c>
      <c r="Y309">
        <v>719050</v>
      </c>
      <c r="Z309">
        <v>30338000</v>
      </c>
      <c r="AA309">
        <v>1379000</v>
      </c>
      <c r="AB309">
        <v>105</v>
      </c>
      <c r="AC309" s="34">
        <v>45936</v>
      </c>
      <c r="AD309" s="34">
        <v>46142</v>
      </c>
      <c r="AF309">
        <v>0</v>
      </c>
      <c r="AG309">
        <v>719050</v>
      </c>
      <c r="AH309">
        <v>0</v>
      </c>
      <c r="AI309">
        <v>719050</v>
      </c>
      <c r="AJ309">
        <v>0</v>
      </c>
      <c r="AK309">
        <v>0</v>
      </c>
      <c r="AL309">
        <v>184076.79999999999</v>
      </c>
      <c r="AM309">
        <v>0</v>
      </c>
      <c r="AN309">
        <v>903126.8</v>
      </c>
      <c r="AO309" t="s">
        <v>122</v>
      </c>
      <c r="AP309">
        <v>10</v>
      </c>
      <c r="AQ309">
        <v>71905</v>
      </c>
      <c r="AR309">
        <v>71905</v>
      </c>
      <c r="AT309">
        <v>18202800</v>
      </c>
      <c r="AU309">
        <v>431430</v>
      </c>
      <c r="AV309">
        <v>18202800</v>
      </c>
      <c r="AW309">
        <v>431430</v>
      </c>
    </row>
    <row r="310" spans="1:49" hidden="1" x14ac:dyDescent="0.35">
      <c r="A310">
        <v>5806810</v>
      </c>
      <c r="B310">
        <v>1150005806801</v>
      </c>
      <c r="D310">
        <v>20125319069</v>
      </c>
      <c r="E310" t="s">
        <v>187</v>
      </c>
      <c r="F310" t="s">
        <v>1</v>
      </c>
      <c r="G310" t="s">
        <v>182</v>
      </c>
      <c r="H310" t="s">
        <v>50</v>
      </c>
      <c r="I310">
        <v>2426</v>
      </c>
      <c r="J310">
        <v>3</v>
      </c>
      <c r="K310" t="s">
        <v>32</v>
      </c>
      <c r="L310">
        <v>9262</v>
      </c>
      <c r="M310" t="s">
        <v>183</v>
      </c>
      <c r="N310">
        <v>1</v>
      </c>
      <c r="O310" t="s">
        <v>119</v>
      </c>
      <c r="P310" t="s">
        <v>649</v>
      </c>
      <c r="Q310">
        <v>795167.1</v>
      </c>
      <c r="R310">
        <v>27046500</v>
      </c>
      <c r="S310">
        <v>50</v>
      </c>
      <c r="T310">
        <v>540930</v>
      </c>
      <c r="U310">
        <v>1</v>
      </c>
      <c r="V310">
        <v>1</v>
      </c>
      <c r="W310" t="s">
        <v>127</v>
      </c>
      <c r="X310">
        <v>54093</v>
      </c>
      <c r="Y310">
        <v>795167.1</v>
      </c>
      <c r="Z310">
        <v>27046500</v>
      </c>
      <c r="AA310">
        <v>540930</v>
      </c>
      <c r="AB310">
        <v>105</v>
      </c>
      <c r="AC310" s="34">
        <v>45937</v>
      </c>
      <c r="AD310" s="34">
        <v>46112</v>
      </c>
      <c r="AF310">
        <v>0</v>
      </c>
      <c r="AG310">
        <v>795167.1</v>
      </c>
      <c r="AH310">
        <v>0</v>
      </c>
      <c r="AI310">
        <v>795167.1</v>
      </c>
      <c r="AJ310">
        <v>0</v>
      </c>
      <c r="AK310">
        <v>0</v>
      </c>
      <c r="AL310">
        <v>207538.61</v>
      </c>
      <c r="AM310">
        <v>0</v>
      </c>
      <c r="AN310">
        <v>1002705.71</v>
      </c>
      <c r="AO310" t="s">
        <v>122</v>
      </c>
      <c r="AP310">
        <v>15</v>
      </c>
      <c r="AQ310">
        <v>119275.07</v>
      </c>
      <c r="AR310">
        <v>119275.07</v>
      </c>
      <c r="AT310">
        <v>16227900</v>
      </c>
      <c r="AU310">
        <v>477100.26</v>
      </c>
      <c r="AV310">
        <v>16227900</v>
      </c>
      <c r="AW310">
        <v>477100.26</v>
      </c>
    </row>
    <row r="311" spans="1:49" hidden="1" x14ac:dyDescent="0.35">
      <c r="A311">
        <v>5806910</v>
      </c>
      <c r="B311">
        <v>1150005806901</v>
      </c>
      <c r="D311">
        <v>20237319630</v>
      </c>
      <c r="E311" t="s">
        <v>181</v>
      </c>
      <c r="F311" t="s">
        <v>1</v>
      </c>
      <c r="G311" t="s">
        <v>182</v>
      </c>
      <c r="H311" t="s">
        <v>50</v>
      </c>
      <c r="I311">
        <v>2426</v>
      </c>
      <c r="J311">
        <v>3</v>
      </c>
      <c r="K311" t="s">
        <v>32</v>
      </c>
      <c r="L311">
        <v>9262</v>
      </c>
      <c r="M311" t="s">
        <v>183</v>
      </c>
      <c r="N311">
        <v>1</v>
      </c>
      <c r="O311" t="s">
        <v>119</v>
      </c>
      <c r="P311" t="s">
        <v>649</v>
      </c>
      <c r="Q311">
        <v>795167.1</v>
      </c>
      <c r="R311">
        <v>27046500</v>
      </c>
      <c r="S311">
        <v>50</v>
      </c>
      <c r="T311">
        <v>540930</v>
      </c>
      <c r="U311">
        <v>1</v>
      </c>
      <c r="V311">
        <v>1</v>
      </c>
      <c r="W311" t="s">
        <v>127</v>
      </c>
      <c r="X311">
        <v>54093</v>
      </c>
      <c r="Y311">
        <v>795167.1</v>
      </c>
      <c r="Z311">
        <v>27046500</v>
      </c>
      <c r="AA311">
        <v>540930</v>
      </c>
      <c r="AB311">
        <v>105</v>
      </c>
      <c r="AC311" s="34">
        <v>45937</v>
      </c>
      <c r="AD311" s="34">
        <v>46112</v>
      </c>
      <c r="AF311">
        <v>0</v>
      </c>
      <c r="AG311">
        <v>795167.1</v>
      </c>
      <c r="AH311">
        <v>0</v>
      </c>
      <c r="AI311">
        <v>795167.1</v>
      </c>
      <c r="AJ311">
        <v>0</v>
      </c>
      <c r="AK311">
        <v>0</v>
      </c>
      <c r="AL311">
        <v>207538.61</v>
      </c>
      <c r="AM311">
        <v>0</v>
      </c>
      <c r="AN311">
        <v>1002705.71</v>
      </c>
      <c r="AO311" t="s">
        <v>122</v>
      </c>
      <c r="AP311">
        <v>15</v>
      </c>
      <c r="AQ311">
        <v>119275.07</v>
      </c>
      <c r="AR311">
        <v>119275.07</v>
      </c>
      <c r="AT311">
        <v>16227900</v>
      </c>
      <c r="AU311">
        <v>477100.26</v>
      </c>
      <c r="AV311">
        <v>16227900</v>
      </c>
      <c r="AW311">
        <v>477100.26</v>
      </c>
    </row>
    <row r="312" spans="1:49" hidden="1" x14ac:dyDescent="0.35">
      <c r="A312">
        <v>5807010</v>
      </c>
      <c r="B312">
        <v>1150005807001</v>
      </c>
      <c r="D312">
        <v>20237319630</v>
      </c>
      <c r="E312" t="s">
        <v>181</v>
      </c>
      <c r="F312" t="s">
        <v>1</v>
      </c>
      <c r="G312" t="s">
        <v>182</v>
      </c>
      <c r="H312" t="s">
        <v>50</v>
      </c>
      <c r="I312">
        <v>2426</v>
      </c>
      <c r="J312">
        <v>3</v>
      </c>
      <c r="K312" t="s">
        <v>32</v>
      </c>
      <c r="L312">
        <v>9262</v>
      </c>
      <c r="M312" t="s">
        <v>183</v>
      </c>
      <c r="N312">
        <v>1</v>
      </c>
      <c r="O312" t="s">
        <v>119</v>
      </c>
      <c r="P312" t="s">
        <v>650</v>
      </c>
      <c r="Q312">
        <v>559086</v>
      </c>
      <c r="R312">
        <v>23147500</v>
      </c>
      <c r="S312">
        <v>47</v>
      </c>
      <c r="T312">
        <v>492500</v>
      </c>
      <c r="U312">
        <v>1</v>
      </c>
      <c r="V312">
        <v>1</v>
      </c>
      <c r="W312" t="s">
        <v>127</v>
      </c>
      <c r="X312">
        <v>19700</v>
      </c>
      <c r="Y312">
        <v>559086</v>
      </c>
      <c r="Z312">
        <v>23147500</v>
      </c>
      <c r="AA312">
        <v>492500</v>
      </c>
      <c r="AB312">
        <v>105</v>
      </c>
      <c r="AC312" s="34">
        <v>45937</v>
      </c>
      <c r="AD312" s="34">
        <v>46142</v>
      </c>
      <c r="AF312">
        <v>0</v>
      </c>
      <c r="AG312">
        <v>559086</v>
      </c>
      <c r="AH312">
        <v>0</v>
      </c>
      <c r="AI312">
        <v>559086</v>
      </c>
      <c r="AJ312">
        <v>0</v>
      </c>
      <c r="AK312">
        <v>0</v>
      </c>
      <c r="AL312">
        <v>145921.45000000001</v>
      </c>
      <c r="AM312">
        <v>0</v>
      </c>
      <c r="AN312">
        <v>705007.45</v>
      </c>
      <c r="AO312" t="s">
        <v>122</v>
      </c>
      <c r="AP312">
        <v>15</v>
      </c>
      <c r="AQ312">
        <v>83862.899999999994</v>
      </c>
      <c r="AR312">
        <v>83862.899999999994</v>
      </c>
      <c r="AT312">
        <v>13888500</v>
      </c>
      <c r="AU312">
        <v>335451.59999999998</v>
      </c>
      <c r="AV312">
        <v>13888500</v>
      </c>
      <c r="AW312">
        <v>335451.59999999998</v>
      </c>
    </row>
    <row r="313" spans="1:49" hidden="1" x14ac:dyDescent="0.35">
      <c r="A313">
        <v>5807110</v>
      </c>
      <c r="B313">
        <v>1150005807101</v>
      </c>
      <c r="D313">
        <v>20125319069</v>
      </c>
      <c r="E313" t="s">
        <v>187</v>
      </c>
      <c r="F313" t="s">
        <v>1</v>
      </c>
      <c r="G313" t="s">
        <v>182</v>
      </c>
      <c r="H313" t="s">
        <v>50</v>
      </c>
      <c r="I313">
        <v>2426</v>
      </c>
      <c r="J313">
        <v>3</v>
      </c>
      <c r="K313" t="s">
        <v>32</v>
      </c>
      <c r="L313">
        <v>9262</v>
      </c>
      <c r="M313" t="s">
        <v>183</v>
      </c>
      <c r="N313">
        <v>1</v>
      </c>
      <c r="O313" t="s">
        <v>119</v>
      </c>
      <c r="P313" t="s">
        <v>650</v>
      </c>
      <c r="Q313">
        <v>559086</v>
      </c>
      <c r="R313">
        <v>23147500</v>
      </c>
      <c r="S313">
        <v>47</v>
      </c>
      <c r="T313">
        <v>492500</v>
      </c>
      <c r="U313">
        <v>1</v>
      </c>
      <c r="V313">
        <v>1</v>
      </c>
      <c r="W313" t="s">
        <v>127</v>
      </c>
      <c r="X313">
        <v>19700</v>
      </c>
      <c r="Y313">
        <v>559086</v>
      </c>
      <c r="Z313">
        <v>23147500</v>
      </c>
      <c r="AA313">
        <v>492500</v>
      </c>
      <c r="AB313">
        <v>105</v>
      </c>
      <c r="AC313" s="34">
        <v>45937</v>
      </c>
      <c r="AD313" s="34">
        <v>46142</v>
      </c>
      <c r="AF313">
        <v>0</v>
      </c>
      <c r="AG313">
        <v>559086</v>
      </c>
      <c r="AH313">
        <v>0</v>
      </c>
      <c r="AI313">
        <v>559086</v>
      </c>
      <c r="AJ313">
        <v>0</v>
      </c>
      <c r="AK313">
        <v>0</v>
      </c>
      <c r="AL313">
        <v>145921.45000000001</v>
      </c>
      <c r="AM313">
        <v>0</v>
      </c>
      <c r="AN313">
        <v>705007.45</v>
      </c>
      <c r="AO313" t="s">
        <v>122</v>
      </c>
      <c r="AP313">
        <v>15</v>
      </c>
      <c r="AQ313">
        <v>83862.899999999994</v>
      </c>
      <c r="AR313">
        <v>83862.899999999994</v>
      </c>
      <c r="AT313">
        <v>13888500</v>
      </c>
      <c r="AU313">
        <v>335451.59999999998</v>
      </c>
      <c r="AV313">
        <v>13888500</v>
      </c>
      <c r="AW313">
        <v>335451.59999999998</v>
      </c>
    </row>
    <row r="314" spans="1:49" hidden="1" x14ac:dyDescent="0.35">
      <c r="A314">
        <v>5807310</v>
      </c>
      <c r="B314">
        <v>1150005807301</v>
      </c>
      <c r="D314">
        <v>30708882697</v>
      </c>
      <c r="E314" t="s">
        <v>651</v>
      </c>
      <c r="F314" t="s">
        <v>1</v>
      </c>
      <c r="G314" t="s">
        <v>174</v>
      </c>
      <c r="H314" t="s">
        <v>51</v>
      </c>
      <c r="I314">
        <v>5929</v>
      </c>
      <c r="J314">
        <v>3</v>
      </c>
      <c r="K314" t="s">
        <v>32</v>
      </c>
      <c r="L314">
        <v>6063</v>
      </c>
      <c r="M314" t="s">
        <v>652</v>
      </c>
      <c r="N314">
        <v>1</v>
      </c>
      <c r="O314" t="s">
        <v>125</v>
      </c>
      <c r="P314" t="s">
        <v>653</v>
      </c>
      <c r="Q314">
        <v>4346055</v>
      </c>
      <c r="R314">
        <v>99225000</v>
      </c>
      <c r="S314">
        <v>245</v>
      </c>
      <c r="T314">
        <v>405000</v>
      </c>
      <c r="U314">
        <v>1</v>
      </c>
      <c r="V314">
        <v>1</v>
      </c>
      <c r="W314" t="s">
        <v>121</v>
      </c>
      <c r="X314" t="s">
        <v>1</v>
      </c>
      <c r="Y314">
        <v>4346055</v>
      </c>
      <c r="Z314">
        <v>99225000</v>
      </c>
      <c r="AA314">
        <v>405000</v>
      </c>
      <c r="AB314">
        <v>105</v>
      </c>
      <c r="AC314" s="34">
        <v>45935</v>
      </c>
      <c r="AD314" s="34">
        <v>46022</v>
      </c>
      <c r="AF314">
        <v>0</v>
      </c>
      <c r="AG314">
        <v>4346055</v>
      </c>
      <c r="AH314">
        <v>0</v>
      </c>
      <c r="AI314">
        <v>4346055</v>
      </c>
      <c r="AJ314">
        <v>0</v>
      </c>
      <c r="AK314">
        <v>0</v>
      </c>
      <c r="AL314">
        <v>1134320.3600000001</v>
      </c>
      <c r="AM314">
        <v>0</v>
      </c>
      <c r="AN314">
        <v>5480375.3600000003</v>
      </c>
      <c r="AO314" t="s">
        <v>122</v>
      </c>
      <c r="AP314">
        <v>10</v>
      </c>
      <c r="AQ314">
        <v>434605.5</v>
      </c>
      <c r="AR314">
        <v>434605.5</v>
      </c>
      <c r="AT314">
        <v>59535000</v>
      </c>
      <c r="AU314">
        <v>2607633</v>
      </c>
      <c r="AV314">
        <v>59535000</v>
      </c>
      <c r="AW314">
        <v>2607633</v>
      </c>
    </row>
    <row r="315" spans="1:49" hidden="1" x14ac:dyDescent="0.35">
      <c r="A315">
        <v>5807410</v>
      </c>
      <c r="B315">
        <v>1090005807401</v>
      </c>
      <c r="D315">
        <v>30715569678</v>
      </c>
      <c r="E315" t="s">
        <v>654</v>
      </c>
      <c r="F315" t="s">
        <v>1</v>
      </c>
      <c r="G315" t="s">
        <v>56</v>
      </c>
      <c r="H315" t="s">
        <v>56</v>
      </c>
      <c r="I315">
        <v>6381</v>
      </c>
      <c r="J315">
        <v>21</v>
      </c>
      <c r="K315" t="s">
        <v>33</v>
      </c>
      <c r="L315">
        <v>82963</v>
      </c>
      <c r="M315" t="s">
        <v>396</v>
      </c>
      <c r="N315">
        <v>1</v>
      </c>
      <c r="O315" t="s">
        <v>125</v>
      </c>
      <c r="P315" t="s">
        <v>655</v>
      </c>
      <c r="Q315">
        <v>605758.68000000005</v>
      </c>
      <c r="R315">
        <v>14000000</v>
      </c>
      <c r="S315">
        <v>20</v>
      </c>
      <c r="T315">
        <v>700000</v>
      </c>
      <c r="U315">
        <v>1</v>
      </c>
      <c r="V315">
        <v>1</v>
      </c>
      <c r="W315" t="s">
        <v>121</v>
      </c>
      <c r="X315" t="s">
        <v>1</v>
      </c>
      <c r="Y315">
        <v>605758.68000000005</v>
      </c>
      <c r="Z315">
        <v>14000000</v>
      </c>
      <c r="AA315">
        <v>700000</v>
      </c>
      <c r="AB315">
        <v>105</v>
      </c>
      <c r="AC315" s="34">
        <v>45934</v>
      </c>
      <c r="AD315" s="34">
        <v>46053</v>
      </c>
      <c r="AE315" t="s">
        <v>161</v>
      </c>
      <c r="AF315">
        <v>0</v>
      </c>
      <c r="AG315">
        <v>1514396.7</v>
      </c>
      <c r="AH315">
        <v>0</v>
      </c>
      <c r="AI315">
        <v>1514396.7</v>
      </c>
      <c r="AJ315">
        <v>0</v>
      </c>
      <c r="AK315">
        <v>0</v>
      </c>
      <c r="AL315">
        <v>380113.57</v>
      </c>
      <c r="AM315">
        <v>0</v>
      </c>
      <c r="AN315">
        <v>1894510.27</v>
      </c>
      <c r="AO315" t="s">
        <v>122</v>
      </c>
      <c r="AP315">
        <v>15</v>
      </c>
      <c r="AQ315">
        <v>227159.51</v>
      </c>
      <c r="AR315">
        <v>227159.51</v>
      </c>
      <c r="AT315">
        <v>8400000</v>
      </c>
      <c r="AU315">
        <v>363455.21</v>
      </c>
      <c r="AV315">
        <v>8400000</v>
      </c>
      <c r="AW315">
        <v>363455.21</v>
      </c>
    </row>
    <row r="316" spans="1:49" hidden="1" x14ac:dyDescent="0.35">
      <c r="A316">
        <v>5807410</v>
      </c>
      <c r="B316">
        <v>1090005807401</v>
      </c>
      <c r="D316">
        <v>30715569678</v>
      </c>
      <c r="E316" t="s">
        <v>654</v>
      </c>
      <c r="F316" t="s">
        <v>1</v>
      </c>
      <c r="G316" t="s">
        <v>56</v>
      </c>
      <c r="H316" t="s">
        <v>56</v>
      </c>
      <c r="I316">
        <v>6381</v>
      </c>
      <c r="J316">
        <v>21</v>
      </c>
      <c r="K316" t="s">
        <v>33</v>
      </c>
      <c r="L316">
        <v>82963</v>
      </c>
      <c r="M316" t="s">
        <v>396</v>
      </c>
      <c r="N316">
        <v>2</v>
      </c>
      <c r="O316" t="s">
        <v>125</v>
      </c>
      <c r="P316" t="s">
        <v>656</v>
      </c>
      <c r="Q316">
        <v>908638.02</v>
      </c>
      <c r="R316">
        <v>21000000</v>
      </c>
      <c r="S316">
        <v>30</v>
      </c>
      <c r="T316">
        <v>700000</v>
      </c>
      <c r="U316">
        <v>1</v>
      </c>
      <c r="V316">
        <v>1</v>
      </c>
      <c r="W316" t="s">
        <v>121</v>
      </c>
      <c r="X316" t="s">
        <v>1</v>
      </c>
      <c r="Y316">
        <v>908638.02</v>
      </c>
      <c r="Z316">
        <v>21000000</v>
      </c>
      <c r="AA316">
        <v>700000</v>
      </c>
      <c r="AB316">
        <v>105</v>
      </c>
      <c r="AC316" s="34">
        <v>45934</v>
      </c>
      <c r="AD316" s="34">
        <v>46053</v>
      </c>
      <c r="AE316" t="s">
        <v>161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 t="s">
        <v>122</v>
      </c>
      <c r="AT316">
        <v>12600000</v>
      </c>
      <c r="AU316">
        <v>545182.81000000006</v>
      </c>
      <c r="AV316">
        <v>12600000</v>
      </c>
      <c r="AW316">
        <v>545182.81000000006</v>
      </c>
    </row>
    <row r="317" spans="1:49" hidden="1" x14ac:dyDescent="0.35">
      <c r="A317">
        <v>5807510</v>
      </c>
      <c r="B317">
        <v>1170005807501</v>
      </c>
      <c r="D317">
        <v>23160288949</v>
      </c>
      <c r="E317" t="s">
        <v>657</v>
      </c>
      <c r="F317" t="s">
        <v>1</v>
      </c>
      <c r="G317" t="s">
        <v>50</v>
      </c>
      <c r="H317" t="s">
        <v>50</v>
      </c>
      <c r="I317">
        <v>3040</v>
      </c>
      <c r="J317">
        <v>12</v>
      </c>
      <c r="K317" t="s">
        <v>34</v>
      </c>
      <c r="L317">
        <v>10723</v>
      </c>
      <c r="M317" t="s">
        <v>658</v>
      </c>
      <c r="N317">
        <v>1</v>
      </c>
      <c r="O317" t="s">
        <v>119</v>
      </c>
      <c r="P317" t="s">
        <v>659</v>
      </c>
      <c r="Q317">
        <v>2099349.33</v>
      </c>
      <c r="R317">
        <v>36512775</v>
      </c>
      <c r="S317">
        <v>45</v>
      </c>
      <c r="T317">
        <v>811395</v>
      </c>
      <c r="U317">
        <v>1</v>
      </c>
      <c r="V317">
        <v>1</v>
      </c>
      <c r="W317" t="s">
        <v>127</v>
      </c>
      <c r="X317">
        <v>54093</v>
      </c>
      <c r="Y317">
        <v>2099349.33</v>
      </c>
      <c r="Z317">
        <v>36512775</v>
      </c>
      <c r="AA317">
        <v>811395</v>
      </c>
      <c r="AB317">
        <v>105</v>
      </c>
      <c r="AC317" s="34">
        <v>45938</v>
      </c>
      <c r="AD317" s="34">
        <v>46112</v>
      </c>
      <c r="AE317" t="s">
        <v>355</v>
      </c>
      <c r="AF317">
        <v>0</v>
      </c>
      <c r="AG317">
        <v>2099349.33</v>
      </c>
      <c r="AH317">
        <v>0</v>
      </c>
      <c r="AI317">
        <v>2099349.33</v>
      </c>
      <c r="AJ317">
        <v>0</v>
      </c>
      <c r="AK317">
        <v>0</v>
      </c>
      <c r="AL317">
        <v>537433.43999999994</v>
      </c>
      <c r="AM317">
        <v>0</v>
      </c>
      <c r="AN317">
        <v>2636782.77</v>
      </c>
      <c r="AO317" t="s">
        <v>122</v>
      </c>
      <c r="AP317">
        <v>10</v>
      </c>
      <c r="AQ317">
        <v>209934.93</v>
      </c>
      <c r="AR317">
        <v>209934.93</v>
      </c>
      <c r="AT317">
        <v>21907665</v>
      </c>
      <c r="AU317">
        <v>1259609.6000000001</v>
      </c>
      <c r="AV317">
        <v>21907665</v>
      </c>
      <c r="AW317">
        <v>1259609.6000000001</v>
      </c>
    </row>
    <row r="318" spans="1:49" hidden="1" x14ac:dyDescent="0.35">
      <c r="A318">
        <v>5807610</v>
      </c>
      <c r="B318">
        <v>1170005807601</v>
      </c>
      <c r="D318">
        <v>20310389766</v>
      </c>
      <c r="E318" t="s">
        <v>594</v>
      </c>
      <c r="F318" t="s">
        <v>1</v>
      </c>
      <c r="G318" t="s">
        <v>226</v>
      </c>
      <c r="H318" t="s">
        <v>63</v>
      </c>
      <c r="I318">
        <v>2535</v>
      </c>
      <c r="J318">
        <v>12</v>
      </c>
      <c r="K318" t="s">
        <v>34</v>
      </c>
      <c r="L318">
        <v>83429</v>
      </c>
      <c r="M318" t="s">
        <v>140</v>
      </c>
      <c r="N318">
        <v>1</v>
      </c>
      <c r="O318" t="s">
        <v>119</v>
      </c>
      <c r="P318" t="s">
        <v>660</v>
      </c>
      <c r="Q318">
        <v>2451494.7599999998</v>
      </c>
      <c r="R318">
        <v>89794380</v>
      </c>
      <c r="S318">
        <v>83</v>
      </c>
      <c r="T318">
        <v>1081860</v>
      </c>
      <c r="U318">
        <v>1</v>
      </c>
      <c r="V318">
        <v>1</v>
      </c>
      <c r="W318" t="s">
        <v>127</v>
      </c>
      <c r="X318">
        <v>54093</v>
      </c>
      <c r="Y318">
        <v>2451494.7599999998</v>
      </c>
      <c r="Z318">
        <v>89794380</v>
      </c>
      <c r="AA318">
        <v>1081860</v>
      </c>
      <c r="AB318">
        <v>212</v>
      </c>
      <c r="AC318" s="34">
        <v>45938</v>
      </c>
      <c r="AD318" s="34">
        <v>46112</v>
      </c>
      <c r="AF318">
        <v>0</v>
      </c>
      <c r="AG318">
        <v>2451494.7599999998</v>
      </c>
      <c r="AH318">
        <v>0</v>
      </c>
      <c r="AI318">
        <v>2451494.7599999998</v>
      </c>
      <c r="AJ318">
        <v>0</v>
      </c>
      <c r="AK318">
        <v>0</v>
      </c>
      <c r="AL318">
        <v>627582.65</v>
      </c>
      <c r="AM318">
        <v>0</v>
      </c>
      <c r="AN318">
        <v>3079077.41</v>
      </c>
      <c r="AO318" t="s">
        <v>122</v>
      </c>
      <c r="AP318">
        <v>15</v>
      </c>
      <c r="AQ318">
        <v>367724.21</v>
      </c>
      <c r="AR318">
        <v>367724.21</v>
      </c>
      <c r="AT318">
        <v>53876628</v>
      </c>
      <c r="AU318">
        <v>1470896.86</v>
      </c>
      <c r="AV318">
        <v>53876628</v>
      </c>
      <c r="AW318">
        <v>1470896.86</v>
      </c>
    </row>
    <row r="319" spans="1:49" hidden="1" x14ac:dyDescent="0.35">
      <c r="A319">
        <v>5807710</v>
      </c>
      <c r="B319">
        <v>1170005807701</v>
      </c>
      <c r="D319">
        <v>20210063332</v>
      </c>
      <c r="E319" t="s">
        <v>661</v>
      </c>
      <c r="F319" t="s">
        <v>1</v>
      </c>
      <c r="G319" t="s">
        <v>198</v>
      </c>
      <c r="H319" t="s">
        <v>28</v>
      </c>
      <c r="I319">
        <v>2914</v>
      </c>
      <c r="J319">
        <v>1</v>
      </c>
      <c r="K319" t="s">
        <v>16</v>
      </c>
      <c r="L319">
        <v>8105</v>
      </c>
      <c r="M319" t="s">
        <v>199</v>
      </c>
      <c r="N319">
        <v>1</v>
      </c>
      <c r="O319" t="s">
        <v>125</v>
      </c>
      <c r="P319" t="s">
        <v>662</v>
      </c>
      <c r="Q319">
        <v>332910</v>
      </c>
      <c r="R319">
        <v>12330000</v>
      </c>
      <c r="S319">
        <v>50</v>
      </c>
      <c r="T319">
        <v>246600</v>
      </c>
      <c r="U319">
        <v>1</v>
      </c>
      <c r="V319">
        <v>1</v>
      </c>
      <c r="W319" t="s">
        <v>127</v>
      </c>
      <c r="X319">
        <v>24660</v>
      </c>
      <c r="Y319">
        <v>332910</v>
      </c>
      <c r="Z319">
        <v>12330000</v>
      </c>
      <c r="AA319">
        <v>246600</v>
      </c>
      <c r="AB319">
        <v>105</v>
      </c>
      <c r="AC319" s="34">
        <v>45915</v>
      </c>
      <c r="AD319" s="34">
        <v>46022</v>
      </c>
      <c r="AF319">
        <v>0</v>
      </c>
      <c r="AG319">
        <v>1564677</v>
      </c>
      <c r="AH319">
        <v>0</v>
      </c>
      <c r="AI319">
        <v>1564677</v>
      </c>
      <c r="AJ319">
        <v>0</v>
      </c>
      <c r="AK319">
        <v>0</v>
      </c>
      <c r="AL319">
        <v>392733.93</v>
      </c>
      <c r="AM319">
        <v>0</v>
      </c>
      <c r="AN319">
        <v>1957410.93</v>
      </c>
      <c r="AO319" t="s">
        <v>122</v>
      </c>
      <c r="AP319">
        <v>10</v>
      </c>
      <c r="AQ319">
        <v>156467.70000000001</v>
      </c>
      <c r="AR319">
        <v>156467.70000000001</v>
      </c>
      <c r="AT319">
        <v>7398000</v>
      </c>
      <c r="AU319">
        <v>199746</v>
      </c>
      <c r="AV319">
        <v>7398000</v>
      </c>
      <c r="AW319">
        <v>199746</v>
      </c>
    </row>
    <row r="320" spans="1:49" hidden="1" x14ac:dyDescent="0.35">
      <c r="A320">
        <v>5807710</v>
      </c>
      <c r="B320">
        <v>1170005807701</v>
      </c>
      <c r="D320">
        <v>20210063332</v>
      </c>
      <c r="E320" t="s">
        <v>661</v>
      </c>
      <c r="F320" t="s">
        <v>1</v>
      </c>
      <c r="G320" t="s">
        <v>198</v>
      </c>
      <c r="H320" t="s">
        <v>28</v>
      </c>
      <c r="I320">
        <v>2914</v>
      </c>
      <c r="J320">
        <v>1</v>
      </c>
      <c r="K320" t="s">
        <v>16</v>
      </c>
      <c r="L320">
        <v>8105</v>
      </c>
      <c r="M320" t="s">
        <v>199</v>
      </c>
      <c r="N320">
        <v>2</v>
      </c>
      <c r="O320" t="s">
        <v>125</v>
      </c>
      <c r="P320" t="s">
        <v>663</v>
      </c>
      <c r="Q320">
        <v>346226.4</v>
      </c>
      <c r="R320">
        <v>12823200</v>
      </c>
      <c r="S320">
        <v>52</v>
      </c>
      <c r="T320">
        <v>246600</v>
      </c>
      <c r="U320">
        <v>1</v>
      </c>
      <c r="V320">
        <v>1</v>
      </c>
      <c r="W320" t="s">
        <v>127</v>
      </c>
      <c r="X320">
        <v>24660</v>
      </c>
      <c r="Y320">
        <v>346226.4</v>
      </c>
      <c r="Z320">
        <v>12823200</v>
      </c>
      <c r="AA320">
        <v>246600</v>
      </c>
      <c r="AB320">
        <v>105</v>
      </c>
      <c r="AC320" s="34">
        <v>45915</v>
      </c>
      <c r="AD320" s="34">
        <v>46022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 t="s">
        <v>122</v>
      </c>
      <c r="AT320">
        <v>7693920</v>
      </c>
      <c r="AU320">
        <v>207735.84</v>
      </c>
      <c r="AV320">
        <v>7693920</v>
      </c>
      <c r="AW320">
        <v>207735.84</v>
      </c>
    </row>
    <row r="321" spans="1:49" hidden="1" x14ac:dyDescent="0.35">
      <c r="A321">
        <v>5807710</v>
      </c>
      <c r="B321">
        <v>1170005807701</v>
      </c>
      <c r="D321">
        <v>20210063332</v>
      </c>
      <c r="E321" t="s">
        <v>661</v>
      </c>
      <c r="F321" t="s">
        <v>1</v>
      </c>
      <c r="G321" t="s">
        <v>198</v>
      </c>
      <c r="H321" t="s">
        <v>28</v>
      </c>
      <c r="I321">
        <v>2914</v>
      </c>
      <c r="J321">
        <v>1</v>
      </c>
      <c r="K321" t="s">
        <v>16</v>
      </c>
      <c r="L321">
        <v>8105</v>
      </c>
      <c r="M321" t="s">
        <v>199</v>
      </c>
      <c r="N321">
        <v>3</v>
      </c>
      <c r="O321" t="s">
        <v>125</v>
      </c>
      <c r="P321" t="s">
        <v>664</v>
      </c>
      <c r="Q321">
        <v>825616.8</v>
      </c>
      <c r="R321">
        <v>30578400</v>
      </c>
      <c r="S321">
        <v>124</v>
      </c>
      <c r="T321">
        <v>246600</v>
      </c>
      <c r="U321">
        <v>1</v>
      </c>
      <c r="V321">
        <v>1</v>
      </c>
      <c r="W321" t="s">
        <v>127</v>
      </c>
      <c r="X321">
        <v>24660</v>
      </c>
      <c r="Y321">
        <v>825616.8</v>
      </c>
      <c r="Z321">
        <v>30578400</v>
      </c>
      <c r="AA321">
        <v>246600</v>
      </c>
      <c r="AB321">
        <v>105</v>
      </c>
      <c r="AC321" s="34">
        <v>45915</v>
      </c>
      <c r="AD321" s="34">
        <v>46022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 t="s">
        <v>122</v>
      </c>
      <c r="AT321">
        <v>18347040</v>
      </c>
      <c r="AU321">
        <v>495370.08</v>
      </c>
      <c r="AV321">
        <v>18347040</v>
      </c>
      <c r="AW321">
        <v>495370.08</v>
      </c>
    </row>
    <row r="322" spans="1:49" hidden="1" x14ac:dyDescent="0.35">
      <c r="A322">
        <v>5807710</v>
      </c>
      <c r="B322">
        <v>1170005807701</v>
      </c>
      <c r="D322">
        <v>20210063332</v>
      </c>
      <c r="E322" t="s">
        <v>661</v>
      </c>
      <c r="F322" t="s">
        <v>1</v>
      </c>
      <c r="G322" t="s">
        <v>198</v>
      </c>
      <c r="H322" t="s">
        <v>28</v>
      </c>
      <c r="I322">
        <v>2914</v>
      </c>
      <c r="J322">
        <v>1</v>
      </c>
      <c r="K322" t="s">
        <v>16</v>
      </c>
      <c r="L322">
        <v>8105</v>
      </c>
      <c r="M322" t="s">
        <v>199</v>
      </c>
      <c r="N322">
        <v>4</v>
      </c>
      <c r="O322" t="s">
        <v>125</v>
      </c>
      <c r="P322" t="s">
        <v>665</v>
      </c>
      <c r="Q322">
        <v>59923.8</v>
      </c>
      <c r="R322">
        <v>2466000</v>
      </c>
      <c r="S322">
        <v>10</v>
      </c>
      <c r="T322">
        <v>246600</v>
      </c>
      <c r="U322">
        <v>1</v>
      </c>
      <c r="V322">
        <v>1</v>
      </c>
      <c r="W322" t="s">
        <v>127</v>
      </c>
      <c r="X322">
        <v>24660</v>
      </c>
      <c r="Y322">
        <v>59923.8</v>
      </c>
      <c r="Z322">
        <v>2466000</v>
      </c>
      <c r="AA322">
        <v>246600</v>
      </c>
      <c r="AB322">
        <v>105</v>
      </c>
      <c r="AC322" s="34">
        <v>45915</v>
      </c>
      <c r="AD322" s="34">
        <v>46022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 t="s">
        <v>122</v>
      </c>
      <c r="AT322">
        <v>1479600</v>
      </c>
      <c r="AU322">
        <v>35954.28</v>
      </c>
      <c r="AV322">
        <v>1479600</v>
      </c>
      <c r="AW322">
        <v>35954.28</v>
      </c>
    </row>
    <row r="323" spans="1:49" hidden="1" x14ac:dyDescent="0.35">
      <c r="A323">
        <v>5807810</v>
      </c>
      <c r="B323">
        <v>1090005807801</v>
      </c>
      <c r="D323">
        <v>30707560807</v>
      </c>
      <c r="E323" t="s">
        <v>666</v>
      </c>
      <c r="F323" t="s">
        <v>1</v>
      </c>
      <c r="G323" t="s">
        <v>66</v>
      </c>
      <c r="H323" t="s">
        <v>66</v>
      </c>
      <c r="I323">
        <v>7540</v>
      </c>
      <c r="J323">
        <v>1</v>
      </c>
      <c r="K323" t="s">
        <v>16</v>
      </c>
      <c r="L323">
        <v>12320</v>
      </c>
      <c r="M323" t="s">
        <v>403</v>
      </c>
      <c r="N323">
        <v>1</v>
      </c>
      <c r="O323" t="s">
        <v>125</v>
      </c>
      <c r="P323" t="s">
        <v>667</v>
      </c>
      <c r="Q323">
        <v>11621046.26</v>
      </c>
      <c r="R323">
        <v>257600000</v>
      </c>
      <c r="S323">
        <v>644</v>
      </c>
      <c r="T323">
        <v>400000</v>
      </c>
      <c r="U323">
        <v>1</v>
      </c>
      <c r="V323">
        <v>1</v>
      </c>
      <c r="W323" t="s">
        <v>121</v>
      </c>
      <c r="X323" t="s">
        <v>1</v>
      </c>
      <c r="Y323">
        <v>11621046.26</v>
      </c>
      <c r="Z323">
        <v>257600000</v>
      </c>
      <c r="AA323">
        <v>400000</v>
      </c>
      <c r="AB323">
        <v>105</v>
      </c>
      <c r="AC323" s="34">
        <v>45935</v>
      </c>
      <c r="AD323" s="34">
        <v>46053</v>
      </c>
      <c r="AE323" t="s">
        <v>668</v>
      </c>
      <c r="AF323">
        <v>1</v>
      </c>
      <c r="AG323">
        <v>15879690.539999999</v>
      </c>
      <c r="AH323">
        <v>0</v>
      </c>
      <c r="AI323">
        <v>15879690.539999999</v>
      </c>
      <c r="AJ323">
        <v>0</v>
      </c>
      <c r="AK323">
        <v>0</v>
      </c>
      <c r="AL323">
        <v>3985802.32</v>
      </c>
      <c r="AM323">
        <v>0</v>
      </c>
      <c r="AN323">
        <v>19865492.859999999</v>
      </c>
      <c r="AO323" t="s">
        <v>122</v>
      </c>
      <c r="AP323">
        <v>15</v>
      </c>
      <c r="AQ323">
        <v>2381953.58</v>
      </c>
      <c r="AR323">
        <v>2381953.58</v>
      </c>
      <c r="AT323">
        <v>154560000</v>
      </c>
      <c r="AU323">
        <v>6972627.7599999998</v>
      </c>
      <c r="AV323">
        <v>154560000</v>
      </c>
      <c r="AW323">
        <v>6972627.7599999998</v>
      </c>
    </row>
    <row r="324" spans="1:49" hidden="1" x14ac:dyDescent="0.35">
      <c r="A324">
        <v>5807810</v>
      </c>
      <c r="B324">
        <v>1090005807801</v>
      </c>
      <c r="D324">
        <v>30707560807</v>
      </c>
      <c r="E324" t="s">
        <v>666</v>
      </c>
      <c r="F324" t="s">
        <v>1</v>
      </c>
      <c r="G324" t="s">
        <v>66</v>
      </c>
      <c r="H324" t="s">
        <v>66</v>
      </c>
      <c r="I324">
        <v>7540</v>
      </c>
      <c r="J324">
        <v>1</v>
      </c>
      <c r="K324" t="s">
        <v>16</v>
      </c>
      <c r="L324">
        <v>12320</v>
      </c>
      <c r="M324" t="s">
        <v>403</v>
      </c>
      <c r="N324">
        <v>2</v>
      </c>
      <c r="O324" t="s">
        <v>125</v>
      </c>
      <c r="P324" t="s">
        <v>669</v>
      </c>
      <c r="Q324">
        <v>4258644.28</v>
      </c>
      <c r="R324">
        <v>94400000</v>
      </c>
      <c r="S324">
        <v>236</v>
      </c>
      <c r="T324">
        <v>400000</v>
      </c>
      <c r="U324">
        <v>1</v>
      </c>
      <c r="V324">
        <v>1</v>
      </c>
      <c r="W324" t="s">
        <v>121</v>
      </c>
      <c r="X324" t="s">
        <v>1</v>
      </c>
      <c r="Y324">
        <v>4258644.28</v>
      </c>
      <c r="Z324">
        <v>94400000</v>
      </c>
      <c r="AA324">
        <v>400000</v>
      </c>
      <c r="AB324">
        <v>105</v>
      </c>
      <c r="AC324" s="34">
        <v>45935</v>
      </c>
      <c r="AD324" s="34">
        <v>46053</v>
      </c>
      <c r="AE324" t="s">
        <v>668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 t="s">
        <v>122</v>
      </c>
      <c r="AT324">
        <v>56640000</v>
      </c>
      <c r="AU324">
        <v>2555186.5699999998</v>
      </c>
      <c r="AV324">
        <v>56640000</v>
      </c>
      <c r="AW324">
        <v>2555186.5699999998</v>
      </c>
    </row>
    <row r="325" spans="1:49" hidden="1" x14ac:dyDescent="0.35">
      <c r="A325">
        <v>5807910</v>
      </c>
      <c r="B325">
        <v>1090005807901</v>
      </c>
      <c r="D325">
        <v>30708370084</v>
      </c>
      <c r="E325" t="s">
        <v>670</v>
      </c>
      <c r="F325" t="s">
        <v>1</v>
      </c>
      <c r="G325" t="s">
        <v>568</v>
      </c>
      <c r="H325" t="s">
        <v>57</v>
      </c>
      <c r="I325">
        <v>6360</v>
      </c>
      <c r="J325">
        <v>21</v>
      </c>
      <c r="K325" t="s">
        <v>33</v>
      </c>
      <c r="L325">
        <v>6127</v>
      </c>
      <c r="M325" t="s">
        <v>118</v>
      </c>
      <c r="N325">
        <v>1</v>
      </c>
      <c r="O325" t="s">
        <v>125</v>
      </c>
      <c r="P325" t="s">
        <v>671</v>
      </c>
      <c r="Q325">
        <v>1347.84</v>
      </c>
      <c r="R325">
        <v>43200</v>
      </c>
      <c r="S325">
        <v>108</v>
      </c>
      <c r="T325">
        <v>400</v>
      </c>
      <c r="U325">
        <v>26</v>
      </c>
      <c r="V325">
        <v>1429.5</v>
      </c>
      <c r="W325" t="s">
        <v>121</v>
      </c>
      <c r="X325" t="s">
        <v>1</v>
      </c>
      <c r="Y325">
        <v>1926737.28</v>
      </c>
      <c r="Z325">
        <v>61754400</v>
      </c>
      <c r="AA325">
        <v>571800</v>
      </c>
      <c r="AB325">
        <v>106</v>
      </c>
      <c r="AC325" s="34">
        <v>45935</v>
      </c>
      <c r="AD325" s="34">
        <v>46022</v>
      </c>
      <c r="AF325">
        <v>0</v>
      </c>
      <c r="AG325">
        <v>1347.84</v>
      </c>
      <c r="AH325">
        <v>0</v>
      </c>
      <c r="AI325">
        <v>1926737.28</v>
      </c>
      <c r="AJ325">
        <v>0</v>
      </c>
      <c r="AK325">
        <v>0</v>
      </c>
      <c r="AL325">
        <v>483628.44</v>
      </c>
      <c r="AM325">
        <v>0</v>
      </c>
      <c r="AN325">
        <v>2410365.7200000002</v>
      </c>
      <c r="AO325" t="s">
        <v>122</v>
      </c>
      <c r="AP325">
        <v>12</v>
      </c>
      <c r="AQ325">
        <v>161.74</v>
      </c>
      <c r="AR325">
        <v>231207.33</v>
      </c>
      <c r="AT325">
        <v>25920</v>
      </c>
      <c r="AU325">
        <v>808.7</v>
      </c>
      <c r="AV325">
        <v>37052640</v>
      </c>
      <c r="AW325">
        <v>1156036.6499999999</v>
      </c>
    </row>
    <row r="326" spans="1:49" hidden="1" x14ac:dyDescent="0.35">
      <c r="A326">
        <v>5808110</v>
      </c>
      <c r="B326">
        <v>1090005808101</v>
      </c>
      <c r="D326">
        <v>30549743486</v>
      </c>
      <c r="E326" t="s">
        <v>672</v>
      </c>
      <c r="F326" t="s">
        <v>1</v>
      </c>
      <c r="G326" t="s">
        <v>56</v>
      </c>
      <c r="H326" t="s">
        <v>56</v>
      </c>
      <c r="I326">
        <v>6381</v>
      </c>
      <c r="J326">
        <v>21</v>
      </c>
      <c r="K326" t="s">
        <v>33</v>
      </c>
      <c r="L326">
        <v>82963</v>
      </c>
      <c r="M326" t="s">
        <v>396</v>
      </c>
      <c r="N326">
        <v>1</v>
      </c>
      <c r="O326" t="s">
        <v>125</v>
      </c>
      <c r="P326" t="s">
        <v>673</v>
      </c>
      <c r="Q326">
        <v>4354.3900000000003</v>
      </c>
      <c r="R326">
        <v>103600</v>
      </c>
      <c r="S326">
        <v>259</v>
      </c>
      <c r="T326">
        <v>400</v>
      </c>
      <c r="U326">
        <v>26</v>
      </c>
      <c r="V326">
        <v>1429.5</v>
      </c>
      <c r="W326" t="s">
        <v>121</v>
      </c>
      <c r="X326" t="s">
        <v>1</v>
      </c>
      <c r="Y326">
        <v>6224600.5099999998</v>
      </c>
      <c r="Z326">
        <v>148096200</v>
      </c>
      <c r="AA326">
        <v>571800</v>
      </c>
      <c r="AB326">
        <v>106</v>
      </c>
      <c r="AC326" s="34">
        <v>45928</v>
      </c>
      <c r="AD326" s="34">
        <v>46053</v>
      </c>
      <c r="AF326">
        <v>0</v>
      </c>
      <c r="AG326">
        <v>8893.7099999999991</v>
      </c>
      <c r="AH326">
        <v>0</v>
      </c>
      <c r="AI326">
        <v>12713558.449999999</v>
      </c>
      <c r="AJ326">
        <v>0</v>
      </c>
      <c r="AK326">
        <v>0</v>
      </c>
      <c r="AL326">
        <v>3191101.4399999999</v>
      </c>
      <c r="AM326">
        <v>0</v>
      </c>
      <c r="AN326">
        <v>15904659.890000001</v>
      </c>
      <c r="AO326" t="s">
        <v>122</v>
      </c>
      <c r="AP326">
        <v>12</v>
      </c>
      <c r="AQ326">
        <v>1067.25</v>
      </c>
      <c r="AR326">
        <v>1525633.88</v>
      </c>
      <c r="AT326">
        <v>62160</v>
      </c>
      <c r="AU326">
        <v>2612.63</v>
      </c>
      <c r="AV326">
        <v>88857720</v>
      </c>
      <c r="AW326">
        <v>3734754.59</v>
      </c>
    </row>
    <row r="327" spans="1:49" hidden="1" x14ac:dyDescent="0.35">
      <c r="A327">
        <v>5808110</v>
      </c>
      <c r="B327">
        <v>1090005808101</v>
      </c>
      <c r="D327">
        <v>30549743486</v>
      </c>
      <c r="E327" t="s">
        <v>672</v>
      </c>
      <c r="F327" t="s">
        <v>1</v>
      </c>
      <c r="G327" t="s">
        <v>56</v>
      </c>
      <c r="H327" t="s">
        <v>56</v>
      </c>
      <c r="I327">
        <v>6381</v>
      </c>
      <c r="J327">
        <v>21</v>
      </c>
      <c r="K327" t="s">
        <v>33</v>
      </c>
      <c r="L327">
        <v>82963</v>
      </c>
      <c r="M327" t="s">
        <v>396</v>
      </c>
      <c r="N327">
        <v>2</v>
      </c>
      <c r="O327" t="s">
        <v>125</v>
      </c>
      <c r="P327" t="s">
        <v>674</v>
      </c>
      <c r="Q327">
        <v>1176.8599999999999</v>
      </c>
      <c r="R327">
        <v>28000</v>
      </c>
      <c r="S327">
        <v>70</v>
      </c>
      <c r="T327">
        <v>400</v>
      </c>
      <c r="U327">
        <v>26</v>
      </c>
      <c r="V327">
        <v>1429.5</v>
      </c>
      <c r="W327" t="s">
        <v>121</v>
      </c>
      <c r="X327" t="s">
        <v>1</v>
      </c>
      <c r="Y327">
        <v>1682321.37</v>
      </c>
      <c r="Z327">
        <v>40026000</v>
      </c>
      <c r="AA327">
        <v>571800</v>
      </c>
      <c r="AB327">
        <v>106</v>
      </c>
      <c r="AC327" s="34">
        <v>45928</v>
      </c>
      <c r="AD327" s="34">
        <v>46053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 t="s">
        <v>122</v>
      </c>
      <c r="AT327">
        <v>16800</v>
      </c>
      <c r="AU327">
        <v>706.12</v>
      </c>
      <c r="AV327">
        <v>24015600</v>
      </c>
      <c r="AW327">
        <v>1009398.54</v>
      </c>
    </row>
    <row r="328" spans="1:49" hidden="1" x14ac:dyDescent="0.35">
      <c r="A328">
        <v>5808110</v>
      </c>
      <c r="B328">
        <v>1090005808101</v>
      </c>
      <c r="D328">
        <v>30549743486</v>
      </c>
      <c r="E328" t="s">
        <v>672</v>
      </c>
      <c r="F328" t="s">
        <v>1</v>
      </c>
      <c r="G328" t="s">
        <v>56</v>
      </c>
      <c r="H328" t="s">
        <v>56</v>
      </c>
      <c r="I328">
        <v>6381</v>
      </c>
      <c r="J328">
        <v>21</v>
      </c>
      <c r="K328" t="s">
        <v>33</v>
      </c>
      <c r="L328">
        <v>82963</v>
      </c>
      <c r="M328" t="s">
        <v>396</v>
      </c>
      <c r="N328">
        <v>3</v>
      </c>
      <c r="O328" t="s">
        <v>125</v>
      </c>
      <c r="P328" t="s">
        <v>675</v>
      </c>
      <c r="Q328">
        <v>3362.46</v>
      </c>
      <c r="R328">
        <v>80000</v>
      </c>
      <c r="S328">
        <v>200</v>
      </c>
      <c r="T328">
        <v>400</v>
      </c>
      <c r="U328">
        <v>26</v>
      </c>
      <c r="V328">
        <v>1429.5</v>
      </c>
      <c r="W328" t="s">
        <v>121</v>
      </c>
      <c r="X328" t="s">
        <v>1</v>
      </c>
      <c r="Y328">
        <v>4806636.57</v>
      </c>
      <c r="Z328">
        <v>114360000</v>
      </c>
      <c r="AA328">
        <v>571800</v>
      </c>
      <c r="AB328">
        <v>106</v>
      </c>
      <c r="AC328" s="34">
        <v>45928</v>
      </c>
      <c r="AD328" s="34">
        <v>46053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 t="s">
        <v>122</v>
      </c>
      <c r="AT328">
        <v>48000</v>
      </c>
      <c r="AU328">
        <v>2017.48</v>
      </c>
      <c r="AV328">
        <v>68616000</v>
      </c>
      <c r="AW328">
        <v>2883987.66</v>
      </c>
    </row>
    <row r="329" spans="1:49" hidden="1" x14ac:dyDescent="0.35">
      <c r="A329">
        <v>5808210</v>
      </c>
      <c r="B329">
        <v>1170005808201</v>
      </c>
      <c r="D329">
        <v>20210063332</v>
      </c>
      <c r="E329" t="s">
        <v>661</v>
      </c>
      <c r="F329" t="s">
        <v>1</v>
      </c>
      <c r="G329" t="s">
        <v>290</v>
      </c>
      <c r="H329" t="s">
        <v>28</v>
      </c>
      <c r="I329">
        <v>2916</v>
      </c>
      <c r="J329">
        <v>1</v>
      </c>
      <c r="K329" t="s">
        <v>16</v>
      </c>
      <c r="L329">
        <v>8105</v>
      </c>
      <c r="M329" t="s">
        <v>199</v>
      </c>
      <c r="N329">
        <v>1</v>
      </c>
      <c r="O329" t="s">
        <v>125</v>
      </c>
      <c r="P329" t="s">
        <v>676</v>
      </c>
      <c r="Q329">
        <v>202.06</v>
      </c>
      <c r="R329">
        <v>7000</v>
      </c>
      <c r="S329">
        <v>20</v>
      </c>
      <c r="T329">
        <v>350</v>
      </c>
      <c r="U329">
        <v>26</v>
      </c>
      <c r="V329">
        <v>1429.5</v>
      </c>
      <c r="W329" t="s">
        <v>121</v>
      </c>
      <c r="X329" t="s">
        <v>1</v>
      </c>
      <c r="Y329">
        <v>288844.77</v>
      </c>
      <c r="Z329">
        <v>10006500</v>
      </c>
      <c r="AA329">
        <v>500325</v>
      </c>
      <c r="AB329">
        <v>106</v>
      </c>
      <c r="AC329" s="34">
        <v>45900</v>
      </c>
      <c r="AD329" s="34">
        <v>46022</v>
      </c>
      <c r="AE329" t="s">
        <v>161</v>
      </c>
      <c r="AF329">
        <v>0</v>
      </c>
      <c r="AG329">
        <v>878.97</v>
      </c>
      <c r="AH329">
        <v>0</v>
      </c>
      <c r="AI329">
        <v>1256487.6200000001</v>
      </c>
      <c r="AJ329">
        <v>0</v>
      </c>
      <c r="AK329">
        <v>0</v>
      </c>
      <c r="AL329">
        <v>315362</v>
      </c>
      <c r="AM329">
        <v>0</v>
      </c>
      <c r="AN329">
        <v>1571849.61</v>
      </c>
      <c r="AO329" t="s">
        <v>122</v>
      </c>
      <c r="AP329">
        <v>12</v>
      </c>
      <c r="AQ329">
        <v>105.48</v>
      </c>
      <c r="AR329">
        <v>150783.66</v>
      </c>
      <c r="AT329">
        <v>4200</v>
      </c>
      <c r="AU329">
        <v>121.24</v>
      </c>
      <c r="AV329">
        <v>6003900</v>
      </c>
      <c r="AW329">
        <v>173312.58</v>
      </c>
    </row>
    <row r="330" spans="1:49" hidden="1" x14ac:dyDescent="0.35">
      <c r="A330">
        <v>5808210</v>
      </c>
      <c r="B330">
        <v>1170005808201</v>
      </c>
      <c r="D330">
        <v>20210063332</v>
      </c>
      <c r="E330" t="s">
        <v>661</v>
      </c>
      <c r="F330" t="s">
        <v>1</v>
      </c>
      <c r="G330" t="s">
        <v>290</v>
      </c>
      <c r="H330" t="s">
        <v>28</v>
      </c>
      <c r="I330">
        <v>2916</v>
      </c>
      <c r="J330">
        <v>1</v>
      </c>
      <c r="K330" t="s">
        <v>16</v>
      </c>
      <c r="L330">
        <v>8105</v>
      </c>
      <c r="M330" t="s">
        <v>199</v>
      </c>
      <c r="N330">
        <v>2</v>
      </c>
      <c r="O330" t="s">
        <v>125</v>
      </c>
      <c r="P330" t="s">
        <v>677</v>
      </c>
      <c r="Q330">
        <v>212.17</v>
      </c>
      <c r="R330">
        <v>7350</v>
      </c>
      <c r="S330">
        <v>21</v>
      </c>
      <c r="T330">
        <v>350</v>
      </c>
      <c r="U330">
        <v>26</v>
      </c>
      <c r="V330">
        <v>1429.5</v>
      </c>
      <c r="W330" t="s">
        <v>121</v>
      </c>
      <c r="X330" t="s">
        <v>1</v>
      </c>
      <c r="Y330">
        <v>303297.02</v>
      </c>
      <c r="Z330">
        <v>10506825</v>
      </c>
      <c r="AA330">
        <v>500325</v>
      </c>
      <c r="AB330">
        <v>106</v>
      </c>
      <c r="AC330" s="34">
        <v>45900</v>
      </c>
      <c r="AD330" s="34">
        <v>46022</v>
      </c>
      <c r="AE330" t="s">
        <v>161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 t="s">
        <v>122</v>
      </c>
      <c r="AT330">
        <v>4410</v>
      </c>
      <c r="AU330">
        <v>127.3</v>
      </c>
      <c r="AV330">
        <v>6304095</v>
      </c>
      <c r="AW330">
        <v>181975.35</v>
      </c>
    </row>
    <row r="331" spans="1:49" hidden="1" x14ac:dyDescent="0.35">
      <c r="A331">
        <v>5808210</v>
      </c>
      <c r="B331">
        <v>1170005808201</v>
      </c>
      <c r="D331">
        <v>20210063332</v>
      </c>
      <c r="E331" t="s">
        <v>661</v>
      </c>
      <c r="F331" t="s">
        <v>1</v>
      </c>
      <c r="G331" t="s">
        <v>290</v>
      </c>
      <c r="H331" t="s">
        <v>28</v>
      </c>
      <c r="I331">
        <v>2916</v>
      </c>
      <c r="J331">
        <v>1</v>
      </c>
      <c r="K331" t="s">
        <v>16</v>
      </c>
      <c r="L331">
        <v>8105</v>
      </c>
      <c r="M331" t="s">
        <v>199</v>
      </c>
      <c r="N331">
        <v>3</v>
      </c>
      <c r="O331" t="s">
        <v>125</v>
      </c>
      <c r="P331" t="s">
        <v>678</v>
      </c>
      <c r="Q331">
        <v>464.74</v>
      </c>
      <c r="R331">
        <v>16100</v>
      </c>
      <c r="S331">
        <v>46</v>
      </c>
      <c r="T331">
        <v>350</v>
      </c>
      <c r="U331">
        <v>26</v>
      </c>
      <c r="V331">
        <v>1429.5</v>
      </c>
      <c r="W331" t="s">
        <v>121</v>
      </c>
      <c r="X331" t="s">
        <v>1</v>
      </c>
      <c r="Y331">
        <v>664345.82999999996</v>
      </c>
      <c r="Z331">
        <v>23014950</v>
      </c>
      <c r="AA331">
        <v>500325</v>
      </c>
      <c r="AB331">
        <v>106</v>
      </c>
      <c r="AC331" s="34">
        <v>45900</v>
      </c>
      <c r="AD331" s="34">
        <v>46022</v>
      </c>
      <c r="AE331" t="s">
        <v>161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 t="s">
        <v>122</v>
      </c>
      <c r="AT331">
        <v>9660</v>
      </c>
      <c r="AU331">
        <v>278.83999999999997</v>
      </c>
      <c r="AV331">
        <v>13808970</v>
      </c>
      <c r="AW331">
        <v>398601.78</v>
      </c>
    </row>
    <row r="332" spans="1:49" hidden="1" x14ac:dyDescent="0.35">
      <c r="A332">
        <v>5808310</v>
      </c>
      <c r="B332">
        <v>1090005808301</v>
      </c>
      <c r="D332">
        <v>20173422785</v>
      </c>
      <c r="E332" t="s">
        <v>679</v>
      </c>
      <c r="F332" t="s">
        <v>1</v>
      </c>
      <c r="G332" t="s">
        <v>680</v>
      </c>
      <c r="H332" t="s">
        <v>55</v>
      </c>
      <c r="I332">
        <v>6220</v>
      </c>
      <c r="J332">
        <v>21</v>
      </c>
      <c r="K332" t="s">
        <v>33</v>
      </c>
      <c r="L332">
        <v>6127</v>
      </c>
      <c r="M332" t="s">
        <v>118</v>
      </c>
      <c r="N332">
        <v>1</v>
      </c>
      <c r="O332" t="s">
        <v>119</v>
      </c>
      <c r="P332" t="s">
        <v>681</v>
      </c>
      <c r="Q332">
        <v>1584</v>
      </c>
      <c r="R332">
        <v>45000</v>
      </c>
      <c r="S332">
        <v>100</v>
      </c>
      <c r="T332">
        <v>450</v>
      </c>
      <c r="U332">
        <v>26</v>
      </c>
      <c r="V332">
        <v>1429.5</v>
      </c>
      <c r="W332" t="s">
        <v>121</v>
      </c>
      <c r="X332" t="s">
        <v>1</v>
      </c>
      <c r="Y332">
        <v>2264328</v>
      </c>
      <c r="Z332">
        <v>64327500</v>
      </c>
      <c r="AA332">
        <v>643275</v>
      </c>
      <c r="AB332">
        <v>106</v>
      </c>
      <c r="AC332" s="34">
        <v>45939</v>
      </c>
      <c r="AD332" s="34">
        <v>46188</v>
      </c>
      <c r="AF332">
        <v>0</v>
      </c>
      <c r="AG332">
        <v>1584</v>
      </c>
      <c r="AH332">
        <v>0</v>
      </c>
      <c r="AI332">
        <v>2264328</v>
      </c>
      <c r="AJ332">
        <v>0</v>
      </c>
      <c r="AK332">
        <v>0</v>
      </c>
      <c r="AL332">
        <v>568340.61</v>
      </c>
      <c r="AM332">
        <v>0</v>
      </c>
      <c r="AN332">
        <v>2832668.61</v>
      </c>
      <c r="AO332" t="s">
        <v>122</v>
      </c>
      <c r="AP332">
        <v>12</v>
      </c>
      <c r="AQ332">
        <v>190.08</v>
      </c>
      <c r="AR332">
        <v>271719.36</v>
      </c>
      <c r="AT332">
        <v>27000</v>
      </c>
      <c r="AU332">
        <v>950.4</v>
      </c>
      <c r="AV332">
        <v>38596500</v>
      </c>
      <c r="AW332">
        <v>1358596.8</v>
      </c>
    </row>
    <row r="333" spans="1:49" hidden="1" x14ac:dyDescent="0.35">
      <c r="A333">
        <v>5808510</v>
      </c>
      <c r="B333">
        <v>1090005808501</v>
      </c>
      <c r="D333">
        <v>20201070075</v>
      </c>
      <c r="E333" t="s">
        <v>682</v>
      </c>
      <c r="F333" t="s">
        <v>1</v>
      </c>
      <c r="G333" t="s">
        <v>568</v>
      </c>
      <c r="H333" t="s">
        <v>57</v>
      </c>
      <c r="I333">
        <v>6360</v>
      </c>
      <c r="J333">
        <v>21</v>
      </c>
      <c r="K333" t="s">
        <v>33</v>
      </c>
      <c r="L333">
        <v>6127</v>
      </c>
      <c r="M333" t="s">
        <v>118</v>
      </c>
      <c r="N333">
        <v>1</v>
      </c>
      <c r="O333" t="s">
        <v>125</v>
      </c>
      <c r="P333" t="s">
        <v>683</v>
      </c>
      <c r="Q333">
        <v>126</v>
      </c>
      <c r="R333">
        <v>4000</v>
      </c>
      <c r="S333">
        <v>40</v>
      </c>
      <c r="T333">
        <v>100</v>
      </c>
      <c r="U333">
        <v>26</v>
      </c>
      <c r="V333">
        <v>1429.5</v>
      </c>
      <c r="W333" t="s">
        <v>121</v>
      </c>
      <c r="X333" t="s">
        <v>1</v>
      </c>
      <c r="Y333">
        <v>180117</v>
      </c>
      <c r="Z333">
        <v>5718000</v>
      </c>
      <c r="AA333">
        <v>142950</v>
      </c>
      <c r="AB333">
        <v>106</v>
      </c>
      <c r="AC333" s="34">
        <v>45939</v>
      </c>
      <c r="AD333" s="34">
        <v>46022</v>
      </c>
      <c r="AF333">
        <v>0</v>
      </c>
      <c r="AG333">
        <v>126</v>
      </c>
      <c r="AH333">
        <v>0</v>
      </c>
      <c r="AI333">
        <v>180117</v>
      </c>
      <c r="AJ333">
        <v>0</v>
      </c>
      <c r="AK333">
        <v>0</v>
      </c>
      <c r="AL333">
        <v>45215.09</v>
      </c>
      <c r="AM333">
        <v>0</v>
      </c>
      <c r="AN333">
        <v>225332.09</v>
      </c>
      <c r="AO333" t="s">
        <v>122</v>
      </c>
      <c r="AP333">
        <v>12</v>
      </c>
      <c r="AQ333">
        <v>15.12</v>
      </c>
      <c r="AR333">
        <v>21614.04</v>
      </c>
      <c r="AT333">
        <v>2400</v>
      </c>
      <c r="AU333">
        <v>75.599999999999994</v>
      </c>
      <c r="AV333">
        <v>3430800</v>
      </c>
      <c r="AW333">
        <v>108070.2</v>
      </c>
    </row>
    <row r="334" spans="1:49" hidden="1" x14ac:dyDescent="0.35">
      <c r="A334">
        <v>5808610</v>
      </c>
      <c r="B334">
        <v>1170005808601</v>
      </c>
      <c r="D334">
        <v>20139757816</v>
      </c>
      <c r="E334" t="s">
        <v>684</v>
      </c>
      <c r="F334" t="s">
        <v>1</v>
      </c>
      <c r="G334" t="s">
        <v>198</v>
      </c>
      <c r="H334" t="s">
        <v>28</v>
      </c>
      <c r="I334">
        <v>2914</v>
      </c>
      <c r="J334">
        <v>1</v>
      </c>
      <c r="K334" t="s">
        <v>16</v>
      </c>
      <c r="L334">
        <v>8105</v>
      </c>
      <c r="M334" t="s">
        <v>199</v>
      </c>
      <c r="N334">
        <v>1</v>
      </c>
      <c r="O334" t="s">
        <v>125</v>
      </c>
      <c r="P334" t="s">
        <v>685</v>
      </c>
      <c r="Q334">
        <v>297.14999999999998</v>
      </c>
      <c r="R334">
        <v>10000</v>
      </c>
      <c r="S334">
        <v>40</v>
      </c>
      <c r="T334">
        <v>250</v>
      </c>
      <c r="U334">
        <v>26</v>
      </c>
      <c r="V334">
        <v>1429.5</v>
      </c>
      <c r="W334" t="s">
        <v>121</v>
      </c>
      <c r="X334" t="s">
        <v>1</v>
      </c>
      <c r="Y334">
        <v>424775.93</v>
      </c>
      <c r="Z334">
        <v>14295000</v>
      </c>
      <c r="AA334">
        <v>357375</v>
      </c>
      <c r="AB334">
        <v>106</v>
      </c>
      <c r="AC334" s="34">
        <v>45939</v>
      </c>
      <c r="AD334" s="34">
        <v>46022</v>
      </c>
      <c r="AE334" t="s">
        <v>161</v>
      </c>
      <c r="AF334">
        <v>0</v>
      </c>
      <c r="AG334">
        <v>297.14999999999998</v>
      </c>
      <c r="AH334">
        <v>0</v>
      </c>
      <c r="AI334">
        <v>424775.93</v>
      </c>
      <c r="AJ334">
        <v>0</v>
      </c>
      <c r="AK334">
        <v>0</v>
      </c>
      <c r="AL334">
        <v>106612.11</v>
      </c>
      <c r="AM334">
        <v>0</v>
      </c>
      <c r="AN334">
        <v>531388.04</v>
      </c>
      <c r="AO334" t="s">
        <v>122</v>
      </c>
      <c r="AP334">
        <v>14.999000000000001</v>
      </c>
      <c r="AQ334">
        <v>44.57</v>
      </c>
      <c r="AR334">
        <v>63712.82</v>
      </c>
      <c r="AT334">
        <v>6000</v>
      </c>
      <c r="AU334">
        <v>178.29</v>
      </c>
      <c r="AV334">
        <v>8577000</v>
      </c>
      <c r="AW334">
        <v>254865.56</v>
      </c>
    </row>
    <row r="335" spans="1:49" hidden="1" x14ac:dyDescent="0.35">
      <c r="A335">
        <v>5808710</v>
      </c>
      <c r="B335">
        <v>1170005808701</v>
      </c>
      <c r="D335">
        <v>20271878002</v>
      </c>
      <c r="E335" t="s">
        <v>686</v>
      </c>
      <c r="F335" t="s">
        <v>1</v>
      </c>
      <c r="G335" t="s">
        <v>198</v>
      </c>
      <c r="H335" t="s">
        <v>28</v>
      </c>
      <c r="I335">
        <v>2914</v>
      </c>
      <c r="J335">
        <v>1</v>
      </c>
      <c r="K335" t="s">
        <v>16</v>
      </c>
      <c r="L335">
        <v>8105</v>
      </c>
      <c r="M335" t="s">
        <v>199</v>
      </c>
      <c r="N335">
        <v>1</v>
      </c>
      <c r="O335" t="s">
        <v>125</v>
      </c>
      <c r="P335" t="s">
        <v>687</v>
      </c>
      <c r="Q335">
        <v>297.14999999999998</v>
      </c>
      <c r="R335">
        <v>10000</v>
      </c>
      <c r="S335">
        <v>40</v>
      </c>
      <c r="T335">
        <v>250</v>
      </c>
      <c r="U335">
        <v>26</v>
      </c>
      <c r="V335">
        <v>1429.5</v>
      </c>
      <c r="W335" t="s">
        <v>121</v>
      </c>
      <c r="X335" t="s">
        <v>1</v>
      </c>
      <c r="Y335">
        <v>424775.93</v>
      </c>
      <c r="Z335">
        <v>14295000</v>
      </c>
      <c r="AA335">
        <v>357375</v>
      </c>
      <c r="AB335">
        <v>106</v>
      </c>
      <c r="AC335" s="34">
        <v>45939</v>
      </c>
      <c r="AD335" s="34">
        <v>46022</v>
      </c>
      <c r="AE335" t="s">
        <v>161</v>
      </c>
      <c r="AF335">
        <v>0</v>
      </c>
      <c r="AG335">
        <v>297.14999999999998</v>
      </c>
      <c r="AH335">
        <v>0</v>
      </c>
      <c r="AI335">
        <v>424775.93</v>
      </c>
      <c r="AJ335">
        <v>0</v>
      </c>
      <c r="AK335">
        <v>0</v>
      </c>
      <c r="AL335">
        <v>106612.11</v>
      </c>
      <c r="AM335">
        <v>0</v>
      </c>
      <c r="AN335">
        <v>531388.04</v>
      </c>
      <c r="AO335" t="s">
        <v>122</v>
      </c>
      <c r="AP335">
        <v>14.999000000000001</v>
      </c>
      <c r="AQ335">
        <v>44.57</v>
      </c>
      <c r="AR335">
        <v>63712.82</v>
      </c>
      <c r="AT335">
        <v>6000</v>
      </c>
      <c r="AU335">
        <v>178.29</v>
      </c>
      <c r="AV335">
        <v>8577000</v>
      </c>
      <c r="AW335">
        <v>254865.56</v>
      </c>
    </row>
    <row r="336" spans="1:49" hidden="1" x14ac:dyDescent="0.35">
      <c r="A336">
        <v>5808810</v>
      </c>
      <c r="B336">
        <v>1170005808801</v>
      </c>
      <c r="D336">
        <v>27059199043</v>
      </c>
      <c r="E336" t="s">
        <v>688</v>
      </c>
      <c r="F336" t="s">
        <v>1</v>
      </c>
      <c r="G336" t="s">
        <v>226</v>
      </c>
      <c r="H336" t="s">
        <v>63</v>
      </c>
      <c r="I336">
        <v>2535</v>
      </c>
      <c r="J336">
        <v>12</v>
      </c>
      <c r="K336" t="s">
        <v>34</v>
      </c>
      <c r="L336">
        <v>83429</v>
      </c>
      <c r="M336" t="s">
        <v>140</v>
      </c>
      <c r="N336">
        <v>1</v>
      </c>
      <c r="O336" t="s">
        <v>119</v>
      </c>
      <c r="P336" t="s">
        <v>689</v>
      </c>
      <c r="Q336">
        <v>1494245</v>
      </c>
      <c r="R336">
        <v>82740000</v>
      </c>
      <c r="S336">
        <v>70</v>
      </c>
      <c r="T336">
        <v>1182000</v>
      </c>
      <c r="U336">
        <v>1</v>
      </c>
      <c r="V336">
        <v>1</v>
      </c>
      <c r="W336" t="s">
        <v>127</v>
      </c>
      <c r="X336">
        <v>19700</v>
      </c>
      <c r="Y336">
        <v>1494245</v>
      </c>
      <c r="Z336">
        <v>82740000</v>
      </c>
      <c r="AA336">
        <v>1182000</v>
      </c>
      <c r="AB336">
        <v>212</v>
      </c>
      <c r="AC336" s="34">
        <v>45941</v>
      </c>
      <c r="AD336" s="34">
        <v>46142</v>
      </c>
      <c r="AF336">
        <v>0</v>
      </c>
      <c r="AG336">
        <v>1494245</v>
      </c>
      <c r="AH336">
        <v>0</v>
      </c>
      <c r="AI336">
        <v>1494245</v>
      </c>
      <c r="AJ336">
        <v>0</v>
      </c>
      <c r="AK336">
        <v>0</v>
      </c>
      <c r="AL336">
        <v>382526.73</v>
      </c>
      <c r="AM336">
        <v>0</v>
      </c>
      <c r="AN336">
        <v>1876771.73</v>
      </c>
      <c r="AO336" t="s">
        <v>122</v>
      </c>
      <c r="AP336">
        <v>15</v>
      </c>
      <c r="AQ336">
        <v>224136.75</v>
      </c>
      <c r="AR336">
        <v>224136.75</v>
      </c>
      <c r="AT336">
        <v>49644000</v>
      </c>
      <c r="AU336">
        <v>896547</v>
      </c>
      <c r="AV336">
        <v>49644000</v>
      </c>
      <c r="AW336">
        <v>896547</v>
      </c>
    </row>
    <row r="337" spans="1:49" hidden="1" x14ac:dyDescent="0.35">
      <c r="A337">
        <v>5809010</v>
      </c>
      <c r="B337">
        <v>1080005809001</v>
      </c>
      <c r="D337">
        <v>20106562777</v>
      </c>
      <c r="E337" t="s">
        <v>690</v>
      </c>
      <c r="F337" t="s">
        <v>1</v>
      </c>
      <c r="G337" t="s">
        <v>46</v>
      </c>
      <c r="H337" t="s">
        <v>16</v>
      </c>
      <c r="I337">
        <v>7000</v>
      </c>
      <c r="J337">
        <v>1</v>
      </c>
      <c r="K337" t="s">
        <v>16</v>
      </c>
      <c r="L337">
        <v>7999</v>
      </c>
      <c r="M337" t="s">
        <v>691</v>
      </c>
      <c r="N337">
        <v>1</v>
      </c>
      <c r="O337" t="s">
        <v>125</v>
      </c>
      <c r="P337" t="s">
        <v>692</v>
      </c>
      <c r="Q337">
        <v>1638</v>
      </c>
      <c r="R337">
        <v>36000</v>
      </c>
      <c r="S337">
        <v>60</v>
      </c>
      <c r="T337">
        <v>600</v>
      </c>
      <c r="U337">
        <v>26</v>
      </c>
      <c r="V337">
        <v>1429.5</v>
      </c>
      <c r="W337" t="s">
        <v>121</v>
      </c>
      <c r="X337" t="s">
        <v>1</v>
      </c>
      <c r="Y337">
        <v>2341521</v>
      </c>
      <c r="Z337">
        <v>51462000</v>
      </c>
      <c r="AA337">
        <v>857700</v>
      </c>
      <c r="AB337">
        <v>214</v>
      </c>
      <c r="AC337" s="34">
        <v>45930</v>
      </c>
      <c r="AD337" s="34">
        <v>46053</v>
      </c>
      <c r="AE337" t="s">
        <v>134</v>
      </c>
      <c r="AF337">
        <v>0</v>
      </c>
      <c r="AG337">
        <v>1638</v>
      </c>
      <c r="AH337">
        <v>0</v>
      </c>
      <c r="AI337">
        <v>2341521</v>
      </c>
      <c r="AJ337">
        <v>0</v>
      </c>
      <c r="AK337">
        <v>0</v>
      </c>
      <c r="AL337">
        <v>587724.63</v>
      </c>
      <c r="AM337">
        <v>0</v>
      </c>
      <c r="AN337">
        <v>2929245.63</v>
      </c>
      <c r="AO337" t="s">
        <v>122</v>
      </c>
      <c r="AP337">
        <v>12</v>
      </c>
      <c r="AQ337">
        <v>196.56</v>
      </c>
      <c r="AR337">
        <v>280982.52</v>
      </c>
      <c r="AT337">
        <v>21600</v>
      </c>
      <c r="AU337">
        <v>982.8</v>
      </c>
      <c r="AV337">
        <v>30877200</v>
      </c>
      <c r="AW337">
        <v>1404912.6</v>
      </c>
    </row>
    <row r="338" spans="1:49" hidden="1" x14ac:dyDescent="0.35">
      <c r="A338">
        <v>5809210</v>
      </c>
      <c r="B338">
        <v>1080005809201</v>
      </c>
      <c r="D338">
        <v>30715468987</v>
      </c>
      <c r="E338" t="s">
        <v>693</v>
      </c>
      <c r="F338" t="s">
        <v>1</v>
      </c>
      <c r="G338" t="s">
        <v>623</v>
      </c>
      <c r="H338" t="s">
        <v>623</v>
      </c>
      <c r="I338">
        <v>7620</v>
      </c>
      <c r="J338">
        <v>1</v>
      </c>
      <c r="K338" t="s">
        <v>16</v>
      </c>
      <c r="L338">
        <v>7999</v>
      </c>
      <c r="M338" t="s">
        <v>691</v>
      </c>
      <c r="N338">
        <v>1</v>
      </c>
      <c r="O338" t="s">
        <v>125</v>
      </c>
      <c r="P338" t="s">
        <v>694</v>
      </c>
      <c r="Q338">
        <v>1399.37</v>
      </c>
      <c r="R338">
        <v>58950</v>
      </c>
      <c r="S338">
        <v>131</v>
      </c>
      <c r="T338">
        <v>450</v>
      </c>
      <c r="U338">
        <v>26</v>
      </c>
      <c r="V338">
        <v>1429.5</v>
      </c>
      <c r="W338" t="s">
        <v>121</v>
      </c>
      <c r="X338" t="s">
        <v>1</v>
      </c>
      <c r="Y338">
        <v>2000399.42</v>
      </c>
      <c r="Z338">
        <v>84269025</v>
      </c>
      <c r="AA338">
        <v>643275</v>
      </c>
      <c r="AB338">
        <v>214</v>
      </c>
      <c r="AC338" s="34">
        <v>45930</v>
      </c>
      <c r="AD338" s="34">
        <v>46053</v>
      </c>
      <c r="AF338">
        <v>0</v>
      </c>
      <c r="AG338">
        <v>4533.49</v>
      </c>
      <c r="AH338">
        <v>0</v>
      </c>
      <c r="AI338">
        <v>6480623.96</v>
      </c>
      <c r="AJ338">
        <v>0</v>
      </c>
      <c r="AK338">
        <v>0</v>
      </c>
      <c r="AL338">
        <v>1626628.05</v>
      </c>
      <c r="AM338">
        <v>0</v>
      </c>
      <c r="AN338">
        <v>8107252.0099999998</v>
      </c>
      <c r="AO338" t="s">
        <v>122</v>
      </c>
      <c r="AP338">
        <v>12</v>
      </c>
      <c r="AQ338">
        <v>544.02</v>
      </c>
      <c r="AR338">
        <v>777676.59</v>
      </c>
      <c r="AT338">
        <v>35370</v>
      </c>
      <c r="AU338">
        <v>839.62</v>
      </c>
      <c r="AV338">
        <v>50561415</v>
      </c>
      <c r="AW338">
        <v>1200236.79</v>
      </c>
    </row>
    <row r="339" spans="1:49" hidden="1" x14ac:dyDescent="0.35">
      <c r="A339">
        <v>5809210</v>
      </c>
      <c r="B339">
        <v>1080005809201</v>
      </c>
      <c r="D339">
        <v>30715468987</v>
      </c>
      <c r="E339" t="s">
        <v>693</v>
      </c>
      <c r="F339" t="s">
        <v>1</v>
      </c>
      <c r="G339" t="s">
        <v>623</v>
      </c>
      <c r="H339" t="s">
        <v>623</v>
      </c>
      <c r="I339">
        <v>7620</v>
      </c>
      <c r="J339">
        <v>1</v>
      </c>
      <c r="K339" t="s">
        <v>16</v>
      </c>
      <c r="L339">
        <v>7999</v>
      </c>
      <c r="M339" t="s">
        <v>691</v>
      </c>
      <c r="N339">
        <v>2</v>
      </c>
      <c r="O339" t="s">
        <v>125</v>
      </c>
      <c r="P339" t="s">
        <v>695</v>
      </c>
      <c r="Q339">
        <v>3134.12</v>
      </c>
      <c r="R339">
        <v>121950</v>
      </c>
      <c r="S339">
        <v>271</v>
      </c>
      <c r="T339">
        <v>450</v>
      </c>
      <c r="U339">
        <v>26</v>
      </c>
      <c r="V339">
        <v>1429.5</v>
      </c>
      <c r="W339" t="s">
        <v>121</v>
      </c>
      <c r="X339" t="s">
        <v>1</v>
      </c>
      <c r="Y339">
        <v>4480224.54</v>
      </c>
      <c r="Z339">
        <v>174327525</v>
      </c>
      <c r="AA339">
        <v>643275</v>
      </c>
      <c r="AB339">
        <v>214</v>
      </c>
      <c r="AC339" s="34">
        <v>45930</v>
      </c>
      <c r="AD339" s="34">
        <v>46053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 t="s">
        <v>122</v>
      </c>
      <c r="AT339">
        <v>73170</v>
      </c>
      <c r="AU339">
        <v>1880.47</v>
      </c>
      <c r="AV339">
        <v>104596515</v>
      </c>
      <c r="AW339">
        <v>2688131.87</v>
      </c>
    </row>
    <row r="340" spans="1:49" hidden="1" x14ac:dyDescent="0.35">
      <c r="A340">
        <v>5809410</v>
      </c>
      <c r="B340">
        <v>5010005809401</v>
      </c>
      <c r="D340">
        <v>30711031436</v>
      </c>
      <c r="E340" t="s">
        <v>696</v>
      </c>
      <c r="F340" t="s">
        <v>1</v>
      </c>
      <c r="G340" t="s">
        <v>72</v>
      </c>
      <c r="H340" t="s">
        <v>72</v>
      </c>
      <c r="I340">
        <v>7400</v>
      </c>
      <c r="J340">
        <v>1</v>
      </c>
      <c r="K340" t="s">
        <v>16</v>
      </c>
      <c r="L340">
        <v>13524</v>
      </c>
      <c r="M340" t="s">
        <v>697</v>
      </c>
      <c r="N340">
        <v>1</v>
      </c>
      <c r="O340" t="s">
        <v>125</v>
      </c>
      <c r="P340" t="s">
        <v>698</v>
      </c>
      <c r="Q340">
        <v>801</v>
      </c>
      <c r="R340">
        <v>30000</v>
      </c>
      <c r="S340">
        <v>50</v>
      </c>
      <c r="T340">
        <v>600</v>
      </c>
      <c r="U340">
        <v>26</v>
      </c>
      <c r="V340">
        <v>1430</v>
      </c>
      <c r="W340" t="s">
        <v>121</v>
      </c>
      <c r="X340" t="s">
        <v>1</v>
      </c>
      <c r="Y340">
        <v>1145430</v>
      </c>
      <c r="Z340">
        <v>42900000</v>
      </c>
      <c r="AA340">
        <v>858000</v>
      </c>
      <c r="AB340">
        <v>106</v>
      </c>
      <c r="AC340" s="34">
        <v>45936</v>
      </c>
      <c r="AD340" s="34">
        <v>46022</v>
      </c>
      <c r="AF340">
        <v>0</v>
      </c>
      <c r="AG340">
        <v>4437.54</v>
      </c>
      <c r="AH340">
        <v>0</v>
      </c>
      <c r="AI340">
        <v>6345682.2000000002</v>
      </c>
      <c r="AJ340">
        <v>0</v>
      </c>
      <c r="AK340">
        <v>0</v>
      </c>
      <c r="AL340">
        <v>1592776.9</v>
      </c>
      <c r="AM340">
        <v>0</v>
      </c>
      <c r="AN340">
        <v>7938459.0999999996</v>
      </c>
      <c r="AO340" t="s">
        <v>122</v>
      </c>
      <c r="AP340">
        <v>10</v>
      </c>
      <c r="AQ340">
        <v>443.75</v>
      </c>
      <c r="AR340">
        <v>634562.5</v>
      </c>
      <c r="AT340">
        <v>18000</v>
      </c>
      <c r="AU340">
        <v>480.6</v>
      </c>
      <c r="AV340">
        <v>25740000</v>
      </c>
      <c r="AW340">
        <v>687258</v>
      </c>
    </row>
    <row r="341" spans="1:49" hidden="1" x14ac:dyDescent="0.35">
      <c r="A341">
        <v>5809410</v>
      </c>
      <c r="B341">
        <v>5010005809401</v>
      </c>
      <c r="D341">
        <v>30711031436</v>
      </c>
      <c r="E341" t="s">
        <v>696</v>
      </c>
      <c r="F341" t="s">
        <v>1</v>
      </c>
      <c r="G341" t="s">
        <v>72</v>
      </c>
      <c r="H341" t="s">
        <v>72</v>
      </c>
      <c r="I341">
        <v>7400</v>
      </c>
      <c r="J341">
        <v>1</v>
      </c>
      <c r="K341" t="s">
        <v>16</v>
      </c>
      <c r="L341">
        <v>13524</v>
      </c>
      <c r="M341" t="s">
        <v>697</v>
      </c>
      <c r="N341">
        <v>2</v>
      </c>
      <c r="O341" t="s">
        <v>125</v>
      </c>
      <c r="P341" t="s">
        <v>699</v>
      </c>
      <c r="Q341">
        <v>560.70000000000005</v>
      </c>
      <c r="R341">
        <v>21000</v>
      </c>
      <c r="S341">
        <v>35</v>
      </c>
      <c r="T341">
        <v>600</v>
      </c>
      <c r="U341">
        <v>26</v>
      </c>
      <c r="V341">
        <v>1430</v>
      </c>
      <c r="W341" t="s">
        <v>121</v>
      </c>
      <c r="X341" t="s">
        <v>1</v>
      </c>
      <c r="Y341">
        <v>801801</v>
      </c>
      <c r="Z341">
        <v>30030000</v>
      </c>
      <c r="AA341">
        <v>858000</v>
      </c>
      <c r="AB341">
        <v>106</v>
      </c>
      <c r="AC341" s="34">
        <v>45936</v>
      </c>
      <c r="AD341" s="34">
        <v>46022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 t="s">
        <v>122</v>
      </c>
      <c r="AT341">
        <v>12600</v>
      </c>
      <c r="AU341">
        <v>336.42</v>
      </c>
      <c r="AV341">
        <v>18018000</v>
      </c>
      <c r="AW341">
        <v>481080.6</v>
      </c>
    </row>
    <row r="342" spans="1:49" hidden="1" x14ac:dyDescent="0.35">
      <c r="A342">
        <v>5809410</v>
      </c>
      <c r="B342">
        <v>5010005809401</v>
      </c>
      <c r="D342">
        <v>30711031436</v>
      </c>
      <c r="E342" t="s">
        <v>696</v>
      </c>
      <c r="F342" t="s">
        <v>1</v>
      </c>
      <c r="G342" t="s">
        <v>72</v>
      </c>
      <c r="H342" t="s">
        <v>72</v>
      </c>
      <c r="I342">
        <v>7400</v>
      </c>
      <c r="J342">
        <v>1</v>
      </c>
      <c r="K342" t="s">
        <v>16</v>
      </c>
      <c r="L342">
        <v>13524</v>
      </c>
      <c r="M342" t="s">
        <v>697</v>
      </c>
      <c r="N342">
        <v>3</v>
      </c>
      <c r="O342" t="s">
        <v>125</v>
      </c>
      <c r="P342" t="s">
        <v>700</v>
      </c>
      <c r="Q342">
        <v>352.44</v>
      </c>
      <c r="R342">
        <v>13200</v>
      </c>
      <c r="S342">
        <v>22</v>
      </c>
      <c r="T342">
        <v>600</v>
      </c>
      <c r="U342">
        <v>26</v>
      </c>
      <c r="V342">
        <v>1430</v>
      </c>
      <c r="W342" t="s">
        <v>121</v>
      </c>
      <c r="X342" t="s">
        <v>1</v>
      </c>
      <c r="Y342">
        <v>503989.2</v>
      </c>
      <c r="Z342">
        <v>18876000</v>
      </c>
      <c r="AA342">
        <v>858000</v>
      </c>
      <c r="AB342">
        <v>106</v>
      </c>
      <c r="AC342" s="34">
        <v>45936</v>
      </c>
      <c r="AD342" s="34">
        <v>46022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 t="s">
        <v>122</v>
      </c>
      <c r="AT342">
        <v>7920</v>
      </c>
      <c r="AU342">
        <v>211.46</v>
      </c>
      <c r="AV342">
        <v>11325600</v>
      </c>
      <c r="AW342">
        <v>302387.8</v>
      </c>
    </row>
    <row r="343" spans="1:49" hidden="1" x14ac:dyDescent="0.35">
      <c r="A343">
        <v>5809410</v>
      </c>
      <c r="B343">
        <v>5010005809401</v>
      </c>
      <c r="D343">
        <v>30711031436</v>
      </c>
      <c r="E343" t="s">
        <v>696</v>
      </c>
      <c r="F343" t="s">
        <v>1</v>
      </c>
      <c r="G343" t="s">
        <v>72</v>
      </c>
      <c r="H343" t="s">
        <v>72</v>
      </c>
      <c r="I343">
        <v>7400</v>
      </c>
      <c r="J343">
        <v>1</v>
      </c>
      <c r="K343" t="s">
        <v>16</v>
      </c>
      <c r="L343">
        <v>13524</v>
      </c>
      <c r="M343" t="s">
        <v>697</v>
      </c>
      <c r="N343">
        <v>4</v>
      </c>
      <c r="O343" t="s">
        <v>125</v>
      </c>
      <c r="P343" t="s">
        <v>701</v>
      </c>
      <c r="Q343">
        <v>2723.4</v>
      </c>
      <c r="R343">
        <v>102000</v>
      </c>
      <c r="S343">
        <v>170</v>
      </c>
      <c r="T343">
        <v>600</v>
      </c>
      <c r="U343">
        <v>26</v>
      </c>
      <c r="V343">
        <v>1430</v>
      </c>
      <c r="W343" t="s">
        <v>121</v>
      </c>
      <c r="X343" t="s">
        <v>1</v>
      </c>
      <c r="Y343">
        <v>3894462</v>
      </c>
      <c r="Z343">
        <v>145860000</v>
      </c>
      <c r="AA343">
        <v>858000</v>
      </c>
      <c r="AB343">
        <v>106</v>
      </c>
      <c r="AC343" s="34">
        <v>45936</v>
      </c>
      <c r="AD343" s="34">
        <v>46022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 t="s">
        <v>122</v>
      </c>
      <c r="AT343">
        <v>61200</v>
      </c>
      <c r="AU343">
        <v>1634.04</v>
      </c>
      <c r="AV343">
        <v>87516000</v>
      </c>
      <c r="AW343">
        <v>2336677.2000000002</v>
      </c>
    </row>
    <row r="344" spans="1:49" hidden="1" x14ac:dyDescent="0.35">
      <c r="A344">
        <v>5809510</v>
      </c>
      <c r="B344">
        <v>1250005809501</v>
      </c>
      <c r="D344">
        <v>20208465180</v>
      </c>
      <c r="E344" t="s">
        <v>702</v>
      </c>
      <c r="F344" t="s">
        <v>1</v>
      </c>
      <c r="G344" t="s">
        <v>703</v>
      </c>
      <c r="H344" t="s">
        <v>47</v>
      </c>
      <c r="I344">
        <v>2670</v>
      </c>
      <c r="J344">
        <v>3</v>
      </c>
      <c r="K344" t="s">
        <v>32</v>
      </c>
      <c r="L344">
        <v>10067</v>
      </c>
      <c r="M344" t="s">
        <v>704</v>
      </c>
      <c r="N344">
        <v>1</v>
      </c>
      <c r="O344" t="s">
        <v>119</v>
      </c>
      <c r="P344" t="s">
        <v>705</v>
      </c>
      <c r="Q344">
        <v>4643850</v>
      </c>
      <c r="R344">
        <v>132300000</v>
      </c>
      <c r="S344">
        <v>100</v>
      </c>
      <c r="T344">
        <v>1323000</v>
      </c>
      <c r="U344">
        <v>1</v>
      </c>
      <c r="V344">
        <v>1</v>
      </c>
      <c r="W344" t="s">
        <v>127</v>
      </c>
      <c r="X344">
        <v>26460</v>
      </c>
      <c r="Y344">
        <v>4643850</v>
      </c>
      <c r="Z344">
        <v>132300000</v>
      </c>
      <c r="AA344">
        <v>1323000</v>
      </c>
      <c r="AB344">
        <v>105</v>
      </c>
      <c r="AC344" s="34">
        <v>45938</v>
      </c>
      <c r="AD344" s="34">
        <v>46142</v>
      </c>
      <c r="AF344">
        <v>1</v>
      </c>
      <c r="AG344">
        <v>4643730</v>
      </c>
      <c r="AH344">
        <v>120</v>
      </c>
      <c r="AI344">
        <v>4643730</v>
      </c>
      <c r="AJ344">
        <v>120</v>
      </c>
      <c r="AK344">
        <v>0</v>
      </c>
      <c r="AL344">
        <v>1212044.8500000001</v>
      </c>
      <c r="AM344">
        <v>0</v>
      </c>
      <c r="AN344">
        <v>5855894.8499999996</v>
      </c>
      <c r="AO344" t="s">
        <v>122</v>
      </c>
      <c r="AP344">
        <v>10</v>
      </c>
      <c r="AQ344">
        <v>464373</v>
      </c>
      <c r="AR344">
        <v>464373</v>
      </c>
      <c r="AT344">
        <v>79380000</v>
      </c>
      <c r="AU344">
        <v>2786238</v>
      </c>
      <c r="AV344">
        <v>79380000</v>
      </c>
      <c r="AW344">
        <v>2786238</v>
      </c>
    </row>
    <row r="345" spans="1:49" hidden="1" x14ac:dyDescent="0.35">
      <c r="A345">
        <v>5809610</v>
      </c>
      <c r="B345">
        <v>1250005809601</v>
      </c>
      <c r="D345">
        <v>24250143377</v>
      </c>
      <c r="E345" t="s">
        <v>706</v>
      </c>
      <c r="F345" t="s">
        <v>1</v>
      </c>
      <c r="G345" t="s">
        <v>707</v>
      </c>
      <c r="H345" t="s">
        <v>52</v>
      </c>
      <c r="I345">
        <v>5907</v>
      </c>
      <c r="J345">
        <v>3</v>
      </c>
      <c r="K345" t="s">
        <v>32</v>
      </c>
      <c r="L345">
        <v>10067</v>
      </c>
      <c r="M345" t="s">
        <v>704</v>
      </c>
      <c r="N345">
        <v>1</v>
      </c>
      <c r="O345" t="s">
        <v>119</v>
      </c>
      <c r="P345" t="s">
        <v>708</v>
      </c>
      <c r="Q345">
        <v>1882335</v>
      </c>
      <c r="R345">
        <v>68950000</v>
      </c>
      <c r="S345">
        <v>70</v>
      </c>
      <c r="T345">
        <v>985000</v>
      </c>
      <c r="U345">
        <v>1</v>
      </c>
      <c r="V345">
        <v>1</v>
      </c>
      <c r="W345" t="s">
        <v>127</v>
      </c>
      <c r="X345">
        <v>19700</v>
      </c>
      <c r="Y345">
        <v>1882335</v>
      </c>
      <c r="Z345">
        <v>68950000</v>
      </c>
      <c r="AA345">
        <v>985000</v>
      </c>
      <c r="AB345">
        <v>105</v>
      </c>
      <c r="AC345" s="34">
        <v>45938</v>
      </c>
      <c r="AD345" s="34">
        <v>46142</v>
      </c>
      <c r="AF345">
        <v>0</v>
      </c>
      <c r="AG345">
        <v>1882335</v>
      </c>
      <c r="AH345">
        <v>0</v>
      </c>
      <c r="AI345">
        <v>1882335</v>
      </c>
      <c r="AJ345">
        <v>0</v>
      </c>
      <c r="AK345">
        <v>0</v>
      </c>
      <c r="AL345">
        <v>491289.44</v>
      </c>
      <c r="AM345">
        <v>0</v>
      </c>
      <c r="AN345">
        <v>2373624.44</v>
      </c>
      <c r="AO345" t="s">
        <v>122</v>
      </c>
      <c r="AP345">
        <v>10</v>
      </c>
      <c r="AQ345">
        <v>188233.5</v>
      </c>
      <c r="AR345">
        <v>188233.5</v>
      </c>
      <c r="AT345">
        <v>41370000</v>
      </c>
      <c r="AU345">
        <v>1129401</v>
      </c>
      <c r="AV345">
        <v>41370000</v>
      </c>
      <c r="AW345">
        <v>1129401</v>
      </c>
    </row>
    <row r="346" spans="1:49" hidden="1" x14ac:dyDescent="0.35">
      <c r="A346">
        <v>5809710</v>
      </c>
      <c r="B346">
        <v>5010005809701</v>
      </c>
      <c r="D346">
        <v>20409151427</v>
      </c>
      <c r="E346" t="s">
        <v>231</v>
      </c>
      <c r="F346" t="s">
        <v>1</v>
      </c>
      <c r="G346" t="s">
        <v>65</v>
      </c>
      <c r="H346" t="s">
        <v>65</v>
      </c>
      <c r="I346">
        <v>6455</v>
      </c>
      <c r="J346">
        <v>1</v>
      </c>
      <c r="K346" t="s">
        <v>16</v>
      </c>
      <c r="L346">
        <v>11014</v>
      </c>
      <c r="M346" t="s">
        <v>232</v>
      </c>
      <c r="N346">
        <v>1</v>
      </c>
      <c r="O346" t="s">
        <v>119</v>
      </c>
      <c r="P346" t="s">
        <v>709</v>
      </c>
      <c r="Q346">
        <v>594000</v>
      </c>
      <c r="R346">
        <v>29700000</v>
      </c>
      <c r="S346">
        <v>50</v>
      </c>
      <c r="T346">
        <v>594000</v>
      </c>
      <c r="U346">
        <v>1</v>
      </c>
      <c r="V346">
        <v>1</v>
      </c>
      <c r="W346" t="s">
        <v>127</v>
      </c>
      <c r="X346">
        <v>29700</v>
      </c>
      <c r="Y346">
        <v>594000</v>
      </c>
      <c r="Z346">
        <v>29700000</v>
      </c>
      <c r="AA346">
        <v>594000</v>
      </c>
      <c r="AB346">
        <v>105</v>
      </c>
      <c r="AC346" s="34">
        <v>45892</v>
      </c>
      <c r="AD346" s="34">
        <v>46188</v>
      </c>
      <c r="AF346">
        <v>0</v>
      </c>
      <c r="AG346">
        <v>2756160</v>
      </c>
      <c r="AH346">
        <v>0</v>
      </c>
      <c r="AI346">
        <v>2756160</v>
      </c>
      <c r="AJ346">
        <v>0</v>
      </c>
      <c r="AK346">
        <v>0</v>
      </c>
      <c r="AL346">
        <v>691796.16</v>
      </c>
      <c r="AM346">
        <v>0</v>
      </c>
      <c r="AN346">
        <v>3447956.16</v>
      </c>
      <c r="AO346" t="s">
        <v>122</v>
      </c>
      <c r="AP346">
        <v>15</v>
      </c>
      <c r="AQ346">
        <v>413424</v>
      </c>
      <c r="AR346">
        <v>413424</v>
      </c>
      <c r="AT346">
        <v>17820000</v>
      </c>
      <c r="AU346">
        <v>356400</v>
      </c>
      <c r="AV346">
        <v>17820000</v>
      </c>
      <c r="AW346">
        <v>356400</v>
      </c>
    </row>
    <row r="347" spans="1:49" hidden="1" x14ac:dyDescent="0.35">
      <c r="A347">
        <v>5809710</v>
      </c>
      <c r="B347">
        <v>5010005809701</v>
      </c>
      <c r="D347">
        <v>20409151427</v>
      </c>
      <c r="E347" t="s">
        <v>231</v>
      </c>
      <c r="F347" t="s">
        <v>1</v>
      </c>
      <c r="G347" t="s">
        <v>710</v>
      </c>
      <c r="H347" t="s">
        <v>24</v>
      </c>
      <c r="I347">
        <v>6077</v>
      </c>
      <c r="J347">
        <v>1</v>
      </c>
      <c r="K347" t="s">
        <v>16</v>
      </c>
      <c r="L347">
        <v>11014</v>
      </c>
      <c r="M347" t="s">
        <v>232</v>
      </c>
      <c r="N347">
        <v>2</v>
      </c>
      <c r="O347" t="s">
        <v>119</v>
      </c>
      <c r="P347" t="s">
        <v>711</v>
      </c>
      <c r="Q347">
        <v>237600</v>
      </c>
      <c r="R347">
        <v>11880000</v>
      </c>
      <c r="S347">
        <v>20</v>
      </c>
      <c r="T347">
        <v>594000</v>
      </c>
      <c r="U347">
        <v>1</v>
      </c>
      <c r="V347">
        <v>1</v>
      </c>
      <c r="W347" t="s">
        <v>127</v>
      </c>
      <c r="X347">
        <v>29700</v>
      </c>
      <c r="Y347">
        <v>237600</v>
      </c>
      <c r="Z347">
        <v>11880000</v>
      </c>
      <c r="AA347">
        <v>594000</v>
      </c>
      <c r="AB347">
        <v>105</v>
      </c>
      <c r="AC347" s="34">
        <v>45892</v>
      </c>
      <c r="AD347" s="34">
        <v>46188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 t="s">
        <v>122</v>
      </c>
      <c r="AT347">
        <v>7128000</v>
      </c>
      <c r="AU347">
        <v>142560</v>
      </c>
      <c r="AV347">
        <v>7128000</v>
      </c>
      <c r="AW347">
        <v>142560</v>
      </c>
    </row>
    <row r="348" spans="1:49" hidden="1" x14ac:dyDescent="0.35">
      <c r="A348">
        <v>5809710</v>
      </c>
      <c r="B348">
        <v>5010005809701</v>
      </c>
      <c r="D348">
        <v>20409151427</v>
      </c>
      <c r="E348" t="s">
        <v>231</v>
      </c>
      <c r="F348" t="s">
        <v>1</v>
      </c>
      <c r="G348" t="s">
        <v>24</v>
      </c>
      <c r="H348" t="s">
        <v>24</v>
      </c>
      <c r="I348">
        <v>6070</v>
      </c>
      <c r="J348">
        <v>1</v>
      </c>
      <c r="K348" t="s">
        <v>16</v>
      </c>
      <c r="L348">
        <v>11014</v>
      </c>
      <c r="M348" t="s">
        <v>232</v>
      </c>
      <c r="N348">
        <v>3</v>
      </c>
      <c r="O348" t="s">
        <v>119</v>
      </c>
      <c r="P348" t="s">
        <v>712</v>
      </c>
      <c r="Q348">
        <v>356400</v>
      </c>
      <c r="R348">
        <v>17820000</v>
      </c>
      <c r="S348">
        <v>30</v>
      </c>
      <c r="T348">
        <v>594000</v>
      </c>
      <c r="U348">
        <v>1</v>
      </c>
      <c r="V348">
        <v>1</v>
      </c>
      <c r="W348" t="s">
        <v>127</v>
      </c>
      <c r="X348">
        <v>29700</v>
      </c>
      <c r="Y348">
        <v>356400</v>
      </c>
      <c r="Z348">
        <v>17820000</v>
      </c>
      <c r="AA348">
        <v>594000</v>
      </c>
      <c r="AB348">
        <v>105</v>
      </c>
      <c r="AC348" s="34">
        <v>45892</v>
      </c>
      <c r="AD348" s="34">
        <v>46188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 t="s">
        <v>122</v>
      </c>
      <c r="AT348">
        <v>10692000</v>
      </c>
      <c r="AU348">
        <v>213840</v>
      </c>
      <c r="AV348">
        <v>10692000</v>
      </c>
      <c r="AW348">
        <v>213840</v>
      </c>
    </row>
    <row r="349" spans="1:49" hidden="1" x14ac:dyDescent="0.35">
      <c r="A349">
        <v>5809710</v>
      </c>
      <c r="B349">
        <v>5010005809701</v>
      </c>
      <c r="D349">
        <v>20409151427</v>
      </c>
      <c r="E349" t="s">
        <v>231</v>
      </c>
      <c r="F349" t="s">
        <v>1</v>
      </c>
      <c r="G349" t="s">
        <v>24</v>
      </c>
      <c r="H349" t="s">
        <v>24</v>
      </c>
      <c r="I349">
        <v>6070</v>
      </c>
      <c r="J349">
        <v>1</v>
      </c>
      <c r="K349" t="s">
        <v>16</v>
      </c>
      <c r="L349">
        <v>11014</v>
      </c>
      <c r="M349" t="s">
        <v>232</v>
      </c>
      <c r="N349">
        <v>4</v>
      </c>
      <c r="O349" t="s">
        <v>119</v>
      </c>
      <c r="P349" t="s">
        <v>713</v>
      </c>
      <c r="Q349">
        <v>213840</v>
      </c>
      <c r="R349">
        <v>10692000</v>
      </c>
      <c r="S349">
        <v>18</v>
      </c>
      <c r="T349">
        <v>594000</v>
      </c>
      <c r="U349">
        <v>1</v>
      </c>
      <c r="V349">
        <v>1</v>
      </c>
      <c r="W349" t="s">
        <v>127</v>
      </c>
      <c r="X349">
        <v>29700</v>
      </c>
      <c r="Y349">
        <v>213840</v>
      </c>
      <c r="Z349">
        <v>10692000</v>
      </c>
      <c r="AA349">
        <v>594000</v>
      </c>
      <c r="AB349">
        <v>105</v>
      </c>
      <c r="AC349" s="34">
        <v>45892</v>
      </c>
      <c r="AD349" s="34">
        <v>46188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 t="s">
        <v>122</v>
      </c>
      <c r="AT349">
        <v>6415200</v>
      </c>
      <c r="AU349">
        <v>128304</v>
      </c>
      <c r="AV349">
        <v>6415200</v>
      </c>
      <c r="AW349">
        <v>128304</v>
      </c>
    </row>
    <row r="350" spans="1:49" hidden="1" x14ac:dyDescent="0.35">
      <c r="A350">
        <v>5809710</v>
      </c>
      <c r="B350">
        <v>5010005809701</v>
      </c>
      <c r="D350">
        <v>20409151427</v>
      </c>
      <c r="E350" t="s">
        <v>231</v>
      </c>
      <c r="F350" t="s">
        <v>1</v>
      </c>
      <c r="G350" t="s">
        <v>24</v>
      </c>
      <c r="H350" t="s">
        <v>24</v>
      </c>
      <c r="I350">
        <v>6070</v>
      </c>
      <c r="J350">
        <v>1</v>
      </c>
      <c r="K350" t="s">
        <v>16</v>
      </c>
      <c r="L350">
        <v>11014</v>
      </c>
      <c r="M350" t="s">
        <v>232</v>
      </c>
      <c r="N350">
        <v>5</v>
      </c>
      <c r="O350" t="s">
        <v>119</v>
      </c>
      <c r="P350" t="s">
        <v>714</v>
      </c>
      <c r="Q350">
        <v>498960</v>
      </c>
      <c r="R350">
        <v>24948000</v>
      </c>
      <c r="S350">
        <v>42</v>
      </c>
      <c r="T350">
        <v>594000</v>
      </c>
      <c r="U350">
        <v>1</v>
      </c>
      <c r="V350">
        <v>1</v>
      </c>
      <c r="W350" t="s">
        <v>127</v>
      </c>
      <c r="X350">
        <v>29700</v>
      </c>
      <c r="Y350">
        <v>498960</v>
      </c>
      <c r="Z350">
        <v>24948000</v>
      </c>
      <c r="AA350">
        <v>594000</v>
      </c>
      <c r="AB350">
        <v>105</v>
      </c>
      <c r="AC350" s="34">
        <v>45892</v>
      </c>
      <c r="AD350" s="34">
        <v>46188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 t="s">
        <v>122</v>
      </c>
      <c r="AT350">
        <v>14968800</v>
      </c>
      <c r="AU350">
        <v>299376</v>
      </c>
      <c r="AV350">
        <v>14968800</v>
      </c>
      <c r="AW350">
        <v>299376</v>
      </c>
    </row>
    <row r="351" spans="1:49" hidden="1" x14ac:dyDescent="0.35">
      <c r="A351">
        <v>5809710</v>
      </c>
      <c r="B351">
        <v>5010005809701</v>
      </c>
      <c r="D351">
        <v>20409151427</v>
      </c>
      <c r="E351" t="s">
        <v>231</v>
      </c>
      <c r="F351" t="s">
        <v>1</v>
      </c>
      <c r="G351" t="s">
        <v>24</v>
      </c>
      <c r="H351" t="s">
        <v>24</v>
      </c>
      <c r="I351">
        <v>6070</v>
      </c>
      <c r="J351">
        <v>1</v>
      </c>
      <c r="K351" t="s">
        <v>16</v>
      </c>
      <c r="L351">
        <v>11014</v>
      </c>
      <c r="M351" t="s">
        <v>232</v>
      </c>
      <c r="N351">
        <v>6</v>
      </c>
      <c r="O351" t="s">
        <v>119</v>
      </c>
      <c r="P351" t="s">
        <v>715</v>
      </c>
      <c r="Q351">
        <v>273240</v>
      </c>
      <c r="R351">
        <v>13662000</v>
      </c>
      <c r="S351">
        <v>23</v>
      </c>
      <c r="T351">
        <v>594000</v>
      </c>
      <c r="U351">
        <v>1</v>
      </c>
      <c r="V351">
        <v>1</v>
      </c>
      <c r="W351" t="s">
        <v>127</v>
      </c>
      <c r="X351">
        <v>29700</v>
      </c>
      <c r="Y351">
        <v>273240</v>
      </c>
      <c r="Z351">
        <v>13662000</v>
      </c>
      <c r="AA351">
        <v>594000</v>
      </c>
      <c r="AB351">
        <v>105</v>
      </c>
      <c r="AC351" s="34">
        <v>45892</v>
      </c>
      <c r="AD351" s="34">
        <v>46188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 t="s">
        <v>122</v>
      </c>
      <c r="AT351">
        <v>8197200</v>
      </c>
      <c r="AU351">
        <v>163944</v>
      </c>
      <c r="AV351">
        <v>8197200</v>
      </c>
      <c r="AW351">
        <v>163944</v>
      </c>
    </row>
    <row r="352" spans="1:49" hidden="1" x14ac:dyDescent="0.35">
      <c r="A352">
        <v>5809710</v>
      </c>
      <c r="B352">
        <v>5010005809701</v>
      </c>
      <c r="D352">
        <v>20409151427</v>
      </c>
      <c r="E352" t="s">
        <v>231</v>
      </c>
      <c r="F352" t="s">
        <v>1</v>
      </c>
      <c r="G352" t="s">
        <v>24</v>
      </c>
      <c r="H352" t="s">
        <v>24</v>
      </c>
      <c r="I352">
        <v>6070</v>
      </c>
      <c r="J352">
        <v>1</v>
      </c>
      <c r="K352" t="s">
        <v>16</v>
      </c>
      <c r="L352">
        <v>11014</v>
      </c>
      <c r="M352" t="s">
        <v>232</v>
      </c>
      <c r="N352">
        <v>7</v>
      </c>
      <c r="O352" t="s">
        <v>119</v>
      </c>
      <c r="P352" t="s">
        <v>716</v>
      </c>
      <c r="Q352">
        <v>582120</v>
      </c>
      <c r="R352">
        <v>29106000</v>
      </c>
      <c r="S352">
        <v>49</v>
      </c>
      <c r="T352">
        <v>594000</v>
      </c>
      <c r="U352">
        <v>1</v>
      </c>
      <c r="V352">
        <v>1</v>
      </c>
      <c r="W352" t="s">
        <v>127</v>
      </c>
      <c r="X352">
        <v>29700</v>
      </c>
      <c r="Y352">
        <v>582120</v>
      </c>
      <c r="Z352">
        <v>29106000</v>
      </c>
      <c r="AA352">
        <v>594000</v>
      </c>
      <c r="AB352">
        <v>105</v>
      </c>
      <c r="AC352" s="34">
        <v>45892</v>
      </c>
      <c r="AD352" s="34">
        <v>46188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 t="s">
        <v>122</v>
      </c>
      <c r="AT352">
        <v>17463600</v>
      </c>
      <c r="AU352">
        <v>349272</v>
      </c>
      <c r="AV352">
        <v>17463600</v>
      </c>
      <c r="AW352">
        <v>349272</v>
      </c>
    </row>
    <row r="353" spans="1:49" hidden="1" x14ac:dyDescent="0.35">
      <c r="A353">
        <v>5809810</v>
      </c>
      <c r="B353">
        <v>5010005809801</v>
      </c>
      <c r="D353">
        <v>30715192345</v>
      </c>
      <c r="E353" t="s">
        <v>128</v>
      </c>
      <c r="F353" t="s">
        <v>1</v>
      </c>
      <c r="G353" t="s">
        <v>43</v>
      </c>
      <c r="H353" t="s">
        <v>43</v>
      </c>
      <c r="I353">
        <v>2705</v>
      </c>
      <c r="J353">
        <v>1</v>
      </c>
      <c r="K353" t="s">
        <v>16</v>
      </c>
      <c r="L353">
        <v>3620</v>
      </c>
      <c r="M353" t="s">
        <v>124</v>
      </c>
      <c r="N353">
        <v>1</v>
      </c>
      <c r="O353" t="s">
        <v>119</v>
      </c>
      <c r="P353" t="s">
        <v>717</v>
      </c>
      <c r="Q353">
        <v>1787184</v>
      </c>
      <c r="R353">
        <v>70920000</v>
      </c>
      <c r="S353">
        <v>60</v>
      </c>
      <c r="T353">
        <v>1182000</v>
      </c>
      <c r="U353">
        <v>1</v>
      </c>
      <c r="V353">
        <v>1</v>
      </c>
      <c r="W353" t="s">
        <v>127</v>
      </c>
      <c r="X353">
        <v>19700</v>
      </c>
      <c r="Y353">
        <v>1787184</v>
      </c>
      <c r="Z353">
        <v>70920000</v>
      </c>
      <c r="AA353">
        <v>1182000</v>
      </c>
      <c r="AB353">
        <v>105</v>
      </c>
      <c r="AC353" s="34">
        <v>45941</v>
      </c>
      <c r="AD353" s="34">
        <v>46142</v>
      </c>
      <c r="AF353">
        <v>0</v>
      </c>
      <c r="AG353">
        <v>2502097</v>
      </c>
      <c r="AH353">
        <v>0</v>
      </c>
      <c r="AI353">
        <v>2502097</v>
      </c>
      <c r="AJ353">
        <v>0</v>
      </c>
      <c r="AK353">
        <v>0</v>
      </c>
      <c r="AL353">
        <v>628026.35</v>
      </c>
      <c r="AM353">
        <v>0</v>
      </c>
      <c r="AN353">
        <v>3130123.35</v>
      </c>
      <c r="AO353" t="s">
        <v>122</v>
      </c>
      <c r="AP353">
        <v>10</v>
      </c>
      <c r="AQ353">
        <v>250209.7</v>
      </c>
      <c r="AR353">
        <v>250209.7</v>
      </c>
      <c r="AT353">
        <v>42552000</v>
      </c>
      <c r="AU353">
        <v>1072310.3999999999</v>
      </c>
      <c r="AV353">
        <v>42552000</v>
      </c>
      <c r="AW353">
        <v>1072310.3999999999</v>
      </c>
    </row>
    <row r="354" spans="1:49" hidden="1" x14ac:dyDescent="0.35">
      <c r="A354">
        <v>5809810</v>
      </c>
      <c r="B354">
        <v>5010005809801</v>
      </c>
      <c r="D354">
        <v>30715192345</v>
      </c>
      <c r="E354" t="s">
        <v>128</v>
      </c>
      <c r="F354" t="s">
        <v>1</v>
      </c>
      <c r="G354" t="s">
        <v>43</v>
      </c>
      <c r="H354" t="s">
        <v>43</v>
      </c>
      <c r="I354">
        <v>2705</v>
      </c>
      <c r="J354">
        <v>1</v>
      </c>
      <c r="K354" t="s">
        <v>16</v>
      </c>
      <c r="L354">
        <v>3620</v>
      </c>
      <c r="M354" t="s">
        <v>124</v>
      </c>
      <c r="N354">
        <v>2</v>
      </c>
      <c r="O354" t="s">
        <v>119</v>
      </c>
      <c r="P354" t="s">
        <v>718</v>
      </c>
      <c r="Q354">
        <v>714913</v>
      </c>
      <c r="R354">
        <v>28368000</v>
      </c>
      <c r="S354">
        <v>24</v>
      </c>
      <c r="T354">
        <v>1182000</v>
      </c>
      <c r="U354">
        <v>1</v>
      </c>
      <c r="V354">
        <v>1</v>
      </c>
      <c r="W354" t="s">
        <v>127</v>
      </c>
      <c r="X354">
        <v>19700</v>
      </c>
      <c r="Y354">
        <v>714913</v>
      </c>
      <c r="Z354">
        <v>28368000</v>
      </c>
      <c r="AA354">
        <v>1182000</v>
      </c>
      <c r="AB354">
        <v>105</v>
      </c>
      <c r="AC354" s="34">
        <v>45941</v>
      </c>
      <c r="AD354" s="34">
        <v>46142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 t="s">
        <v>122</v>
      </c>
      <c r="AT354">
        <v>17020800</v>
      </c>
      <c r="AU354">
        <v>428947.8</v>
      </c>
      <c r="AV354">
        <v>17020800</v>
      </c>
      <c r="AW354">
        <v>428947.8</v>
      </c>
    </row>
    <row r="355" spans="1:49" hidden="1" x14ac:dyDescent="0.35">
      <c r="A355">
        <v>5809910</v>
      </c>
      <c r="B355">
        <v>5010005809901</v>
      </c>
      <c r="D355">
        <v>20290953228</v>
      </c>
      <c r="E355" t="s">
        <v>123</v>
      </c>
      <c r="F355" t="s">
        <v>1</v>
      </c>
      <c r="G355" t="s">
        <v>43</v>
      </c>
      <c r="H355" t="s">
        <v>43</v>
      </c>
      <c r="I355">
        <v>2705</v>
      </c>
      <c r="J355">
        <v>1</v>
      </c>
      <c r="K355" t="s">
        <v>16</v>
      </c>
      <c r="L355">
        <v>3620</v>
      </c>
      <c r="M355" t="s">
        <v>124</v>
      </c>
      <c r="N355">
        <v>1</v>
      </c>
      <c r="O355" t="s">
        <v>119</v>
      </c>
      <c r="P355" t="s">
        <v>719</v>
      </c>
      <c r="Q355">
        <v>1191456</v>
      </c>
      <c r="R355">
        <v>47280000</v>
      </c>
      <c r="S355">
        <v>40</v>
      </c>
      <c r="T355">
        <v>1182000</v>
      </c>
      <c r="U355">
        <v>1</v>
      </c>
      <c r="V355">
        <v>1</v>
      </c>
      <c r="W355" t="s">
        <v>127</v>
      </c>
      <c r="X355">
        <v>19700</v>
      </c>
      <c r="Y355">
        <v>1191456</v>
      </c>
      <c r="Z355">
        <v>47280000</v>
      </c>
      <c r="AA355">
        <v>1182000</v>
      </c>
      <c r="AB355">
        <v>105</v>
      </c>
      <c r="AC355" s="34">
        <v>45941</v>
      </c>
      <c r="AD355" s="34">
        <v>46142</v>
      </c>
      <c r="AF355">
        <v>0</v>
      </c>
      <c r="AG355">
        <v>1191456</v>
      </c>
      <c r="AH355">
        <v>0</v>
      </c>
      <c r="AI355">
        <v>1191456</v>
      </c>
      <c r="AJ355">
        <v>0</v>
      </c>
      <c r="AK355">
        <v>0</v>
      </c>
      <c r="AL355">
        <v>299055.46000000002</v>
      </c>
      <c r="AM355">
        <v>0</v>
      </c>
      <c r="AN355">
        <v>1490511.46</v>
      </c>
      <c r="AO355" t="s">
        <v>122</v>
      </c>
      <c r="AP355">
        <v>10</v>
      </c>
      <c r="AQ355">
        <v>119145.60000000001</v>
      </c>
      <c r="AR355">
        <v>119145.60000000001</v>
      </c>
      <c r="AT355">
        <v>28368000</v>
      </c>
      <c r="AU355">
        <v>714873.6</v>
      </c>
      <c r="AV355">
        <v>28368000</v>
      </c>
      <c r="AW355">
        <v>714873.6</v>
      </c>
    </row>
    <row r="356" spans="1:49" hidden="1" x14ac:dyDescent="0.35">
      <c r="A356">
        <v>5810010</v>
      </c>
      <c r="B356">
        <v>1250005810001</v>
      </c>
      <c r="D356">
        <v>20115781570</v>
      </c>
      <c r="E356" t="s">
        <v>720</v>
      </c>
      <c r="F356" t="s">
        <v>1</v>
      </c>
      <c r="G356" t="s">
        <v>49</v>
      </c>
      <c r="H356" t="s">
        <v>49</v>
      </c>
      <c r="I356">
        <v>5800</v>
      </c>
      <c r="J356">
        <v>3</v>
      </c>
      <c r="K356" t="s">
        <v>32</v>
      </c>
      <c r="L356">
        <v>12031</v>
      </c>
      <c r="M356" t="s">
        <v>721</v>
      </c>
      <c r="N356">
        <v>1</v>
      </c>
      <c r="O356" t="s">
        <v>125</v>
      </c>
      <c r="P356" t="s">
        <v>722</v>
      </c>
      <c r="Q356">
        <v>1813496.4</v>
      </c>
      <c r="R356">
        <v>25153200</v>
      </c>
      <c r="S356">
        <v>60</v>
      </c>
      <c r="T356">
        <v>419220</v>
      </c>
      <c r="U356">
        <v>1</v>
      </c>
      <c r="V356">
        <v>1</v>
      </c>
      <c r="W356" t="s">
        <v>127</v>
      </c>
      <c r="X356">
        <v>24660</v>
      </c>
      <c r="Y356">
        <v>1813496.4</v>
      </c>
      <c r="Z356">
        <v>25153200</v>
      </c>
      <c r="AA356">
        <v>419220</v>
      </c>
      <c r="AB356">
        <v>105</v>
      </c>
      <c r="AC356" s="34">
        <v>45942</v>
      </c>
      <c r="AD356" s="34">
        <v>46022</v>
      </c>
      <c r="AF356">
        <v>1</v>
      </c>
      <c r="AG356">
        <v>1813496.4</v>
      </c>
      <c r="AH356">
        <v>0</v>
      </c>
      <c r="AI356">
        <v>1813496.4</v>
      </c>
      <c r="AJ356">
        <v>0</v>
      </c>
      <c r="AK356">
        <v>0</v>
      </c>
      <c r="AL356">
        <v>473322.55</v>
      </c>
      <c r="AM356">
        <v>0</v>
      </c>
      <c r="AN356">
        <v>2286818.9500000002</v>
      </c>
      <c r="AO356" t="s">
        <v>122</v>
      </c>
      <c r="AP356">
        <v>10</v>
      </c>
      <c r="AQ356">
        <v>181349.64</v>
      </c>
      <c r="AR356">
        <v>181349.64</v>
      </c>
      <c r="AT356">
        <v>15091920</v>
      </c>
      <c r="AU356">
        <v>1088097.8400000001</v>
      </c>
      <c r="AV356">
        <v>15091920</v>
      </c>
      <c r="AW356">
        <v>1088097.8400000001</v>
      </c>
    </row>
    <row r="357" spans="1:49" hidden="1" x14ac:dyDescent="0.35">
      <c r="A357">
        <v>5810110</v>
      </c>
      <c r="B357">
        <v>1250005810101</v>
      </c>
      <c r="D357">
        <v>20232743205</v>
      </c>
      <c r="E357" t="s">
        <v>723</v>
      </c>
      <c r="F357" t="s">
        <v>1</v>
      </c>
      <c r="G357" t="s">
        <v>49</v>
      </c>
      <c r="H357" t="s">
        <v>49</v>
      </c>
      <c r="I357">
        <v>5800</v>
      </c>
      <c r="J357">
        <v>3</v>
      </c>
      <c r="K357" t="s">
        <v>32</v>
      </c>
      <c r="L357">
        <v>12031</v>
      </c>
      <c r="M357" t="s">
        <v>721</v>
      </c>
      <c r="N357">
        <v>1</v>
      </c>
      <c r="O357" t="s">
        <v>125</v>
      </c>
      <c r="P357" t="s">
        <v>724</v>
      </c>
      <c r="Q357">
        <v>2453620.6800000002</v>
      </c>
      <c r="R357">
        <v>34030800</v>
      </c>
      <c r="S357">
        <v>92</v>
      </c>
      <c r="T357">
        <v>369900</v>
      </c>
      <c r="U357">
        <v>1</v>
      </c>
      <c r="V357">
        <v>1</v>
      </c>
      <c r="W357" t="s">
        <v>127</v>
      </c>
      <c r="X357">
        <v>24660</v>
      </c>
      <c r="Y357">
        <v>2453620.6800000002</v>
      </c>
      <c r="Z357">
        <v>34030800</v>
      </c>
      <c r="AA357">
        <v>369900</v>
      </c>
      <c r="AB357">
        <v>105</v>
      </c>
      <c r="AC357" s="34">
        <v>45937</v>
      </c>
      <c r="AD357" s="34">
        <v>46022</v>
      </c>
      <c r="AF357">
        <v>1</v>
      </c>
      <c r="AG357">
        <v>11388000.33</v>
      </c>
      <c r="AH357">
        <v>0</v>
      </c>
      <c r="AI357">
        <v>11388000.33</v>
      </c>
      <c r="AJ357">
        <v>0</v>
      </c>
      <c r="AK357">
        <v>0</v>
      </c>
      <c r="AL357">
        <v>2972268.1</v>
      </c>
      <c r="AM357">
        <v>0</v>
      </c>
      <c r="AN357">
        <v>14360268.43</v>
      </c>
      <c r="AO357" t="s">
        <v>122</v>
      </c>
      <c r="AP357">
        <v>10</v>
      </c>
      <c r="AQ357">
        <v>1138800.04</v>
      </c>
      <c r="AR357">
        <v>1138800.04</v>
      </c>
      <c r="AT357">
        <v>20418480</v>
      </c>
      <c r="AU357">
        <v>1472172.41</v>
      </c>
      <c r="AV357">
        <v>20418480</v>
      </c>
      <c r="AW357">
        <v>1472172.41</v>
      </c>
    </row>
    <row r="358" spans="1:49" hidden="1" x14ac:dyDescent="0.35">
      <c r="A358">
        <v>5810110</v>
      </c>
      <c r="B358">
        <v>1250005810101</v>
      </c>
      <c r="D358">
        <v>20232743205</v>
      </c>
      <c r="E358" t="s">
        <v>723</v>
      </c>
      <c r="F358" t="s">
        <v>1</v>
      </c>
      <c r="G358" t="s">
        <v>49</v>
      </c>
      <c r="H358" t="s">
        <v>49</v>
      </c>
      <c r="I358">
        <v>5800</v>
      </c>
      <c r="J358">
        <v>3</v>
      </c>
      <c r="K358" t="s">
        <v>32</v>
      </c>
      <c r="L358">
        <v>12031</v>
      </c>
      <c r="M358" t="s">
        <v>721</v>
      </c>
      <c r="N358">
        <v>2</v>
      </c>
      <c r="O358" t="s">
        <v>125</v>
      </c>
      <c r="P358" t="s">
        <v>725</v>
      </c>
      <c r="Q358">
        <v>3067025.85</v>
      </c>
      <c r="R358">
        <v>42538500</v>
      </c>
      <c r="S358">
        <v>115</v>
      </c>
      <c r="T358">
        <v>369900</v>
      </c>
      <c r="U358">
        <v>1</v>
      </c>
      <c r="V358">
        <v>1</v>
      </c>
      <c r="W358" t="s">
        <v>127</v>
      </c>
      <c r="X358">
        <v>24660</v>
      </c>
      <c r="Y358">
        <v>3067025.85</v>
      </c>
      <c r="Z358">
        <v>42538500</v>
      </c>
      <c r="AA358">
        <v>369900</v>
      </c>
      <c r="AB358">
        <v>105</v>
      </c>
      <c r="AC358" s="34">
        <v>45937</v>
      </c>
      <c r="AD358" s="34">
        <v>46022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 t="s">
        <v>122</v>
      </c>
      <c r="AT358">
        <v>25523100</v>
      </c>
      <c r="AU358">
        <v>1840215.51</v>
      </c>
      <c r="AV358">
        <v>25523100</v>
      </c>
      <c r="AW358">
        <v>1840215.51</v>
      </c>
    </row>
    <row r="359" spans="1:49" hidden="1" x14ac:dyDescent="0.35">
      <c r="A359">
        <v>5810110</v>
      </c>
      <c r="B359">
        <v>1250005810101</v>
      </c>
      <c r="D359">
        <v>20232743205</v>
      </c>
      <c r="E359" t="s">
        <v>723</v>
      </c>
      <c r="F359" t="s">
        <v>1</v>
      </c>
      <c r="G359" t="s">
        <v>49</v>
      </c>
      <c r="H359" t="s">
        <v>49</v>
      </c>
      <c r="I359">
        <v>5800</v>
      </c>
      <c r="J359">
        <v>3</v>
      </c>
      <c r="K359" t="s">
        <v>32</v>
      </c>
      <c r="L359">
        <v>12031</v>
      </c>
      <c r="M359" t="s">
        <v>721</v>
      </c>
      <c r="N359">
        <v>3</v>
      </c>
      <c r="O359" t="s">
        <v>125</v>
      </c>
      <c r="P359" t="s">
        <v>726</v>
      </c>
      <c r="Q359">
        <v>5867353.7999999998</v>
      </c>
      <c r="R359">
        <v>81378000</v>
      </c>
      <c r="S359">
        <v>220</v>
      </c>
      <c r="T359">
        <v>369900</v>
      </c>
      <c r="U359">
        <v>1</v>
      </c>
      <c r="V359">
        <v>1</v>
      </c>
      <c r="W359" t="s">
        <v>127</v>
      </c>
      <c r="X359">
        <v>24660</v>
      </c>
      <c r="Y359">
        <v>5867353.7999999998</v>
      </c>
      <c r="Z359">
        <v>81378000</v>
      </c>
      <c r="AA359">
        <v>369900</v>
      </c>
      <c r="AB359">
        <v>105</v>
      </c>
      <c r="AC359" s="34">
        <v>45937</v>
      </c>
      <c r="AD359" s="34">
        <v>46022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 t="s">
        <v>122</v>
      </c>
      <c r="AT359">
        <v>48826800</v>
      </c>
      <c r="AU359">
        <v>3520412.28</v>
      </c>
      <c r="AV359">
        <v>48826800</v>
      </c>
      <c r="AW359">
        <v>3520412.28</v>
      </c>
    </row>
    <row r="360" spans="1:49" hidden="1" x14ac:dyDescent="0.35">
      <c r="A360">
        <v>5810210</v>
      </c>
      <c r="B360">
        <v>1170005810201</v>
      </c>
      <c r="D360">
        <v>20136059646</v>
      </c>
      <c r="E360" t="s">
        <v>644</v>
      </c>
      <c r="F360" t="s">
        <v>1</v>
      </c>
      <c r="G360" t="s">
        <v>226</v>
      </c>
      <c r="H360" t="s">
        <v>63</v>
      </c>
      <c r="I360">
        <v>2535</v>
      </c>
      <c r="J360">
        <v>12</v>
      </c>
      <c r="K360" t="s">
        <v>34</v>
      </c>
      <c r="L360">
        <v>83429</v>
      </c>
      <c r="M360" t="s">
        <v>140</v>
      </c>
      <c r="N360">
        <v>1</v>
      </c>
      <c r="O360" t="s">
        <v>125</v>
      </c>
      <c r="P360" t="s">
        <v>631</v>
      </c>
      <c r="Q360">
        <v>395916.3</v>
      </c>
      <c r="R360">
        <v>16029000</v>
      </c>
      <c r="S360">
        <v>130</v>
      </c>
      <c r="T360">
        <v>123300</v>
      </c>
      <c r="U360">
        <v>1</v>
      </c>
      <c r="V360">
        <v>1</v>
      </c>
      <c r="W360" t="s">
        <v>127</v>
      </c>
      <c r="X360">
        <v>24660</v>
      </c>
      <c r="Y360">
        <v>395916.3</v>
      </c>
      <c r="Z360">
        <v>16029000</v>
      </c>
      <c r="AA360">
        <v>123300</v>
      </c>
      <c r="AB360">
        <v>214</v>
      </c>
      <c r="AC360" s="34">
        <v>45936</v>
      </c>
      <c r="AD360" s="34">
        <v>46053</v>
      </c>
      <c r="AF360">
        <v>0</v>
      </c>
      <c r="AG360">
        <v>694376.28</v>
      </c>
      <c r="AH360">
        <v>0</v>
      </c>
      <c r="AI360">
        <v>694376.28</v>
      </c>
      <c r="AJ360">
        <v>0</v>
      </c>
      <c r="AK360">
        <v>0</v>
      </c>
      <c r="AL360">
        <v>177760.32</v>
      </c>
      <c r="AM360">
        <v>0</v>
      </c>
      <c r="AN360">
        <v>872136.6</v>
      </c>
      <c r="AO360" t="s">
        <v>122</v>
      </c>
      <c r="AP360">
        <v>15</v>
      </c>
      <c r="AQ360">
        <v>104156.44</v>
      </c>
      <c r="AR360">
        <v>104156.44</v>
      </c>
      <c r="AT360">
        <v>9617400</v>
      </c>
      <c r="AU360">
        <v>237549.78</v>
      </c>
      <c r="AV360">
        <v>9617400</v>
      </c>
      <c r="AW360">
        <v>237549.78</v>
      </c>
    </row>
    <row r="361" spans="1:49" hidden="1" x14ac:dyDescent="0.35">
      <c r="A361">
        <v>5810210</v>
      </c>
      <c r="B361">
        <v>1170005810201</v>
      </c>
      <c r="D361">
        <v>20136059646</v>
      </c>
      <c r="E361" t="s">
        <v>644</v>
      </c>
      <c r="F361" t="s">
        <v>1</v>
      </c>
      <c r="G361" t="s">
        <v>647</v>
      </c>
      <c r="H361" t="s">
        <v>71</v>
      </c>
      <c r="I361">
        <v>2520</v>
      </c>
      <c r="J361">
        <v>12</v>
      </c>
      <c r="K361" t="s">
        <v>34</v>
      </c>
      <c r="L361">
        <v>83429</v>
      </c>
      <c r="M361" t="s">
        <v>140</v>
      </c>
      <c r="N361">
        <v>2</v>
      </c>
      <c r="O361" t="s">
        <v>125</v>
      </c>
      <c r="P361" t="s">
        <v>632</v>
      </c>
      <c r="Q361">
        <v>298459.98</v>
      </c>
      <c r="R361">
        <v>12083400</v>
      </c>
      <c r="S361">
        <v>56</v>
      </c>
      <c r="T361">
        <v>215775</v>
      </c>
      <c r="U361">
        <v>1</v>
      </c>
      <c r="V361">
        <v>1</v>
      </c>
      <c r="W361" t="s">
        <v>127</v>
      </c>
      <c r="X361">
        <v>24660</v>
      </c>
      <c r="Y361">
        <v>298459.98</v>
      </c>
      <c r="Z361">
        <v>12083400</v>
      </c>
      <c r="AA361">
        <v>215775</v>
      </c>
      <c r="AB361">
        <v>214</v>
      </c>
      <c r="AC361" s="34">
        <v>45936</v>
      </c>
      <c r="AD361" s="34">
        <v>46053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 t="s">
        <v>122</v>
      </c>
      <c r="AT361">
        <v>7250040</v>
      </c>
      <c r="AU361">
        <v>179075.99</v>
      </c>
      <c r="AV361">
        <v>7250040</v>
      </c>
      <c r="AW361">
        <v>179075.99</v>
      </c>
    </row>
    <row r="362" spans="1:49" hidden="1" x14ac:dyDescent="0.35">
      <c r="A362">
        <v>5810310</v>
      </c>
      <c r="B362">
        <v>1170005810301</v>
      </c>
      <c r="D362">
        <v>20237116551</v>
      </c>
      <c r="E362" t="s">
        <v>727</v>
      </c>
      <c r="F362" t="s">
        <v>1</v>
      </c>
      <c r="G362" t="s">
        <v>226</v>
      </c>
      <c r="H362" t="s">
        <v>63</v>
      </c>
      <c r="I362">
        <v>2535</v>
      </c>
      <c r="J362">
        <v>12</v>
      </c>
      <c r="K362" t="s">
        <v>34</v>
      </c>
      <c r="L362">
        <v>83429</v>
      </c>
      <c r="M362" t="s">
        <v>140</v>
      </c>
      <c r="N362">
        <v>1</v>
      </c>
      <c r="O362" t="s">
        <v>125</v>
      </c>
      <c r="P362" t="s">
        <v>631</v>
      </c>
      <c r="Q362">
        <v>395916.3</v>
      </c>
      <c r="R362">
        <v>16029000</v>
      </c>
      <c r="S362">
        <v>130</v>
      </c>
      <c r="T362">
        <v>123300</v>
      </c>
      <c r="U362">
        <v>1</v>
      </c>
      <c r="V362">
        <v>1</v>
      </c>
      <c r="W362" t="s">
        <v>127</v>
      </c>
      <c r="X362">
        <v>24660</v>
      </c>
      <c r="Y362">
        <v>395916.3</v>
      </c>
      <c r="Z362">
        <v>16029000</v>
      </c>
      <c r="AA362">
        <v>123300</v>
      </c>
      <c r="AB362">
        <v>214</v>
      </c>
      <c r="AC362" s="34">
        <v>45936</v>
      </c>
      <c r="AD362" s="34">
        <v>46053</v>
      </c>
      <c r="AF362">
        <v>0</v>
      </c>
      <c r="AG362">
        <v>694376.28</v>
      </c>
      <c r="AH362">
        <v>0</v>
      </c>
      <c r="AI362">
        <v>694376.28</v>
      </c>
      <c r="AJ362">
        <v>0</v>
      </c>
      <c r="AK362">
        <v>0</v>
      </c>
      <c r="AL362">
        <v>177760.32</v>
      </c>
      <c r="AM362">
        <v>0</v>
      </c>
      <c r="AN362">
        <v>872136.6</v>
      </c>
      <c r="AO362" t="s">
        <v>122</v>
      </c>
      <c r="AP362">
        <v>15</v>
      </c>
      <c r="AQ362">
        <v>104156.44</v>
      </c>
      <c r="AR362">
        <v>104156.44</v>
      </c>
      <c r="AT362">
        <v>9617400</v>
      </c>
      <c r="AU362">
        <v>237549.78</v>
      </c>
      <c r="AV362">
        <v>9617400</v>
      </c>
      <c r="AW362">
        <v>237549.78</v>
      </c>
    </row>
    <row r="363" spans="1:49" hidden="1" x14ac:dyDescent="0.35">
      <c r="A363">
        <v>5810310</v>
      </c>
      <c r="B363">
        <v>1170005810301</v>
      </c>
      <c r="D363">
        <v>20237116551</v>
      </c>
      <c r="E363" t="s">
        <v>727</v>
      </c>
      <c r="F363" t="s">
        <v>1</v>
      </c>
      <c r="G363" t="s">
        <v>256</v>
      </c>
      <c r="H363" t="s">
        <v>71</v>
      </c>
      <c r="I363">
        <v>2520</v>
      </c>
      <c r="J363">
        <v>12</v>
      </c>
      <c r="K363" t="s">
        <v>34</v>
      </c>
      <c r="L363">
        <v>83429</v>
      </c>
      <c r="M363" t="s">
        <v>140</v>
      </c>
      <c r="N363">
        <v>2</v>
      </c>
      <c r="O363" t="s">
        <v>125</v>
      </c>
      <c r="P363" t="s">
        <v>632</v>
      </c>
      <c r="Q363">
        <v>298459.98</v>
      </c>
      <c r="R363">
        <v>12083400</v>
      </c>
      <c r="S363">
        <v>56</v>
      </c>
      <c r="T363">
        <v>215775</v>
      </c>
      <c r="U363">
        <v>1</v>
      </c>
      <c r="V363">
        <v>1</v>
      </c>
      <c r="W363" t="s">
        <v>127</v>
      </c>
      <c r="X363">
        <v>24660</v>
      </c>
      <c r="Y363">
        <v>298459.98</v>
      </c>
      <c r="Z363">
        <v>12083400</v>
      </c>
      <c r="AA363">
        <v>215775</v>
      </c>
      <c r="AB363">
        <v>214</v>
      </c>
      <c r="AC363" s="34">
        <v>45936</v>
      </c>
      <c r="AD363" s="34">
        <v>46053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 t="s">
        <v>122</v>
      </c>
      <c r="AT363">
        <v>7250040</v>
      </c>
      <c r="AU363">
        <v>179075.99</v>
      </c>
      <c r="AV363">
        <v>7250040</v>
      </c>
      <c r="AW363">
        <v>179075.99</v>
      </c>
    </row>
    <row r="364" spans="1:49" hidden="1" x14ac:dyDescent="0.35">
      <c r="A364">
        <v>5810410</v>
      </c>
      <c r="B364">
        <v>1170005810401</v>
      </c>
      <c r="D364">
        <v>20204434779</v>
      </c>
      <c r="E364" t="s">
        <v>642</v>
      </c>
      <c r="F364" t="s">
        <v>1</v>
      </c>
      <c r="G364" t="s">
        <v>226</v>
      </c>
      <c r="H364" t="s">
        <v>63</v>
      </c>
      <c r="I364">
        <v>2535</v>
      </c>
      <c r="J364">
        <v>12</v>
      </c>
      <c r="K364" t="s">
        <v>34</v>
      </c>
      <c r="L364">
        <v>83429</v>
      </c>
      <c r="M364" t="s">
        <v>140</v>
      </c>
      <c r="N364">
        <v>1</v>
      </c>
      <c r="O364" t="s">
        <v>125</v>
      </c>
      <c r="P364" t="s">
        <v>631</v>
      </c>
      <c r="Q364">
        <v>395916.3</v>
      </c>
      <c r="R364">
        <v>16029000</v>
      </c>
      <c r="S364">
        <v>130</v>
      </c>
      <c r="T364">
        <v>123300</v>
      </c>
      <c r="U364">
        <v>1</v>
      </c>
      <c r="V364">
        <v>1</v>
      </c>
      <c r="W364" t="s">
        <v>127</v>
      </c>
      <c r="X364">
        <v>24660</v>
      </c>
      <c r="Y364">
        <v>395916.3</v>
      </c>
      <c r="Z364">
        <v>16029000</v>
      </c>
      <c r="AA364">
        <v>123300</v>
      </c>
      <c r="AB364">
        <v>214</v>
      </c>
      <c r="AC364" s="34">
        <v>45936</v>
      </c>
      <c r="AD364" s="34">
        <v>46053</v>
      </c>
      <c r="AF364">
        <v>0</v>
      </c>
      <c r="AG364">
        <v>694376.28</v>
      </c>
      <c r="AH364">
        <v>0</v>
      </c>
      <c r="AI364">
        <v>694376.28</v>
      </c>
      <c r="AJ364">
        <v>0</v>
      </c>
      <c r="AK364">
        <v>0</v>
      </c>
      <c r="AL364">
        <v>177760.32</v>
      </c>
      <c r="AM364">
        <v>0</v>
      </c>
      <c r="AN364">
        <v>872136.6</v>
      </c>
      <c r="AO364" t="s">
        <v>122</v>
      </c>
      <c r="AP364">
        <v>15</v>
      </c>
      <c r="AQ364">
        <v>104156.44</v>
      </c>
      <c r="AR364">
        <v>104156.44</v>
      </c>
      <c r="AT364">
        <v>9617400</v>
      </c>
      <c r="AU364">
        <v>237549.78</v>
      </c>
      <c r="AV364">
        <v>9617400</v>
      </c>
      <c r="AW364">
        <v>237549.78</v>
      </c>
    </row>
    <row r="365" spans="1:49" hidden="1" x14ac:dyDescent="0.35">
      <c r="A365">
        <v>5810410</v>
      </c>
      <c r="B365">
        <v>1170005810401</v>
      </c>
      <c r="D365">
        <v>20204434779</v>
      </c>
      <c r="E365" t="s">
        <v>642</v>
      </c>
      <c r="F365" t="s">
        <v>1</v>
      </c>
      <c r="G365" t="s">
        <v>256</v>
      </c>
      <c r="H365" t="s">
        <v>71</v>
      </c>
      <c r="I365">
        <v>2520</v>
      </c>
      <c r="J365">
        <v>12</v>
      </c>
      <c r="K365" t="s">
        <v>34</v>
      </c>
      <c r="L365">
        <v>83429</v>
      </c>
      <c r="M365" t="s">
        <v>140</v>
      </c>
      <c r="N365">
        <v>2</v>
      </c>
      <c r="O365" t="s">
        <v>125</v>
      </c>
      <c r="P365" t="s">
        <v>632</v>
      </c>
      <c r="Q365">
        <v>298459.98</v>
      </c>
      <c r="R365">
        <v>12083400</v>
      </c>
      <c r="S365">
        <v>56</v>
      </c>
      <c r="T365">
        <v>215775</v>
      </c>
      <c r="U365">
        <v>1</v>
      </c>
      <c r="V365">
        <v>1</v>
      </c>
      <c r="W365" t="s">
        <v>127</v>
      </c>
      <c r="X365">
        <v>24660</v>
      </c>
      <c r="Y365">
        <v>298459.98</v>
      </c>
      <c r="Z365">
        <v>12083400</v>
      </c>
      <c r="AA365">
        <v>215775</v>
      </c>
      <c r="AB365">
        <v>214</v>
      </c>
      <c r="AC365" s="34">
        <v>45936</v>
      </c>
      <c r="AD365" s="34">
        <v>46053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 t="s">
        <v>122</v>
      </c>
      <c r="AT365">
        <v>7250040</v>
      </c>
      <c r="AU365">
        <v>179075.99</v>
      </c>
      <c r="AV365">
        <v>7250040</v>
      </c>
      <c r="AW365">
        <v>179075.99</v>
      </c>
    </row>
    <row r="366" spans="1:49" hidden="1" x14ac:dyDescent="0.35">
      <c r="A366">
        <v>5810510</v>
      </c>
      <c r="B366">
        <v>1170005810501</v>
      </c>
      <c r="D366">
        <v>23227544139</v>
      </c>
      <c r="E366" t="s">
        <v>630</v>
      </c>
      <c r="F366" t="s">
        <v>1</v>
      </c>
      <c r="G366" t="s">
        <v>226</v>
      </c>
      <c r="H366" t="s">
        <v>63</v>
      </c>
      <c r="I366">
        <v>2535</v>
      </c>
      <c r="J366">
        <v>12</v>
      </c>
      <c r="K366" t="s">
        <v>34</v>
      </c>
      <c r="L366">
        <v>83429</v>
      </c>
      <c r="M366" t="s">
        <v>140</v>
      </c>
      <c r="N366">
        <v>1</v>
      </c>
      <c r="O366" t="s">
        <v>125</v>
      </c>
      <c r="P366" t="s">
        <v>728</v>
      </c>
      <c r="Q366">
        <v>395916.3</v>
      </c>
      <c r="R366">
        <v>16029000</v>
      </c>
      <c r="S366">
        <v>130</v>
      </c>
      <c r="T366">
        <v>123300</v>
      </c>
      <c r="U366">
        <v>1</v>
      </c>
      <c r="V366">
        <v>1</v>
      </c>
      <c r="W366" t="s">
        <v>127</v>
      </c>
      <c r="X366">
        <v>24660</v>
      </c>
      <c r="Y366">
        <v>395916.3</v>
      </c>
      <c r="Z366">
        <v>16029000</v>
      </c>
      <c r="AA366">
        <v>123300</v>
      </c>
      <c r="AB366">
        <v>214</v>
      </c>
      <c r="AC366" s="34">
        <v>45936</v>
      </c>
      <c r="AD366" s="34">
        <v>46053</v>
      </c>
      <c r="AF366">
        <v>0</v>
      </c>
      <c r="AG366">
        <v>694376.28</v>
      </c>
      <c r="AH366">
        <v>0</v>
      </c>
      <c r="AI366">
        <v>694376.28</v>
      </c>
      <c r="AJ366">
        <v>0</v>
      </c>
      <c r="AK366">
        <v>0</v>
      </c>
      <c r="AL366">
        <v>177760.32</v>
      </c>
      <c r="AM366">
        <v>0</v>
      </c>
      <c r="AN366">
        <v>872136.6</v>
      </c>
      <c r="AO366" t="s">
        <v>122</v>
      </c>
      <c r="AP366">
        <v>15</v>
      </c>
      <c r="AQ366">
        <v>104156.44</v>
      </c>
      <c r="AR366">
        <v>104156.44</v>
      </c>
      <c r="AT366">
        <v>9617400</v>
      </c>
      <c r="AU366">
        <v>237549.78</v>
      </c>
      <c r="AV366">
        <v>9617400</v>
      </c>
      <c r="AW366">
        <v>237549.78</v>
      </c>
    </row>
    <row r="367" spans="1:49" hidden="1" x14ac:dyDescent="0.35">
      <c r="A367">
        <v>5810510</v>
      </c>
      <c r="B367">
        <v>1170005810501</v>
      </c>
      <c r="D367">
        <v>23227544139</v>
      </c>
      <c r="E367" t="s">
        <v>630</v>
      </c>
      <c r="F367" t="s">
        <v>1</v>
      </c>
      <c r="G367" t="s">
        <v>256</v>
      </c>
      <c r="H367" t="s">
        <v>71</v>
      </c>
      <c r="I367">
        <v>2520</v>
      </c>
      <c r="J367">
        <v>12</v>
      </c>
      <c r="K367" t="s">
        <v>34</v>
      </c>
      <c r="L367">
        <v>83429</v>
      </c>
      <c r="M367" t="s">
        <v>140</v>
      </c>
      <c r="N367">
        <v>2</v>
      </c>
      <c r="O367" t="s">
        <v>125</v>
      </c>
      <c r="P367" t="s">
        <v>632</v>
      </c>
      <c r="Q367">
        <v>298459.98</v>
      </c>
      <c r="R367">
        <v>12083400</v>
      </c>
      <c r="S367">
        <v>56</v>
      </c>
      <c r="T367">
        <v>215775</v>
      </c>
      <c r="U367">
        <v>1</v>
      </c>
      <c r="V367">
        <v>1</v>
      </c>
      <c r="W367" t="s">
        <v>127</v>
      </c>
      <c r="X367">
        <v>24660</v>
      </c>
      <c r="Y367">
        <v>298459.98</v>
      </c>
      <c r="Z367">
        <v>12083400</v>
      </c>
      <c r="AA367">
        <v>215775</v>
      </c>
      <c r="AB367">
        <v>214</v>
      </c>
      <c r="AC367" s="34">
        <v>45936</v>
      </c>
      <c r="AD367" s="34">
        <v>46053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 t="s">
        <v>122</v>
      </c>
      <c r="AT367">
        <v>7250040</v>
      </c>
      <c r="AU367">
        <v>179075.99</v>
      </c>
      <c r="AV367">
        <v>7250040</v>
      </c>
      <c r="AW367">
        <v>179075.99</v>
      </c>
    </row>
    <row r="368" spans="1:49" hidden="1" x14ac:dyDescent="0.35">
      <c r="A368">
        <v>5810610</v>
      </c>
      <c r="B368">
        <v>1090005810601</v>
      </c>
      <c r="D368">
        <v>20184846447</v>
      </c>
      <c r="E368" t="s">
        <v>729</v>
      </c>
      <c r="F368" t="s">
        <v>1</v>
      </c>
      <c r="G368" t="s">
        <v>27</v>
      </c>
      <c r="H368" t="s">
        <v>27</v>
      </c>
      <c r="I368">
        <v>8180</v>
      </c>
      <c r="J368">
        <v>1</v>
      </c>
      <c r="K368" t="s">
        <v>16</v>
      </c>
      <c r="L368">
        <v>6039</v>
      </c>
      <c r="M368" t="s">
        <v>274</v>
      </c>
      <c r="N368">
        <v>1</v>
      </c>
      <c r="O368" t="s">
        <v>125</v>
      </c>
      <c r="P368" t="s">
        <v>730</v>
      </c>
      <c r="Q368">
        <v>404.55</v>
      </c>
      <c r="R368">
        <v>13950</v>
      </c>
      <c r="S368">
        <v>93</v>
      </c>
      <c r="T368">
        <v>150</v>
      </c>
      <c r="U368">
        <v>26</v>
      </c>
      <c r="V368">
        <v>1430</v>
      </c>
      <c r="W368" t="s">
        <v>121</v>
      </c>
      <c r="X368" t="s">
        <v>1</v>
      </c>
      <c r="Y368">
        <v>578506.5</v>
      </c>
      <c r="Z368">
        <v>19948500</v>
      </c>
      <c r="AA368">
        <v>214500</v>
      </c>
      <c r="AB368">
        <v>106</v>
      </c>
      <c r="AC368" s="34">
        <v>45931</v>
      </c>
      <c r="AD368" s="34">
        <v>46053</v>
      </c>
      <c r="AF368">
        <v>0</v>
      </c>
      <c r="AG368">
        <v>6372.47</v>
      </c>
      <c r="AH368">
        <v>0</v>
      </c>
      <c r="AI368">
        <v>9112632.0999999996</v>
      </c>
      <c r="AJ368">
        <v>0</v>
      </c>
      <c r="AK368">
        <v>0</v>
      </c>
      <c r="AL368">
        <v>2287256.4</v>
      </c>
      <c r="AM368">
        <v>0</v>
      </c>
      <c r="AN368">
        <v>11399888.5</v>
      </c>
      <c r="AO368" t="s">
        <v>122</v>
      </c>
      <c r="AP368">
        <v>12</v>
      </c>
      <c r="AQ368">
        <v>764.7</v>
      </c>
      <c r="AR368">
        <v>1093521</v>
      </c>
      <c r="AT368">
        <v>8370</v>
      </c>
      <c r="AU368">
        <v>242.73</v>
      </c>
      <c r="AV368">
        <v>11969100</v>
      </c>
      <c r="AW368">
        <v>347103.9</v>
      </c>
    </row>
    <row r="369" spans="1:49" hidden="1" x14ac:dyDescent="0.35">
      <c r="A369">
        <v>5810610</v>
      </c>
      <c r="B369">
        <v>1090005810601</v>
      </c>
      <c r="D369">
        <v>20184846447</v>
      </c>
      <c r="E369" t="s">
        <v>729</v>
      </c>
      <c r="F369" t="s">
        <v>1</v>
      </c>
      <c r="G369" t="s">
        <v>27</v>
      </c>
      <c r="H369" t="s">
        <v>27</v>
      </c>
      <c r="I369">
        <v>8180</v>
      </c>
      <c r="J369">
        <v>1</v>
      </c>
      <c r="K369" t="s">
        <v>16</v>
      </c>
      <c r="L369">
        <v>6039</v>
      </c>
      <c r="M369" t="s">
        <v>274</v>
      </c>
      <c r="N369">
        <v>2</v>
      </c>
      <c r="O369" t="s">
        <v>125</v>
      </c>
      <c r="P369" t="s">
        <v>731</v>
      </c>
      <c r="Q369">
        <v>239.25</v>
      </c>
      <c r="R369">
        <v>8250</v>
      </c>
      <c r="S369">
        <v>55</v>
      </c>
      <c r="T369">
        <v>150</v>
      </c>
      <c r="U369">
        <v>26</v>
      </c>
      <c r="V369">
        <v>1430</v>
      </c>
      <c r="W369" t="s">
        <v>121</v>
      </c>
      <c r="X369" t="s">
        <v>1</v>
      </c>
      <c r="Y369">
        <v>342127.5</v>
      </c>
      <c r="Z369">
        <v>11797500</v>
      </c>
      <c r="AA369">
        <v>214500</v>
      </c>
      <c r="AB369">
        <v>106</v>
      </c>
      <c r="AC369" s="34">
        <v>45931</v>
      </c>
      <c r="AD369" s="34">
        <v>46053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 t="s">
        <v>122</v>
      </c>
      <c r="AT369">
        <v>4950</v>
      </c>
      <c r="AU369">
        <v>143.55000000000001</v>
      </c>
      <c r="AV369">
        <v>7078500</v>
      </c>
      <c r="AW369">
        <v>205276.5</v>
      </c>
    </row>
    <row r="370" spans="1:49" hidden="1" x14ac:dyDescent="0.35">
      <c r="A370">
        <v>5810610</v>
      </c>
      <c r="B370">
        <v>1090005810601</v>
      </c>
      <c r="D370">
        <v>20184846447</v>
      </c>
      <c r="E370" t="s">
        <v>729</v>
      </c>
      <c r="F370" t="s">
        <v>1</v>
      </c>
      <c r="G370" t="s">
        <v>27</v>
      </c>
      <c r="H370" t="s">
        <v>27</v>
      </c>
      <c r="I370">
        <v>8180</v>
      </c>
      <c r="J370">
        <v>1</v>
      </c>
      <c r="K370" t="s">
        <v>16</v>
      </c>
      <c r="L370">
        <v>6039</v>
      </c>
      <c r="M370" t="s">
        <v>274</v>
      </c>
      <c r="N370">
        <v>3</v>
      </c>
      <c r="O370" t="s">
        <v>125</v>
      </c>
      <c r="P370" t="s">
        <v>732</v>
      </c>
      <c r="Q370">
        <v>287.10000000000002</v>
      </c>
      <c r="R370">
        <v>9900</v>
      </c>
      <c r="S370">
        <v>66</v>
      </c>
      <c r="T370">
        <v>150</v>
      </c>
      <c r="U370">
        <v>26</v>
      </c>
      <c r="V370">
        <v>1430</v>
      </c>
      <c r="W370" t="s">
        <v>121</v>
      </c>
      <c r="X370" t="s">
        <v>1</v>
      </c>
      <c r="Y370">
        <v>410553</v>
      </c>
      <c r="Z370">
        <v>14157000</v>
      </c>
      <c r="AA370">
        <v>214500</v>
      </c>
      <c r="AB370">
        <v>106</v>
      </c>
      <c r="AC370" s="34">
        <v>45931</v>
      </c>
      <c r="AD370" s="34">
        <v>46053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 t="s">
        <v>122</v>
      </c>
      <c r="AT370">
        <v>5940</v>
      </c>
      <c r="AU370">
        <v>172.26</v>
      </c>
      <c r="AV370">
        <v>8494200</v>
      </c>
      <c r="AW370">
        <v>246331.8</v>
      </c>
    </row>
    <row r="371" spans="1:49" hidden="1" x14ac:dyDescent="0.35">
      <c r="A371">
        <v>5810610</v>
      </c>
      <c r="B371">
        <v>1090005810601</v>
      </c>
      <c r="D371">
        <v>20184846447</v>
      </c>
      <c r="E371" t="s">
        <v>729</v>
      </c>
      <c r="F371" t="s">
        <v>1</v>
      </c>
      <c r="G371" t="s">
        <v>27</v>
      </c>
      <c r="H371" t="s">
        <v>27</v>
      </c>
      <c r="I371">
        <v>8180</v>
      </c>
      <c r="J371">
        <v>1</v>
      </c>
      <c r="K371" t="s">
        <v>16</v>
      </c>
      <c r="L371">
        <v>6039</v>
      </c>
      <c r="M371" t="s">
        <v>274</v>
      </c>
      <c r="N371">
        <v>4</v>
      </c>
      <c r="O371" t="s">
        <v>125</v>
      </c>
      <c r="P371" t="s">
        <v>733</v>
      </c>
      <c r="Q371">
        <v>957</v>
      </c>
      <c r="R371">
        <v>33000</v>
      </c>
      <c r="S371">
        <v>220</v>
      </c>
      <c r="T371">
        <v>150</v>
      </c>
      <c r="U371">
        <v>26</v>
      </c>
      <c r="V371">
        <v>1430</v>
      </c>
      <c r="W371" t="s">
        <v>121</v>
      </c>
      <c r="X371" t="s">
        <v>1</v>
      </c>
      <c r="Y371">
        <v>1368510</v>
      </c>
      <c r="Z371">
        <v>47190000</v>
      </c>
      <c r="AA371">
        <v>214500</v>
      </c>
      <c r="AB371">
        <v>106</v>
      </c>
      <c r="AC371" s="34">
        <v>45931</v>
      </c>
      <c r="AD371" s="34">
        <v>46053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 t="s">
        <v>122</v>
      </c>
      <c r="AT371">
        <v>19800</v>
      </c>
      <c r="AU371">
        <v>574.20000000000005</v>
      </c>
      <c r="AV371">
        <v>28314000</v>
      </c>
      <c r="AW371">
        <v>821106</v>
      </c>
    </row>
    <row r="372" spans="1:49" hidden="1" x14ac:dyDescent="0.35">
      <c r="A372">
        <v>5810610</v>
      </c>
      <c r="B372">
        <v>1090005810601</v>
      </c>
      <c r="D372">
        <v>20184846447</v>
      </c>
      <c r="E372" t="s">
        <v>729</v>
      </c>
      <c r="F372" t="s">
        <v>1</v>
      </c>
      <c r="G372" t="s">
        <v>27</v>
      </c>
      <c r="H372" t="s">
        <v>27</v>
      </c>
      <c r="I372">
        <v>8180</v>
      </c>
      <c r="J372">
        <v>1</v>
      </c>
      <c r="K372" t="s">
        <v>16</v>
      </c>
      <c r="L372">
        <v>6039</v>
      </c>
      <c r="M372" t="s">
        <v>274</v>
      </c>
      <c r="N372">
        <v>5</v>
      </c>
      <c r="O372" t="s">
        <v>125</v>
      </c>
      <c r="P372" t="s">
        <v>734</v>
      </c>
      <c r="Q372">
        <v>526.35</v>
      </c>
      <c r="R372">
        <v>18150</v>
      </c>
      <c r="S372">
        <v>121</v>
      </c>
      <c r="T372">
        <v>150</v>
      </c>
      <c r="U372">
        <v>26</v>
      </c>
      <c r="V372">
        <v>1430</v>
      </c>
      <c r="W372" t="s">
        <v>121</v>
      </c>
      <c r="X372" t="s">
        <v>1</v>
      </c>
      <c r="Y372">
        <v>752680.5</v>
      </c>
      <c r="Z372">
        <v>25954500</v>
      </c>
      <c r="AA372">
        <v>214500</v>
      </c>
      <c r="AB372">
        <v>106</v>
      </c>
      <c r="AC372" s="34">
        <v>45931</v>
      </c>
      <c r="AD372" s="34">
        <v>46053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 t="s">
        <v>122</v>
      </c>
      <c r="AT372">
        <v>10890</v>
      </c>
      <c r="AU372">
        <v>315.81</v>
      </c>
      <c r="AV372">
        <v>15572700</v>
      </c>
      <c r="AW372">
        <v>451608.3</v>
      </c>
    </row>
    <row r="373" spans="1:49" hidden="1" x14ac:dyDescent="0.35">
      <c r="A373">
        <v>5810610</v>
      </c>
      <c r="B373">
        <v>1090005810601</v>
      </c>
      <c r="D373">
        <v>20184846447</v>
      </c>
      <c r="E373" t="s">
        <v>729</v>
      </c>
      <c r="F373" t="s">
        <v>1</v>
      </c>
      <c r="G373" t="s">
        <v>27</v>
      </c>
      <c r="H373" t="s">
        <v>27</v>
      </c>
      <c r="I373">
        <v>8180</v>
      </c>
      <c r="J373">
        <v>1</v>
      </c>
      <c r="K373" t="s">
        <v>16</v>
      </c>
      <c r="L373">
        <v>6039</v>
      </c>
      <c r="M373" t="s">
        <v>274</v>
      </c>
      <c r="N373">
        <v>6</v>
      </c>
      <c r="O373" t="s">
        <v>125</v>
      </c>
      <c r="P373" t="s">
        <v>735</v>
      </c>
      <c r="Q373">
        <v>1087.5</v>
      </c>
      <c r="R373">
        <v>37500</v>
      </c>
      <c r="S373">
        <v>250</v>
      </c>
      <c r="T373">
        <v>150</v>
      </c>
      <c r="U373">
        <v>26</v>
      </c>
      <c r="V373">
        <v>1430</v>
      </c>
      <c r="W373" t="s">
        <v>121</v>
      </c>
      <c r="X373" t="s">
        <v>1</v>
      </c>
      <c r="Y373">
        <v>1555125</v>
      </c>
      <c r="Z373">
        <v>53625000</v>
      </c>
      <c r="AA373">
        <v>214500</v>
      </c>
      <c r="AB373">
        <v>106</v>
      </c>
      <c r="AC373" s="34">
        <v>45931</v>
      </c>
      <c r="AD373" s="34">
        <v>46053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 t="s">
        <v>122</v>
      </c>
      <c r="AT373">
        <v>22500</v>
      </c>
      <c r="AU373">
        <v>652.5</v>
      </c>
      <c r="AV373">
        <v>32175000</v>
      </c>
      <c r="AW373">
        <v>933075</v>
      </c>
    </row>
    <row r="374" spans="1:49" hidden="1" x14ac:dyDescent="0.35">
      <c r="A374">
        <v>5810610</v>
      </c>
      <c r="B374">
        <v>1090005810601</v>
      </c>
      <c r="D374">
        <v>20184846447</v>
      </c>
      <c r="E374" t="s">
        <v>729</v>
      </c>
      <c r="F374" t="s">
        <v>1</v>
      </c>
      <c r="G374" t="s">
        <v>27</v>
      </c>
      <c r="H374" t="s">
        <v>27</v>
      </c>
      <c r="I374">
        <v>8180</v>
      </c>
      <c r="J374">
        <v>1</v>
      </c>
      <c r="K374" t="s">
        <v>16</v>
      </c>
      <c r="L374">
        <v>6039</v>
      </c>
      <c r="M374" t="s">
        <v>274</v>
      </c>
      <c r="N374">
        <v>7</v>
      </c>
      <c r="O374" t="s">
        <v>125</v>
      </c>
      <c r="P374" t="s">
        <v>736</v>
      </c>
      <c r="Q374">
        <v>887.4</v>
      </c>
      <c r="R374">
        <v>30600</v>
      </c>
      <c r="S374">
        <v>204</v>
      </c>
      <c r="T374">
        <v>150</v>
      </c>
      <c r="U374">
        <v>26</v>
      </c>
      <c r="V374">
        <v>1430</v>
      </c>
      <c r="W374" t="s">
        <v>121</v>
      </c>
      <c r="X374" t="s">
        <v>1</v>
      </c>
      <c r="Y374">
        <v>1268982</v>
      </c>
      <c r="Z374">
        <v>43758000</v>
      </c>
      <c r="AA374">
        <v>214500</v>
      </c>
      <c r="AB374">
        <v>106</v>
      </c>
      <c r="AC374" s="34">
        <v>45931</v>
      </c>
      <c r="AD374" s="34">
        <v>46053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 t="s">
        <v>122</v>
      </c>
      <c r="AT374">
        <v>18360</v>
      </c>
      <c r="AU374">
        <v>532.44000000000005</v>
      </c>
      <c r="AV374">
        <v>26254800</v>
      </c>
      <c r="AW374">
        <v>761389.2</v>
      </c>
    </row>
    <row r="375" spans="1:49" hidden="1" x14ac:dyDescent="0.35">
      <c r="A375">
        <v>5810610</v>
      </c>
      <c r="B375">
        <v>1090005810601</v>
      </c>
      <c r="D375">
        <v>20184846447</v>
      </c>
      <c r="E375" t="s">
        <v>729</v>
      </c>
      <c r="F375" t="s">
        <v>1</v>
      </c>
      <c r="G375" t="s">
        <v>27</v>
      </c>
      <c r="H375" t="s">
        <v>27</v>
      </c>
      <c r="I375">
        <v>8180</v>
      </c>
      <c r="J375">
        <v>1</v>
      </c>
      <c r="K375" t="s">
        <v>16</v>
      </c>
      <c r="L375">
        <v>6039</v>
      </c>
      <c r="M375" t="s">
        <v>274</v>
      </c>
      <c r="N375">
        <v>8</v>
      </c>
      <c r="O375" t="s">
        <v>125</v>
      </c>
      <c r="P375" t="s">
        <v>737</v>
      </c>
      <c r="Q375">
        <v>365.64</v>
      </c>
      <c r="R375">
        <v>13200</v>
      </c>
      <c r="S375">
        <v>132</v>
      </c>
      <c r="T375">
        <v>100</v>
      </c>
      <c r="U375">
        <v>26</v>
      </c>
      <c r="V375">
        <v>1430</v>
      </c>
      <c r="W375" t="s">
        <v>121</v>
      </c>
      <c r="X375" t="s">
        <v>1</v>
      </c>
      <c r="Y375">
        <v>522865.2</v>
      </c>
      <c r="Z375">
        <v>18876000</v>
      </c>
      <c r="AA375">
        <v>143000</v>
      </c>
      <c r="AB375">
        <v>106</v>
      </c>
      <c r="AC375" s="34">
        <v>45931</v>
      </c>
      <c r="AD375" s="34">
        <v>46053</v>
      </c>
      <c r="AF375">
        <v>1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 t="s">
        <v>122</v>
      </c>
      <c r="AT375">
        <v>7920</v>
      </c>
      <c r="AU375">
        <v>219.38</v>
      </c>
      <c r="AV375">
        <v>11325600</v>
      </c>
      <c r="AW375">
        <v>313713.40000000002</v>
      </c>
    </row>
    <row r="376" spans="1:49" hidden="1" x14ac:dyDescent="0.35">
      <c r="A376">
        <v>5810610</v>
      </c>
      <c r="B376">
        <v>1090005810601</v>
      </c>
      <c r="D376">
        <v>20184846447</v>
      </c>
      <c r="E376" t="s">
        <v>729</v>
      </c>
      <c r="F376" t="s">
        <v>1</v>
      </c>
      <c r="G376" t="s">
        <v>27</v>
      </c>
      <c r="H376" t="s">
        <v>27</v>
      </c>
      <c r="I376">
        <v>8180</v>
      </c>
      <c r="J376">
        <v>1</v>
      </c>
      <c r="K376" t="s">
        <v>16</v>
      </c>
      <c r="L376">
        <v>6039</v>
      </c>
      <c r="M376" t="s">
        <v>274</v>
      </c>
      <c r="N376">
        <v>9</v>
      </c>
      <c r="O376" t="s">
        <v>125</v>
      </c>
      <c r="P376" t="s">
        <v>738</v>
      </c>
      <c r="Q376">
        <v>163.43</v>
      </c>
      <c r="R376">
        <v>5900</v>
      </c>
      <c r="S376">
        <v>59</v>
      </c>
      <c r="T376">
        <v>100</v>
      </c>
      <c r="U376">
        <v>26</v>
      </c>
      <c r="V376">
        <v>1430</v>
      </c>
      <c r="W376" t="s">
        <v>121</v>
      </c>
      <c r="X376" t="s">
        <v>1</v>
      </c>
      <c r="Y376">
        <v>233704.9</v>
      </c>
      <c r="Z376">
        <v>8437000</v>
      </c>
      <c r="AA376">
        <v>143000</v>
      </c>
      <c r="AB376">
        <v>106</v>
      </c>
      <c r="AC376" s="34">
        <v>45931</v>
      </c>
      <c r="AD376" s="34">
        <v>46053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 t="s">
        <v>122</v>
      </c>
      <c r="AT376">
        <v>3540</v>
      </c>
      <c r="AU376">
        <v>98.06</v>
      </c>
      <c r="AV376">
        <v>5062200</v>
      </c>
      <c r="AW376">
        <v>140225.79999999999</v>
      </c>
    </row>
    <row r="377" spans="1:49" hidden="1" x14ac:dyDescent="0.35">
      <c r="A377">
        <v>5810610</v>
      </c>
      <c r="B377">
        <v>1090005810601</v>
      </c>
      <c r="D377">
        <v>20184846447</v>
      </c>
      <c r="E377" t="s">
        <v>729</v>
      </c>
      <c r="F377" t="s">
        <v>1</v>
      </c>
      <c r="G377" t="s">
        <v>27</v>
      </c>
      <c r="H377" t="s">
        <v>27</v>
      </c>
      <c r="I377">
        <v>8180</v>
      </c>
      <c r="J377">
        <v>1</v>
      </c>
      <c r="K377" t="s">
        <v>16</v>
      </c>
      <c r="L377">
        <v>6039</v>
      </c>
      <c r="M377" t="s">
        <v>274</v>
      </c>
      <c r="N377">
        <v>10</v>
      </c>
      <c r="O377" t="s">
        <v>125</v>
      </c>
      <c r="P377" t="s">
        <v>739</v>
      </c>
      <c r="Q377">
        <v>221.6</v>
      </c>
      <c r="R377">
        <v>8000</v>
      </c>
      <c r="S377">
        <v>80</v>
      </c>
      <c r="T377">
        <v>100</v>
      </c>
      <c r="U377">
        <v>26</v>
      </c>
      <c r="V377">
        <v>1430</v>
      </c>
      <c r="W377" t="s">
        <v>121</v>
      </c>
      <c r="X377" t="s">
        <v>1</v>
      </c>
      <c r="Y377">
        <v>316888</v>
      </c>
      <c r="Z377">
        <v>11440000</v>
      </c>
      <c r="AA377">
        <v>143000</v>
      </c>
      <c r="AB377">
        <v>106</v>
      </c>
      <c r="AC377" s="34">
        <v>45931</v>
      </c>
      <c r="AD377" s="34">
        <v>46053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 t="s">
        <v>122</v>
      </c>
      <c r="AT377">
        <v>4800</v>
      </c>
      <c r="AU377">
        <v>132.96</v>
      </c>
      <c r="AV377">
        <v>6864000</v>
      </c>
      <c r="AW377">
        <v>190132.8</v>
      </c>
    </row>
    <row r="378" spans="1:49" hidden="1" x14ac:dyDescent="0.35">
      <c r="A378">
        <v>5810610</v>
      </c>
      <c r="B378">
        <v>1090005810601</v>
      </c>
      <c r="D378">
        <v>20184846447</v>
      </c>
      <c r="E378" t="s">
        <v>729</v>
      </c>
      <c r="F378" t="s">
        <v>1</v>
      </c>
      <c r="G378" t="s">
        <v>27</v>
      </c>
      <c r="H378" t="s">
        <v>27</v>
      </c>
      <c r="I378">
        <v>8180</v>
      </c>
      <c r="J378">
        <v>1</v>
      </c>
      <c r="K378" t="s">
        <v>16</v>
      </c>
      <c r="L378">
        <v>6039</v>
      </c>
      <c r="M378" t="s">
        <v>274</v>
      </c>
      <c r="N378">
        <v>11</v>
      </c>
      <c r="O378" t="s">
        <v>125</v>
      </c>
      <c r="P378" t="s">
        <v>740</v>
      </c>
      <c r="Q378">
        <v>310.24</v>
      </c>
      <c r="R378">
        <v>11200</v>
      </c>
      <c r="S378">
        <v>112</v>
      </c>
      <c r="T378">
        <v>100</v>
      </c>
      <c r="U378">
        <v>26</v>
      </c>
      <c r="V378">
        <v>1430</v>
      </c>
      <c r="W378" t="s">
        <v>121</v>
      </c>
      <c r="X378" t="s">
        <v>1</v>
      </c>
      <c r="Y378">
        <v>443643.2</v>
      </c>
      <c r="Z378">
        <v>16016000</v>
      </c>
      <c r="AA378">
        <v>143000</v>
      </c>
      <c r="AB378">
        <v>106</v>
      </c>
      <c r="AC378" s="34">
        <v>45931</v>
      </c>
      <c r="AD378" s="34">
        <v>46053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 t="s">
        <v>122</v>
      </c>
      <c r="AT378">
        <v>6720</v>
      </c>
      <c r="AU378">
        <v>186.14</v>
      </c>
      <c r="AV378">
        <v>9609600</v>
      </c>
      <c r="AW378">
        <v>266180.2</v>
      </c>
    </row>
    <row r="379" spans="1:49" hidden="1" x14ac:dyDescent="0.35">
      <c r="A379">
        <v>5810610</v>
      </c>
      <c r="B379">
        <v>1090005810601</v>
      </c>
      <c r="D379">
        <v>20184846447</v>
      </c>
      <c r="E379" t="s">
        <v>729</v>
      </c>
      <c r="F379" t="s">
        <v>1</v>
      </c>
      <c r="G379" t="s">
        <v>27</v>
      </c>
      <c r="H379" t="s">
        <v>27</v>
      </c>
      <c r="I379">
        <v>8180</v>
      </c>
      <c r="J379">
        <v>1</v>
      </c>
      <c r="K379" t="s">
        <v>16</v>
      </c>
      <c r="L379">
        <v>6039</v>
      </c>
      <c r="M379" t="s">
        <v>274</v>
      </c>
      <c r="N379">
        <v>12</v>
      </c>
      <c r="O379" t="s">
        <v>125</v>
      </c>
      <c r="P379" t="s">
        <v>741</v>
      </c>
      <c r="Q379">
        <v>922.41</v>
      </c>
      <c r="R379">
        <v>33300</v>
      </c>
      <c r="S379">
        <v>333</v>
      </c>
      <c r="T379">
        <v>100</v>
      </c>
      <c r="U379">
        <v>26</v>
      </c>
      <c r="V379">
        <v>1430</v>
      </c>
      <c r="W379" t="s">
        <v>121</v>
      </c>
      <c r="X379" t="s">
        <v>1</v>
      </c>
      <c r="Y379">
        <v>1319046.3</v>
      </c>
      <c r="Z379">
        <v>47619000</v>
      </c>
      <c r="AA379">
        <v>143000</v>
      </c>
      <c r="AB379">
        <v>106</v>
      </c>
      <c r="AC379" s="34">
        <v>45931</v>
      </c>
      <c r="AD379" s="34">
        <v>46053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 t="s">
        <v>122</v>
      </c>
      <c r="AT379">
        <v>19980</v>
      </c>
      <c r="AU379">
        <v>553.45000000000005</v>
      </c>
      <c r="AV379">
        <v>28571400</v>
      </c>
      <c r="AW379">
        <v>791433.5</v>
      </c>
    </row>
    <row r="380" spans="1:49" hidden="1" x14ac:dyDescent="0.35">
      <c r="A380">
        <v>5810710</v>
      </c>
      <c r="B380">
        <v>1090005810701</v>
      </c>
      <c r="D380">
        <v>30709645710</v>
      </c>
      <c r="E380" t="s">
        <v>742</v>
      </c>
      <c r="F380" t="s">
        <v>1</v>
      </c>
      <c r="G380" t="s">
        <v>42</v>
      </c>
      <c r="H380" t="s">
        <v>42</v>
      </c>
      <c r="I380">
        <v>6450</v>
      </c>
      <c r="J380">
        <v>1</v>
      </c>
      <c r="K380" t="s">
        <v>16</v>
      </c>
      <c r="L380">
        <v>5581</v>
      </c>
      <c r="M380" t="s">
        <v>743</v>
      </c>
      <c r="N380">
        <v>1</v>
      </c>
      <c r="O380" t="s">
        <v>125</v>
      </c>
      <c r="P380" t="s">
        <v>744</v>
      </c>
      <c r="Q380">
        <v>1914.32</v>
      </c>
      <c r="R380">
        <v>58800</v>
      </c>
      <c r="S380">
        <v>168</v>
      </c>
      <c r="T380">
        <v>350</v>
      </c>
      <c r="U380">
        <v>26</v>
      </c>
      <c r="V380">
        <v>1430</v>
      </c>
      <c r="W380" t="s">
        <v>121</v>
      </c>
      <c r="X380" t="s">
        <v>1</v>
      </c>
      <c r="Y380">
        <v>2737477.6</v>
      </c>
      <c r="Z380">
        <v>84084000</v>
      </c>
      <c r="AA380">
        <v>500500</v>
      </c>
      <c r="AB380">
        <v>106</v>
      </c>
      <c r="AC380" s="34">
        <v>45930</v>
      </c>
      <c r="AD380" s="34">
        <v>46022</v>
      </c>
      <c r="AF380">
        <v>0</v>
      </c>
      <c r="AG380">
        <v>1914.32</v>
      </c>
      <c r="AH380">
        <v>0</v>
      </c>
      <c r="AI380">
        <v>2737477.6</v>
      </c>
      <c r="AJ380">
        <v>0</v>
      </c>
      <c r="AK380">
        <v>0</v>
      </c>
      <c r="AL380">
        <v>700800.1</v>
      </c>
      <c r="AM380">
        <v>0</v>
      </c>
      <c r="AN380">
        <v>3438277.7</v>
      </c>
      <c r="AO380" t="s">
        <v>122</v>
      </c>
      <c r="AP380">
        <v>15</v>
      </c>
      <c r="AQ380">
        <v>287.14999999999998</v>
      </c>
      <c r="AR380">
        <v>410624.5</v>
      </c>
      <c r="AT380">
        <v>35280</v>
      </c>
      <c r="AU380">
        <v>1148.5899999999999</v>
      </c>
      <c r="AV380">
        <v>50450400</v>
      </c>
      <c r="AW380">
        <v>1642483.7</v>
      </c>
    </row>
    <row r="381" spans="1:49" hidden="1" x14ac:dyDescent="0.35">
      <c r="A381">
        <v>5811110</v>
      </c>
      <c r="B381">
        <v>1090005811101</v>
      </c>
      <c r="D381">
        <v>20460167885</v>
      </c>
      <c r="E381" t="s">
        <v>745</v>
      </c>
      <c r="F381" t="s">
        <v>1</v>
      </c>
      <c r="G381" t="s">
        <v>746</v>
      </c>
      <c r="H381" t="s">
        <v>400</v>
      </c>
      <c r="I381">
        <v>6311</v>
      </c>
      <c r="J381">
        <v>21</v>
      </c>
      <c r="K381" t="s">
        <v>33</v>
      </c>
      <c r="L381">
        <v>6039</v>
      </c>
      <c r="M381" t="s">
        <v>274</v>
      </c>
      <c r="N381">
        <v>1</v>
      </c>
      <c r="O381" t="s">
        <v>125</v>
      </c>
      <c r="P381" t="s">
        <v>747</v>
      </c>
      <c r="Q381">
        <v>464</v>
      </c>
      <c r="R381">
        <v>16000</v>
      </c>
      <c r="S381">
        <v>80</v>
      </c>
      <c r="T381">
        <v>200</v>
      </c>
      <c r="U381">
        <v>26</v>
      </c>
      <c r="V381">
        <v>1430</v>
      </c>
      <c r="W381" t="s">
        <v>121</v>
      </c>
      <c r="X381" t="s">
        <v>1</v>
      </c>
      <c r="Y381">
        <v>663520</v>
      </c>
      <c r="Z381">
        <v>22880000</v>
      </c>
      <c r="AA381">
        <v>286000</v>
      </c>
      <c r="AB381">
        <v>106</v>
      </c>
      <c r="AC381" s="34">
        <v>45930</v>
      </c>
      <c r="AD381" s="34">
        <v>46053</v>
      </c>
      <c r="AF381">
        <v>0</v>
      </c>
      <c r="AG381">
        <v>1473.2</v>
      </c>
      <c r="AH381">
        <v>0</v>
      </c>
      <c r="AI381">
        <v>2106676</v>
      </c>
      <c r="AJ381">
        <v>0</v>
      </c>
      <c r="AK381">
        <v>0</v>
      </c>
      <c r="AL381">
        <v>528785.4</v>
      </c>
      <c r="AM381">
        <v>0</v>
      </c>
      <c r="AN381">
        <v>2635461.4</v>
      </c>
      <c r="AO381" t="s">
        <v>122</v>
      </c>
      <c r="AP381">
        <v>12</v>
      </c>
      <c r="AQ381">
        <v>176.78</v>
      </c>
      <c r="AR381">
        <v>252795.4</v>
      </c>
      <c r="AT381">
        <v>9600</v>
      </c>
      <c r="AU381">
        <v>278.39999999999998</v>
      </c>
      <c r="AV381">
        <v>13728000</v>
      </c>
      <c r="AW381">
        <v>398112</v>
      </c>
    </row>
    <row r="382" spans="1:49" hidden="1" x14ac:dyDescent="0.35">
      <c r="A382">
        <v>5811110</v>
      </c>
      <c r="B382">
        <v>1090005811101</v>
      </c>
      <c r="D382">
        <v>20460167885</v>
      </c>
      <c r="E382" t="s">
        <v>745</v>
      </c>
      <c r="F382" t="s">
        <v>1</v>
      </c>
      <c r="G382" t="s">
        <v>746</v>
      </c>
      <c r="H382" t="s">
        <v>400</v>
      </c>
      <c r="I382">
        <v>6311</v>
      </c>
      <c r="J382">
        <v>21</v>
      </c>
      <c r="K382" t="s">
        <v>33</v>
      </c>
      <c r="L382">
        <v>6039</v>
      </c>
      <c r="M382" t="s">
        <v>274</v>
      </c>
      <c r="N382">
        <v>2</v>
      </c>
      <c r="O382" t="s">
        <v>125</v>
      </c>
      <c r="P382" t="s">
        <v>748</v>
      </c>
      <c r="Q382">
        <v>580</v>
      </c>
      <c r="R382">
        <v>20000</v>
      </c>
      <c r="S382">
        <v>100</v>
      </c>
      <c r="T382">
        <v>200</v>
      </c>
      <c r="U382">
        <v>26</v>
      </c>
      <c r="V382">
        <v>1430</v>
      </c>
      <c r="W382" t="s">
        <v>121</v>
      </c>
      <c r="X382" t="s">
        <v>1</v>
      </c>
      <c r="Y382">
        <v>829400</v>
      </c>
      <c r="Z382">
        <v>28600000</v>
      </c>
      <c r="AA382">
        <v>286000</v>
      </c>
      <c r="AB382">
        <v>106</v>
      </c>
      <c r="AC382" s="34">
        <v>45930</v>
      </c>
      <c r="AD382" s="34">
        <v>46053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 t="s">
        <v>122</v>
      </c>
      <c r="AT382">
        <v>12000</v>
      </c>
      <c r="AU382">
        <v>348</v>
      </c>
      <c r="AV382">
        <v>17160000</v>
      </c>
      <c r="AW382">
        <v>497640</v>
      </c>
    </row>
    <row r="383" spans="1:49" hidden="1" x14ac:dyDescent="0.35">
      <c r="A383">
        <v>5811110</v>
      </c>
      <c r="B383">
        <v>1090005811101</v>
      </c>
      <c r="D383">
        <v>20460167885</v>
      </c>
      <c r="E383" t="s">
        <v>745</v>
      </c>
      <c r="F383" t="s">
        <v>1</v>
      </c>
      <c r="G383" t="s">
        <v>746</v>
      </c>
      <c r="H383" t="s">
        <v>400</v>
      </c>
      <c r="I383">
        <v>6311</v>
      </c>
      <c r="J383">
        <v>21</v>
      </c>
      <c r="K383" t="s">
        <v>33</v>
      </c>
      <c r="L383">
        <v>6039</v>
      </c>
      <c r="M383" t="s">
        <v>274</v>
      </c>
      <c r="N383">
        <v>3</v>
      </c>
      <c r="O383" t="s">
        <v>125</v>
      </c>
      <c r="P383" t="s">
        <v>749</v>
      </c>
      <c r="Q383">
        <v>429.2</v>
      </c>
      <c r="R383">
        <v>14800</v>
      </c>
      <c r="S383">
        <v>37</v>
      </c>
      <c r="T383">
        <v>400</v>
      </c>
      <c r="U383">
        <v>26</v>
      </c>
      <c r="V383">
        <v>1430</v>
      </c>
      <c r="W383" t="s">
        <v>121</v>
      </c>
      <c r="X383" t="s">
        <v>1</v>
      </c>
      <c r="Y383">
        <v>613756</v>
      </c>
      <c r="Z383">
        <v>21164000</v>
      </c>
      <c r="AA383">
        <v>572000</v>
      </c>
      <c r="AB383">
        <v>106</v>
      </c>
      <c r="AC383" s="34">
        <v>45930</v>
      </c>
      <c r="AD383" s="34">
        <v>46053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 t="s">
        <v>122</v>
      </c>
      <c r="AT383">
        <v>8880</v>
      </c>
      <c r="AU383">
        <v>257.52</v>
      </c>
      <c r="AV383">
        <v>12698400</v>
      </c>
      <c r="AW383">
        <v>368253.6</v>
      </c>
    </row>
    <row r="384" spans="1:49" hidden="1" x14ac:dyDescent="0.35">
      <c r="A384">
        <v>5811210</v>
      </c>
      <c r="B384">
        <v>1090005811201</v>
      </c>
      <c r="D384">
        <v>20460167885</v>
      </c>
      <c r="E384" t="s">
        <v>745</v>
      </c>
      <c r="F384" t="s">
        <v>1</v>
      </c>
      <c r="G384" t="s">
        <v>273</v>
      </c>
      <c r="H384" t="s">
        <v>19</v>
      </c>
      <c r="I384">
        <v>8185</v>
      </c>
      <c r="J384">
        <v>1</v>
      </c>
      <c r="K384" t="s">
        <v>16</v>
      </c>
      <c r="L384">
        <v>6039</v>
      </c>
      <c r="M384" t="s">
        <v>274</v>
      </c>
      <c r="N384">
        <v>1</v>
      </c>
      <c r="O384" t="s">
        <v>125</v>
      </c>
      <c r="P384" t="s">
        <v>750</v>
      </c>
      <c r="Q384">
        <v>1450</v>
      </c>
      <c r="R384">
        <v>50000</v>
      </c>
      <c r="S384">
        <v>200</v>
      </c>
      <c r="T384">
        <v>250</v>
      </c>
      <c r="U384">
        <v>26</v>
      </c>
      <c r="V384">
        <v>1430</v>
      </c>
      <c r="W384" t="s">
        <v>121</v>
      </c>
      <c r="X384" t="s">
        <v>1</v>
      </c>
      <c r="Y384">
        <v>2073500</v>
      </c>
      <c r="Z384">
        <v>71500000</v>
      </c>
      <c r="AA384">
        <v>357500</v>
      </c>
      <c r="AB384">
        <v>106</v>
      </c>
      <c r="AC384" s="34">
        <v>45930</v>
      </c>
      <c r="AD384" s="34">
        <v>46053</v>
      </c>
      <c r="AF384">
        <v>0</v>
      </c>
      <c r="AG384">
        <v>3497.4</v>
      </c>
      <c r="AH384">
        <v>0</v>
      </c>
      <c r="AI384">
        <v>5001282</v>
      </c>
      <c r="AJ384">
        <v>0</v>
      </c>
      <c r="AK384">
        <v>0</v>
      </c>
      <c r="AL384">
        <v>1505375.3</v>
      </c>
      <c r="AM384">
        <v>0</v>
      </c>
      <c r="AN384">
        <v>6506657.2999999998</v>
      </c>
      <c r="AO384" t="s">
        <v>122</v>
      </c>
      <c r="AP384">
        <v>12</v>
      </c>
      <c r="AQ384">
        <v>419.69</v>
      </c>
      <c r="AR384">
        <v>600156.69999999995</v>
      </c>
      <c r="AT384">
        <v>30000</v>
      </c>
      <c r="AU384">
        <v>870</v>
      </c>
      <c r="AV384">
        <v>42900000</v>
      </c>
      <c r="AW384">
        <v>1244100</v>
      </c>
    </row>
    <row r="385" spans="1:49" hidden="1" x14ac:dyDescent="0.35">
      <c r="A385">
        <v>5811210</v>
      </c>
      <c r="B385">
        <v>1090005811201</v>
      </c>
      <c r="D385">
        <v>20460167885</v>
      </c>
      <c r="E385" t="s">
        <v>745</v>
      </c>
      <c r="F385" t="s">
        <v>1</v>
      </c>
      <c r="G385" t="s">
        <v>273</v>
      </c>
      <c r="H385" t="s">
        <v>19</v>
      </c>
      <c r="I385">
        <v>8185</v>
      </c>
      <c r="J385">
        <v>1</v>
      </c>
      <c r="K385" t="s">
        <v>16</v>
      </c>
      <c r="L385">
        <v>6039</v>
      </c>
      <c r="M385" t="s">
        <v>274</v>
      </c>
      <c r="N385">
        <v>2</v>
      </c>
      <c r="O385" t="s">
        <v>125</v>
      </c>
      <c r="P385" t="s">
        <v>751</v>
      </c>
      <c r="Q385">
        <v>928</v>
      </c>
      <c r="R385">
        <v>32000</v>
      </c>
      <c r="S385">
        <v>160</v>
      </c>
      <c r="T385">
        <v>200</v>
      </c>
      <c r="U385">
        <v>26</v>
      </c>
      <c r="V385">
        <v>1430</v>
      </c>
      <c r="W385" t="s">
        <v>121</v>
      </c>
      <c r="X385" t="s">
        <v>1</v>
      </c>
      <c r="Y385">
        <v>1327040</v>
      </c>
      <c r="Z385">
        <v>45760000</v>
      </c>
      <c r="AA385">
        <v>286000</v>
      </c>
      <c r="AB385">
        <v>106</v>
      </c>
      <c r="AC385" s="34">
        <v>45930</v>
      </c>
      <c r="AD385" s="34">
        <v>46053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 t="s">
        <v>122</v>
      </c>
      <c r="AT385">
        <v>19200</v>
      </c>
      <c r="AU385">
        <v>556.79999999999995</v>
      </c>
      <c r="AV385">
        <v>27456000</v>
      </c>
      <c r="AW385">
        <v>796224</v>
      </c>
    </row>
    <row r="386" spans="1:49" hidden="1" x14ac:dyDescent="0.35">
      <c r="A386">
        <v>5811210</v>
      </c>
      <c r="B386">
        <v>1090005811201</v>
      </c>
      <c r="D386">
        <v>20460167885</v>
      </c>
      <c r="E386" t="s">
        <v>745</v>
      </c>
      <c r="F386" t="s">
        <v>1</v>
      </c>
      <c r="G386" t="s">
        <v>27</v>
      </c>
      <c r="H386" t="s">
        <v>27</v>
      </c>
      <c r="I386">
        <v>8180</v>
      </c>
      <c r="J386">
        <v>1</v>
      </c>
      <c r="K386" t="s">
        <v>16</v>
      </c>
      <c r="L386">
        <v>6039</v>
      </c>
      <c r="M386" t="s">
        <v>274</v>
      </c>
      <c r="N386">
        <v>3</v>
      </c>
      <c r="O386" t="s">
        <v>125</v>
      </c>
      <c r="P386" t="s">
        <v>752</v>
      </c>
      <c r="Q386">
        <v>1119.4000000000001</v>
      </c>
      <c r="R386">
        <v>38600</v>
      </c>
      <c r="S386">
        <v>193</v>
      </c>
      <c r="T386">
        <v>200</v>
      </c>
      <c r="U386">
        <v>26</v>
      </c>
      <c r="V386">
        <v>1430</v>
      </c>
      <c r="W386" t="s">
        <v>121</v>
      </c>
      <c r="X386" t="s">
        <v>1</v>
      </c>
      <c r="Y386">
        <v>1600742</v>
      </c>
      <c r="Z386">
        <v>55198000</v>
      </c>
      <c r="AA386">
        <v>286000</v>
      </c>
      <c r="AB386">
        <v>106</v>
      </c>
      <c r="AC386" s="34">
        <v>45930</v>
      </c>
      <c r="AD386" s="34">
        <v>46053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 t="s">
        <v>122</v>
      </c>
      <c r="AT386">
        <v>23160</v>
      </c>
      <c r="AU386">
        <v>671.64</v>
      </c>
      <c r="AV386">
        <v>33118800</v>
      </c>
      <c r="AW386">
        <v>960445.2</v>
      </c>
    </row>
    <row r="387" spans="1:49" hidden="1" x14ac:dyDescent="0.35">
      <c r="A387">
        <v>5811310</v>
      </c>
      <c r="B387">
        <v>1170005811301</v>
      </c>
      <c r="D387">
        <v>20163705894</v>
      </c>
      <c r="E387" t="s">
        <v>753</v>
      </c>
      <c r="F387" t="s">
        <v>1</v>
      </c>
      <c r="G387" t="s">
        <v>754</v>
      </c>
      <c r="H387" t="s">
        <v>61</v>
      </c>
      <c r="I387">
        <v>6100</v>
      </c>
      <c r="J387">
        <v>12</v>
      </c>
      <c r="K387" t="s">
        <v>34</v>
      </c>
      <c r="L387">
        <v>9480</v>
      </c>
      <c r="M387" t="s">
        <v>755</v>
      </c>
      <c r="N387">
        <v>1</v>
      </c>
      <c r="O387" t="s">
        <v>119</v>
      </c>
      <c r="P387" t="s">
        <v>756</v>
      </c>
      <c r="Q387">
        <v>320.25</v>
      </c>
      <c r="R387">
        <v>10000</v>
      </c>
      <c r="S387">
        <v>25</v>
      </c>
      <c r="T387">
        <v>400</v>
      </c>
      <c r="U387">
        <v>26</v>
      </c>
      <c r="V387">
        <v>1430</v>
      </c>
      <c r="W387" t="s">
        <v>121</v>
      </c>
      <c r="X387" t="s">
        <v>1</v>
      </c>
      <c r="Y387">
        <v>457957.5</v>
      </c>
      <c r="Z387">
        <v>14300000</v>
      </c>
      <c r="AA387">
        <v>572000</v>
      </c>
      <c r="AB387">
        <v>106</v>
      </c>
      <c r="AC387" s="34">
        <v>45943</v>
      </c>
      <c r="AD387" s="34">
        <v>46142</v>
      </c>
      <c r="AF387">
        <v>0</v>
      </c>
      <c r="AG387">
        <v>320.25</v>
      </c>
      <c r="AH387">
        <v>0</v>
      </c>
      <c r="AI387">
        <v>457957.5</v>
      </c>
      <c r="AJ387">
        <v>0</v>
      </c>
      <c r="AK387">
        <v>0</v>
      </c>
      <c r="AL387">
        <v>117231.4</v>
      </c>
      <c r="AM387">
        <v>0</v>
      </c>
      <c r="AN387">
        <v>575188.9</v>
      </c>
      <c r="AO387" t="s">
        <v>122</v>
      </c>
      <c r="AP387">
        <v>15.000999999999999</v>
      </c>
      <c r="AQ387">
        <v>48.04</v>
      </c>
      <c r="AR387">
        <v>68697.2</v>
      </c>
      <c r="AT387">
        <v>6000</v>
      </c>
      <c r="AU387">
        <v>192.15</v>
      </c>
      <c r="AV387">
        <v>8580000</v>
      </c>
      <c r="AW387">
        <v>274774.5</v>
      </c>
    </row>
    <row r="388" spans="1:49" hidden="1" x14ac:dyDescent="0.35">
      <c r="A388">
        <v>5811410</v>
      </c>
      <c r="B388">
        <v>1170005811401</v>
      </c>
      <c r="D388">
        <v>27059199043</v>
      </c>
      <c r="E388" t="s">
        <v>688</v>
      </c>
      <c r="F388" t="s">
        <v>1</v>
      </c>
      <c r="G388" t="s">
        <v>226</v>
      </c>
      <c r="H388" t="s">
        <v>63</v>
      </c>
      <c r="I388">
        <v>2535</v>
      </c>
      <c r="J388">
        <v>12</v>
      </c>
      <c r="K388" t="s">
        <v>34</v>
      </c>
      <c r="L388">
        <v>83429</v>
      </c>
      <c r="M388" t="s">
        <v>140</v>
      </c>
      <c r="N388">
        <v>1</v>
      </c>
      <c r="O388" t="s">
        <v>119</v>
      </c>
      <c r="P388" t="s">
        <v>757</v>
      </c>
      <c r="Q388">
        <v>5050663.41</v>
      </c>
      <c r="R388">
        <v>184998060</v>
      </c>
      <c r="S388">
        <v>171</v>
      </c>
      <c r="T388">
        <v>1081860</v>
      </c>
      <c r="U388">
        <v>1</v>
      </c>
      <c r="V388">
        <v>1</v>
      </c>
      <c r="W388" t="s">
        <v>127</v>
      </c>
      <c r="X388">
        <v>54093</v>
      </c>
      <c r="Y388">
        <v>5050663.41</v>
      </c>
      <c r="Z388">
        <v>184998060</v>
      </c>
      <c r="AA388">
        <v>1081860</v>
      </c>
      <c r="AB388">
        <v>212</v>
      </c>
      <c r="AC388" s="34">
        <v>45941</v>
      </c>
      <c r="AD388" s="34">
        <v>46112</v>
      </c>
      <c r="AF388">
        <v>0</v>
      </c>
      <c r="AG388">
        <v>5050663.41</v>
      </c>
      <c r="AH388">
        <v>0</v>
      </c>
      <c r="AI388">
        <v>5050663.41</v>
      </c>
      <c r="AJ388">
        <v>0</v>
      </c>
      <c r="AK388">
        <v>0</v>
      </c>
      <c r="AL388">
        <v>1292969.8400000001</v>
      </c>
      <c r="AM388">
        <v>0</v>
      </c>
      <c r="AN388">
        <v>6343633.25</v>
      </c>
      <c r="AO388" t="s">
        <v>122</v>
      </c>
      <c r="AP388">
        <v>15</v>
      </c>
      <c r="AQ388">
        <v>757599.51</v>
      </c>
      <c r="AR388">
        <v>757599.51</v>
      </c>
      <c r="AT388">
        <v>110998836</v>
      </c>
      <c r="AU388">
        <v>3030398.05</v>
      </c>
      <c r="AV388">
        <v>110998836</v>
      </c>
      <c r="AW388">
        <v>3030398.05</v>
      </c>
    </row>
    <row r="389" spans="1:49" hidden="1" x14ac:dyDescent="0.35">
      <c r="A389">
        <v>5811510</v>
      </c>
      <c r="B389">
        <v>1170005811501</v>
      </c>
      <c r="D389">
        <v>20126196793</v>
      </c>
      <c r="E389" t="s">
        <v>255</v>
      </c>
      <c r="F389" t="s">
        <v>1</v>
      </c>
      <c r="G389" t="s">
        <v>256</v>
      </c>
      <c r="H389" t="s">
        <v>71</v>
      </c>
      <c r="I389">
        <v>2520</v>
      </c>
      <c r="J389">
        <v>12</v>
      </c>
      <c r="K389" t="s">
        <v>34</v>
      </c>
      <c r="L389">
        <v>18076</v>
      </c>
      <c r="M389" t="s">
        <v>257</v>
      </c>
      <c r="N389">
        <v>1</v>
      </c>
      <c r="O389" t="s">
        <v>119</v>
      </c>
      <c r="P389" t="s">
        <v>758</v>
      </c>
      <c r="Q389">
        <v>490333</v>
      </c>
      <c r="R389">
        <v>20685000</v>
      </c>
      <c r="S389">
        <v>15</v>
      </c>
      <c r="T389">
        <v>1379000</v>
      </c>
      <c r="U389">
        <v>1</v>
      </c>
      <c r="V389">
        <v>1</v>
      </c>
      <c r="W389" t="s">
        <v>127</v>
      </c>
      <c r="X389">
        <v>19700</v>
      </c>
      <c r="Y389">
        <v>490333</v>
      </c>
      <c r="Z389">
        <v>20685000</v>
      </c>
      <c r="AA389">
        <v>1379000</v>
      </c>
      <c r="AB389">
        <v>105</v>
      </c>
      <c r="AC389" s="34">
        <v>45944</v>
      </c>
      <c r="AD389" s="34">
        <v>46142</v>
      </c>
      <c r="AF389">
        <v>0</v>
      </c>
      <c r="AG389">
        <v>490333</v>
      </c>
      <c r="AH389">
        <v>0</v>
      </c>
      <c r="AI389">
        <v>490333</v>
      </c>
      <c r="AJ389">
        <v>0</v>
      </c>
      <c r="AK389">
        <v>0</v>
      </c>
      <c r="AL389">
        <v>125525.26</v>
      </c>
      <c r="AM389">
        <v>0</v>
      </c>
      <c r="AN389">
        <v>615858.26</v>
      </c>
      <c r="AO389" t="s">
        <v>122</v>
      </c>
      <c r="AP389">
        <v>10</v>
      </c>
      <c r="AQ389">
        <v>49033.3</v>
      </c>
      <c r="AR389">
        <v>49033.3</v>
      </c>
      <c r="AT389">
        <v>12411000</v>
      </c>
      <c r="AU389">
        <v>294199.8</v>
      </c>
      <c r="AV389">
        <v>12411000</v>
      </c>
      <c r="AW389">
        <v>294199.8</v>
      </c>
    </row>
    <row r="390" spans="1:49" hidden="1" x14ac:dyDescent="0.35">
      <c r="A390">
        <v>5811610</v>
      </c>
      <c r="B390">
        <v>1170005811601</v>
      </c>
      <c r="D390">
        <v>20412381875</v>
      </c>
      <c r="E390" t="s">
        <v>759</v>
      </c>
      <c r="F390" t="s">
        <v>1</v>
      </c>
      <c r="G390" t="s">
        <v>760</v>
      </c>
      <c r="H390" t="s">
        <v>760</v>
      </c>
      <c r="I390">
        <v>2900</v>
      </c>
      <c r="J390">
        <v>1</v>
      </c>
      <c r="K390" t="s">
        <v>16</v>
      </c>
      <c r="L390">
        <v>8105</v>
      </c>
      <c r="M390" t="s">
        <v>199</v>
      </c>
      <c r="N390">
        <v>1</v>
      </c>
      <c r="O390" t="s">
        <v>125</v>
      </c>
      <c r="P390" t="s">
        <v>761</v>
      </c>
      <c r="Q390">
        <v>209856.6</v>
      </c>
      <c r="R390">
        <v>8631000</v>
      </c>
      <c r="S390">
        <v>14</v>
      </c>
      <c r="T390">
        <v>616500</v>
      </c>
      <c r="U390">
        <v>1</v>
      </c>
      <c r="V390">
        <v>1</v>
      </c>
      <c r="W390" t="s">
        <v>127</v>
      </c>
      <c r="X390">
        <v>24660</v>
      </c>
      <c r="Y390">
        <v>209856.6</v>
      </c>
      <c r="Z390">
        <v>8631000</v>
      </c>
      <c r="AA390">
        <v>616500</v>
      </c>
      <c r="AB390">
        <v>105</v>
      </c>
      <c r="AC390" s="34">
        <v>45946</v>
      </c>
      <c r="AD390" s="34">
        <v>46022</v>
      </c>
      <c r="AF390">
        <v>0</v>
      </c>
      <c r="AG390">
        <v>209856.6</v>
      </c>
      <c r="AH390">
        <v>0</v>
      </c>
      <c r="AI390">
        <v>209856.6</v>
      </c>
      <c r="AJ390">
        <v>0</v>
      </c>
      <c r="AK390">
        <v>0</v>
      </c>
      <c r="AL390">
        <v>52674.02</v>
      </c>
      <c r="AM390">
        <v>0</v>
      </c>
      <c r="AN390">
        <v>262530.62</v>
      </c>
      <c r="AO390" t="s">
        <v>122</v>
      </c>
      <c r="AP390">
        <v>10</v>
      </c>
      <c r="AQ390">
        <v>20985.66</v>
      </c>
      <c r="AR390">
        <v>20985.66</v>
      </c>
      <c r="AT390">
        <v>5178600</v>
      </c>
      <c r="AU390">
        <v>125913.96</v>
      </c>
      <c r="AV390">
        <v>5178600</v>
      </c>
      <c r="AW390">
        <v>125913.96</v>
      </c>
    </row>
    <row r="391" spans="1:49" hidden="1" x14ac:dyDescent="0.35">
      <c r="A391">
        <v>5811710</v>
      </c>
      <c r="B391">
        <v>5010005811701</v>
      </c>
      <c r="D391">
        <v>20114778444</v>
      </c>
      <c r="E391" t="s">
        <v>762</v>
      </c>
      <c r="F391" t="s">
        <v>1</v>
      </c>
      <c r="G391" t="s">
        <v>17</v>
      </c>
      <c r="H391" t="s">
        <v>17</v>
      </c>
      <c r="I391">
        <v>6500</v>
      </c>
      <c r="J391">
        <v>1</v>
      </c>
      <c r="K391" t="s">
        <v>16</v>
      </c>
      <c r="L391">
        <v>4525</v>
      </c>
      <c r="M391" t="s">
        <v>601</v>
      </c>
      <c r="N391">
        <v>1</v>
      </c>
      <c r="O391" t="s">
        <v>125</v>
      </c>
      <c r="P391" t="s">
        <v>763</v>
      </c>
      <c r="Q391">
        <v>2346.84</v>
      </c>
      <c r="R391">
        <v>80400</v>
      </c>
      <c r="S391">
        <v>134</v>
      </c>
      <c r="T391">
        <v>600</v>
      </c>
      <c r="U391">
        <v>26</v>
      </c>
      <c r="V391">
        <v>1420</v>
      </c>
      <c r="W391" t="s">
        <v>121</v>
      </c>
      <c r="X391" t="s">
        <v>1</v>
      </c>
      <c r="Y391">
        <v>3332512.8</v>
      </c>
      <c r="Z391">
        <v>114168000</v>
      </c>
      <c r="AA391">
        <v>852000</v>
      </c>
      <c r="AB391">
        <v>106</v>
      </c>
      <c r="AC391" s="34">
        <v>45924</v>
      </c>
      <c r="AD391" s="34">
        <v>46022</v>
      </c>
      <c r="AF391">
        <v>0</v>
      </c>
      <c r="AG391">
        <v>2346.84</v>
      </c>
      <c r="AH391">
        <v>0</v>
      </c>
      <c r="AI391">
        <v>3332512.8</v>
      </c>
      <c r="AJ391">
        <v>0</v>
      </c>
      <c r="AK391">
        <v>0</v>
      </c>
      <c r="AL391">
        <v>836465.2</v>
      </c>
      <c r="AM391">
        <v>0</v>
      </c>
      <c r="AN391">
        <v>4168978</v>
      </c>
      <c r="AO391" t="s">
        <v>122</v>
      </c>
      <c r="AP391">
        <v>15</v>
      </c>
      <c r="AQ391">
        <v>352.03</v>
      </c>
      <c r="AR391">
        <v>499882.6</v>
      </c>
      <c r="AT391">
        <v>48240</v>
      </c>
      <c r="AU391">
        <v>1408.1</v>
      </c>
      <c r="AV391">
        <v>68500800</v>
      </c>
      <c r="AW391">
        <v>1999502</v>
      </c>
    </row>
    <row r="392" spans="1:49" hidden="1" x14ac:dyDescent="0.35">
      <c r="A392">
        <v>5811810</v>
      </c>
      <c r="B392">
        <v>1250005811801</v>
      </c>
      <c r="D392">
        <v>30716827778</v>
      </c>
      <c r="E392" t="s">
        <v>764</v>
      </c>
      <c r="F392" t="s">
        <v>1</v>
      </c>
      <c r="G392" t="s">
        <v>174</v>
      </c>
      <c r="H392" t="s">
        <v>51</v>
      </c>
      <c r="I392">
        <v>5929</v>
      </c>
      <c r="J392">
        <v>3</v>
      </c>
      <c r="K392" t="s">
        <v>32</v>
      </c>
      <c r="L392">
        <v>6435</v>
      </c>
      <c r="M392" t="s">
        <v>175</v>
      </c>
      <c r="N392">
        <v>1</v>
      </c>
      <c r="O392" t="s">
        <v>119</v>
      </c>
      <c r="P392" t="s">
        <v>765</v>
      </c>
      <c r="Q392">
        <v>1324634.3999999999</v>
      </c>
      <c r="R392">
        <v>47994000</v>
      </c>
      <c r="S392">
        <v>38</v>
      </c>
      <c r="T392">
        <v>1263000</v>
      </c>
      <c r="U392">
        <v>1</v>
      </c>
      <c r="V392">
        <v>1</v>
      </c>
      <c r="W392" t="s">
        <v>121</v>
      </c>
      <c r="X392" t="s">
        <v>1</v>
      </c>
      <c r="Y392">
        <v>1324634.3999999999</v>
      </c>
      <c r="Z392">
        <v>47994000</v>
      </c>
      <c r="AA392">
        <v>1263000</v>
      </c>
      <c r="AB392">
        <v>105</v>
      </c>
      <c r="AC392" s="34">
        <v>45942</v>
      </c>
      <c r="AD392" s="34">
        <v>46142</v>
      </c>
      <c r="AF392">
        <v>0</v>
      </c>
      <c r="AG392">
        <v>1324634.3999999999</v>
      </c>
      <c r="AH392">
        <v>0</v>
      </c>
      <c r="AI392">
        <v>1324634.3999999999</v>
      </c>
      <c r="AJ392">
        <v>0</v>
      </c>
      <c r="AK392">
        <v>0</v>
      </c>
      <c r="AL392">
        <v>345729.57</v>
      </c>
      <c r="AM392">
        <v>0</v>
      </c>
      <c r="AN392">
        <v>1670363.97</v>
      </c>
      <c r="AO392" t="s">
        <v>122</v>
      </c>
      <c r="AP392">
        <v>15</v>
      </c>
      <c r="AQ392">
        <v>198695.16</v>
      </c>
      <c r="AR392">
        <v>198695.16</v>
      </c>
      <c r="AT392">
        <v>28796400</v>
      </c>
      <c r="AU392">
        <v>794780.64</v>
      </c>
      <c r="AV392">
        <v>28796400</v>
      </c>
      <c r="AW392">
        <v>794780.64</v>
      </c>
    </row>
    <row r="393" spans="1:49" hidden="1" x14ac:dyDescent="0.35">
      <c r="A393">
        <v>5811910</v>
      </c>
      <c r="B393">
        <v>1250005811901</v>
      </c>
      <c r="D393">
        <v>23256349469</v>
      </c>
      <c r="E393" t="s">
        <v>766</v>
      </c>
      <c r="F393" t="s">
        <v>1</v>
      </c>
      <c r="G393" t="s">
        <v>457</v>
      </c>
      <c r="H393" t="s">
        <v>48</v>
      </c>
      <c r="I393">
        <v>6128</v>
      </c>
      <c r="J393">
        <v>3</v>
      </c>
      <c r="K393" t="s">
        <v>32</v>
      </c>
      <c r="L393">
        <v>4401</v>
      </c>
      <c r="M393" t="s">
        <v>132</v>
      </c>
      <c r="N393">
        <v>1</v>
      </c>
      <c r="O393" t="s">
        <v>125</v>
      </c>
      <c r="P393" t="s">
        <v>767</v>
      </c>
      <c r="Q393">
        <v>623</v>
      </c>
      <c r="R393">
        <v>14000</v>
      </c>
      <c r="S393">
        <v>35</v>
      </c>
      <c r="T393">
        <v>400</v>
      </c>
      <c r="U393">
        <v>26</v>
      </c>
      <c r="V393">
        <v>1349</v>
      </c>
      <c r="W393" t="s">
        <v>121</v>
      </c>
      <c r="X393" t="s">
        <v>1</v>
      </c>
      <c r="Y393">
        <v>840427</v>
      </c>
      <c r="Z393">
        <v>18886000</v>
      </c>
      <c r="AA393">
        <v>539600</v>
      </c>
      <c r="AB393">
        <v>214</v>
      </c>
      <c r="AC393" s="34">
        <v>45944</v>
      </c>
      <c r="AD393" s="34">
        <v>46022</v>
      </c>
      <c r="AF393">
        <v>0</v>
      </c>
      <c r="AG393">
        <v>2189.4</v>
      </c>
      <c r="AH393">
        <v>0</v>
      </c>
      <c r="AI393">
        <v>2953500.6</v>
      </c>
      <c r="AJ393">
        <v>0</v>
      </c>
      <c r="AK393">
        <v>0</v>
      </c>
      <c r="AL393">
        <v>682256.75</v>
      </c>
      <c r="AM393">
        <v>0</v>
      </c>
      <c r="AN393">
        <v>3635757.35</v>
      </c>
      <c r="AO393" t="s">
        <v>122</v>
      </c>
      <c r="AP393">
        <v>15</v>
      </c>
      <c r="AQ393">
        <v>328.41</v>
      </c>
      <c r="AR393">
        <v>443025.09</v>
      </c>
      <c r="AT393">
        <v>8400</v>
      </c>
      <c r="AU393">
        <v>373.8</v>
      </c>
      <c r="AV393">
        <v>11331600</v>
      </c>
      <c r="AW393">
        <v>504256.2</v>
      </c>
    </row>
    <row r="394" spans="1:49" hidden="1" x14ac:dyDescent="0.35">
      <c r="A394">
        <v>5811910</v>
      </c>
      <c r="B394">
        <v>1250005811901</v>
      </c>
      <c r="D394">
        <v>23256349469</v>
      </c>
      <c r="E394" t="s">
        <v>766</v>
      </c>
      <c r="F394" t="s">
        <v>1</v>
      </c>
      <c r="G394" t="s">
        <v>457</v>
      </c>
      <c r="H394" t="s">
        <v>48</v>
      </c>
      <c r="I394">
        <v>6128</v>
      </c>
      <c r="J394">
        <v>3</v>
      </c>
      <c r="K394" t="s">
        <v>32</v>
      </c>
      <c r="L394">
        <v>4401</v>
      </c>
      <c r="M394" t="s">
        <v>132</v>
      </c>
      <c r="N394">
        <v>2</v>
      </c>
      <c r="O394" t="s">
        <v>125</v>
      </c>
      <c r="P394" t="s">
        <v>768</v>
      </c>
      <c r="Q394">
        <v>1566.4</v>
      </c>
      <c r="R394">
        <v>35200</v>
      </c>
      <c r="S394">
        <v>88</v>
      </c>
      <c r="T394">
        <v>400</v>
      </c>
      <c r="U394">
        <v>26</v>
      </c>
      <c r="V394">
        <v>1349</v>
      </c>
      <c r="W394" t="s">
        <v>121</v>
      </c>
      <c r="X394" t="s">
        <v>1</v>
      </c>
      <c r="Y394">
        <v>2113073.6</v>
      </c>
      <c r="Z394">
        <v>47484800</v>
      </c>
      <c r="AA394">
        <v>539600</v>
      </c>
      <c r="AB394">
        <v>214</v>
      </c>
      <c r="AC394" s="34">
        <v>45944</v>
      </c>
      <c r="AD394" s="34">
        <v>46022</v>
      </c>
      <c r="AF394">
        <v>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 t="s">
        <v>122</v>
      </c>
      <c r="AT394">
        <v>21120</v>
      </c>
      <c r="AU394">
        <v>939.84</v>
      </c>
      <c r="AV394">
        <v>28490880</v>
      </c>
      <c r="AW394">
        <v>1267844.1599999999</v>
      </c>
    </row>
    <row r="395" spans="1:49" hidden="1" x14ac:dyDescent="0.35">
      <c r="A395">
        <v>5812010</v>
      </c>
      <c r="B395">
        <v>1090005812001</v>
      </c>
      <c r="D395">
        <v>30708003138</v>
      </c>
      <c r="E395" t="s">
        <v>769</v>
      </c>
      <c r="F395" t="s">
        <v>1</v>
      </c>
      <c r="G395" t="s">
        <v>370</v>
      </c>
      <c r="H395" t="s">
        <v>58</v>
      </c>
      <c r="I395">
        <v>6333</v>
      </c>
      <c r="J395">
        <v>21</v>
      </c>
      <c r="K395" t="s">
        <v>33</v>
      </c>
      <c r="L395">
        <v>6864</v>
      </c>
      <c r="M395" t="s">
        <v>371</v>
      </c>
      <c r="N395">
        <v>1</v>
      </c>
      <c r="O395" t="s">
        <v>125</v>
      </c>
      <c r="P395" t="s">
        <v>770</v>
      </c>
      <c r="Q395">
        <v>2479.6799999999998</v>
      </c>
      <c r="R395">
        <v>73800</v>
      </c>
      <c r="S395">
        <v>123</v>
      </c>
      <c r="T395">
        <v>600</v>
      </c>
      <c r="U395">
        <v>26</v>
      </c>
      <c r="V395">
        <v>1349</v>
      </c>
      <c r="W395" t="s">
        <v>121</v>
      </c>
      <c r="X395" t="s">
        <v>1</v>
      </c>
      <c r="Y395">
        <v>3345088.32</v>
      </c>
      <c r="Z395">
        <v>99556200</v>
      </c>
      <c r="AA395">
        <v>809400</v>
      </c>
      <c r="AB395">
        <v>106</v>
      </c>
      <c r="AC395" s="34">
        <v>45944</v>
      </c>
      <c r="AD395" s="34">
        <v>46053</v>
      </c>
      <c r="AF395">
        <v>1</v>
      </c>
      <c r="AG395">
        <v>3991.68</v>
      </c>
      <c r="AH395">
        <v>0</v>
      </c>
      <c r="AI395">
        <v>5384776.3200000003</v>
      </c>
      <c r="AJ395">
        <v>0</v>
      </c>
      <c r="AK395">
        <v>0</v>
      </c>
      <c r="AL395">
        <v>1351576.59</v>
      </c>
      <c r="AM395">
        <v>0</v>
      </c>
      <c r="AN395">
        <v>6736352.9100000001</v>
      </c>
      <c r="AO395" t="s">
        <v>122</v>
      </c>
      <c r="AP395">
        <v>15</v>
      </c>
      <c r="AQ395">
        <v>598.75</v>
      </c>
      <c r="AR395">
        <v>807713.75</v>
      </c>
      <c r="AT395">
        <v>44280</v>
      </c>
      <c r="AU395">
        <v>1487.81</v>
      </c>
      <c r="AV395">
        <v>59733720</v>
      </c>
      <c r="AW395">
        <v>2007055.69</v>
      </c>
    </row>
    <row r="396" spans="1:49" hidden="1" x14ac:dyDescent="0.35">
      <c r="A396">
        <v>5812010</v>
      </c>
      <c r="B396">
        <v>1090005812001</v>
      </c>
      <c r="D396">
        <v>30708003138</v>
      </c>
      <c r="E396" t="s">
        <v>769</v>
      </c>
      <c r="F396" t="s">
        <v>1</v>
      </c>
      <c r="G396" t="s">
        <v>370</v>
      </c>
      <c r="H396" t="s">
        <v>58</v>
      </c>
      <c r="I396">
        <v>6333</v>
      </c>
      <c r="J396">
        <v>21</v>
      </c>
      <c r="K396" t="s">
        <v>33</v>
      </c>
      <c r="L396">
        <v>6864</v>
      </c>
      <c r="M396" t="s">
        <v>371</v>
      </c>
      <c r="N396">
        <v>2</v>
      </c>
      <c r="O396" t="s">
        <v>125</v>
      </c>
      <c r="P396" t="s">
        <v>771</v>
      </c>
      <c r="Q396">
        <v>1512</v>
      </c>
      <c r="R396">
        <v>45000</v>
      </c>
      <c r="S396">
        <v>75</v>
      </c>
      <c r="T396">
        <v>600</v>
      </c>
      <c r="U396">
        <v>26</v>
      </c>
      <c r="V396">
        <v>1349</v>
      </c>
      <c r="W396" t="s">
        <v>121</v>
      </c>
      <c r="X396" t="s">
        <v>1</v>
      </c>
      <c r="Y396">
        <v>2039688</v>
      </c>
      <c r="Z396">
        <v>60705000</v>
      </c>
      <c r="AA396">
        <v>809400</v>
      </c>
      <c r="AB396">
        <v>106</v>
      </c>
      <c r="AC396" s="34">
        <v>45944</v>
      </c>
      <c r="AD396" s="34">
        <v>46053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 t="s">
        <v>122</v>
      </c>
      <c r="AT396">
        <v>27000</v>
      </c>
      <c r="AU396">
        <v>907.2</v>
      </c>
      <c r="AV396">
        <v>36423000</v>
      </c>
      <c r="AW396">
        <v>1223812.8</v>
      </c>
    </row>
    <row r="397" spans="1:49" hidden="1" x14ac:dyDescent="0.35">
      <c r="A397">
        <v>5812110</v>
      </c>
      <c r="B397">
        <v>1170005812101</v>
      </c>
      <c r="D397">
        <v>30699233559</v>
      </c>
      <c r="E397" t="s">
        <v>772</v>
      </c>
      <c r="F397" t="s">
        <v>1</v>
      </c>
      <c r="G397" t="s">
        <v>773</v>
      </c>
      <c r="H397" t="s">
        <v>17</v>
      </c>
      <c r="I397">
        <v>3060</v>
      </c>
      <c r="J397">
        <v>12</v>
      </c>
      <c r="K397" t="s">
        <v>34</v>
      </c>
      <c r="L397">
        <v>12564</v>
      </c>
      <c r="M397" t="s">
        <v>774</v>
      </c>
      <c r="N397">
        <v>1</v>
      </c>
      <c r="O397" t="s">
        <v>119</v>
      </c>
      <c r="P397" t="s">
        <v>775</v>
      </c>
      <c r="Q397">
        <v>2114757</v>
      </c>
      <c r="R397">
        <v>47310000</v>
      </c>
      <c r="S397">
        <v>157.69999999999999</v>
      </c>
      <c r="T397">
        <v>300000</v>
      </c>
      <c r="U397">
        <v>1</v>
      </c>
      <c r="V397">
        <v>1</v>
      </c>
      <c r="W397" t="s">
        <v>121</v>
      </c>
      <c r="X397" t="s">
        <v>1</v>
      </c>
      <c r="Y397">
        <v>2114757</v>
      </c>
      <c r="Z397">
        <v>47310000</v>
      </c>
      <c r="AA397">
        <v>300000</v>
      </c>
      <c r="AB397">
        <v>105</v>
      </c>
      <c r="AC397" s="34">
        <v>45937</v>
      </c>
      <c r="AD397" s="34">
        <v>46112</v>
      </c>
      <c r="AE397" t="s">
        <v>355</v>
      </c>
      <c r="AF397">
        <v>0</v>
      </c>
      <c r="AG397">
        <v>19289614.5</v>
      </c>
      <c r="AH397">
        <v>0</v>
      </c>
      <c r="AI397">
        <v>19289614.5</v>
      </c>
      <c r="AJ397">
        <v>0</v>
      </c>
      <c r="AK397">
        <v>0</v>
      </c>
      <c r="AL397">
        <v>4938141.32</v>
      </c>
      <c r="AM397">
        <v>0</v>
      </c>
      <c r="AN397">
        <v>24227755.82</v>
      </c>
      <c r="AO397" t="s">
        <v>122</v>
      </c>
      <c r="AP397">
        <v>10</v>
      </c>
      <c r="AQ397">
        <v>1928961.45</v>
      </c>
      <c r="AR397">
        <v>1928961.45</v>
      </c>
      <c r="AT397">
        <v>28386000</v>
      </c>
      <c r="AU397">
        <v>1268854.2</v>
      </c>
      <c r="AV397">
        <v>28386000</v>
      </c>
      <c r="AW397">
        <v>1268854.2</v>
      </c>
    </row>
    <row r="398" spans="1:49" hidden="1" x14ac:dyDescent="0.35">
      <c r="A398">
        <v>5812110</v>
      </c>
      <c r="B398">
        <v>1170005812101</v>
      </c>
      <c r="D398">
        <v>30699233559</v>
      </c>
      <c r="E398" t="s">
        <v>772</v>
      </c>
      <c r="F398" t="s">
        <v>1</v>
      </c>
      <c r="G398" t="s">
        <v>773</v>
      </c>
      <c r="H398" t="s">
        <v>17</v>
      </c>
      <c r="I398">
        <v>3060</v>
      </c>
      <c r="J398">
        <v>12</v>
      </c>
      <c r="K398" t="s">
        <v>34</v>
      </c>
      <c r="L398">
        <v>12564</v>
      </c>
      <c r="M398" t="s">
        <v>774</v>
      </c>
      <c r="N398">
        <v>2</v>
      </c>
      <c r="O398" t="s">
        <v>119</v>
      </c>
      <c r="P398" t="s">
        <v>776</v>
      </c>
      <c r="Q398">
        <v>8441595</v>
      </c>
      <c r="R398">
        <v>188850000</v>
      </c>
      <c r="S398">
        <v>629.5</v>
      </c>
      <c r="T398">
        <v>300000</v>
      </c>
      <c r="U398">
        <v>1</v>
      </c>
      <c r="V398">
        <v>1</v>
      </c>
      <c r="W398" t="s">
        <v>121</v>
      </c>
      <c r="X398" t="s">
        <v>1</v>
      </c>
      <c r="Y398">
        <v>8441595</v>
      </c>
      <c r="Z398">
        <v>188850000</v>
      </c>
      <c r="AA398">
        <v>300000</v>
      </c>
      <c r="AB398">
        <v>105</v>
      </c>
      <c r="AC398" s="34">
        <v>45937</v>
      </c>
      <c r="AD398" s="34">
        <v>46112</v>
      </c>
      <c r="AE398" t="s">
        <v>355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 t="s">
        <v>122</v>
      </c>
      <c r="AT398">
        <v>113310000</v>
      </c>
      <c r="AU398">
        <v>5064957</v>
      </c>
      <c r="AV398">
        <v>113310000</v>
      </c>
      <c r="AW398">
        <v>5064957</v>
      </c>
    </row>
    <row r="399" spans="1:49" hidden="1" x14ac:dyDescent="0.35">
      <c r="A399">
        <v>5812110</v>
      </c>
      <c r="B399">
        <v>1170005812101</v>
      </c>
      <c r="D399">
        <v>30699233559</v>
      </c>
      <c r="E399" t="s">
        <v>772</v>
      </c>
      <c r="F399" t="s">
        <v>1</v>
      </c>
      <c r="G399" t="s">
        <v>773</v>
      </c>
      <c r="H399" t="s">
        <v>17</v>
      </c>
      <c r="I399">
        <v>3060</v>
      </c>
      <c r="J399">
        <v>12</v>
      </c>
      <c r="K399" t="s">
        <v>34</v>
      </c>
      <c r="L399">
        <v>12564</v>
      </c>
      <c r="M399" t="s">
        <v>774</v>
      </c>
      <c r="N399">
        <v>3</v>
      </c>
      <c r="O399" t="s">
        <v>119</v>
      </c>
      <c r="P399" t="s">
        <v>777</v>
      </c>
      <c r="Q399">
        <v>2686023</v>
      </c>
      <c r="R399">
        <v>60090000</v>
      </c>
      <c r="S399">
        <v>200.3</v>
      </c>
      <c r="T399">
        <v>300000</v>
      </c>
      <c r="U399">
        <v>1</v>
      </c>
      <c r="V399">
        <v>1</v>
      </c>
      <c r="W399" t="s">
        <v>121</v>
      </c>
      <c r="X399" t="s">
        <v>1</v>
      </c>
      <c r="Y399">
        <v>2686023</v>
      </c>
      <c r="Z399">
        <v>60090000</v>
      </c>
      <c r="AA399">
        <v>300000</v>
      </c>
      <c r="AB399">
        <v>105</v>
      </c>
      <c r="AC399" s="34">
        <v>45937</v>
      </c>
      <c r="AD399" s="34">
        <v>46112</v>
      </c>
      <c r="AE399" t="s">
        <v>355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 t="s">
        <v>122</v>
      </c>
      <c r="AT399">
        <v>36054000</v>
      </c>
      <c r="AU399">
        <v>1611613.8</v>
      </c>
      <c r="AV399">
        <v>36054000</v>
      </c>
      <c r="AW399">
        <v>1611613.8</v>
      </c>
    </row>
    <row r="400" spans="1:49" hidden="1" x14ac:dyDescent="0.35">
      <c r="A400">
        <v>5812110</v>
      </c>
      <c r="B400">
        <v>1170005812101</v>
      </c>
      <c r="D400">
        <v>30699233559</v>
      </c>
      <c r="E400" t="s">
        <v>772</v>
      </c>
      <c r="F400" t="s">
        <v>1</v>
      </c>
      <c r="G400" t="s">
        <v>773</v>
      </c>
      <c r="H400" t="s">
        <v>17</v>
      </c>
      <c r="I400">
        <v>3060</v>
      </c>
      <c r="J400">
        <v>12</v>
      </c>
      <c r="K400" t="s">
        <v>34</v>
      </c>
      <c r="L400">
        <v>12564</v>
      </c>
      <c r="M400" t="s">
        <v>774</v>
      </c>
      <c r="N400">
        <v>4</v>
      </c>
      <c r="O400" t="s">
        <v>119</v>
      </c>
      <c r="P400" t="s">
        <v>778</v>
      </c>
      <c r="Q400">
        <v>3160737</v>
      </c>
      <c r="R400">
        <v>70710000</v>
      </c>
      <c r="S400">
        <v>235.7</v>
      </c>
      <c r="T400">
        <v>300000</v>
      </c>
      <c r="U400">
        <v>1</v>
      </c>
      <c r="V400">
        <v>1</v>
      </c>
      <c r="W400" t="s">
        <v>121</v>
      </c>
      <c r="X400" t="s">
        <v>1</v>
      </c>
      <c r="Y400">
        <v>3160737</v>
      </c>
      <c r="Z400">
        <v>70710000</v>
      </c>
      <c r="AA400">
        <v>300000</v>
      </c>
      <c r="AB400">
        <v>105</v>
      </c>
      <c r="AC400" s="34">
        <v>45937</v>
      </c>
      <c r="AD400" s="34">
        <v>46112</v>
      </c>
      <c r="AE400" t="s">
        <v>355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 t="s">
        <v>122</v>
      </c>
      <c r="AT400">
        <v>42426000</v>
      </c>
      <c r="AU400">
        <v>1896442.2</v>
      </c>
      <c r="AV400">
        <v>42426000</v>
      </c>
      <c r="AW400">
        <v>1896442.2</v>
      </c>
    </row>
    <row r="401" spans="1:49" hidden="1" x14ac:dyDescent="0.35">
      <c r="A401">
        <v>5812110</v>
      </c>
      <c r="B401">
        <v>1170005812101</v>
      </c>
      <c r="D401">
        <v>30699233559</v>
      </c>
      <c r="E401" t="s">
        <v>772</v>
      </c>
      <c r="F401" t="s">
        <v>1</v>
      </c>
      <c r="G401" t="s">
        <v>773</v>
      </c>
      <c r="H401" t="s">
        <v>17</v>
      </c>
      <c r="I401">
        <v>3060</v>
      </c>
      <c r="J401">
        <v>12</v>
      </c>
      <c r="K401" t="s">
        <v>34</v>
      </c>
      <c r="L401">
        <v>12564</v>
      </c>
      <c r="M401" t="s">
        <v>774</v>
      </c>
      <c r="N401">
        <v>5</v>
      </c>
      <c r="O401" t="s">
        <v>119</v>
      </c>
      <c r="P401" t="s">
        <v>779</v>
      </c>
      <c r="Q401">
        <v>2886502.5</v>
      </c>
      <c r="R401">
        <v>64575000</v>
      </c>
      <c r="S401">
        <v>184.5</v>
      </c>
      <c r="T401">
        <v>350000</v>
      </c>
      <c r="U401">
        <v>1</v>
      </c>
      <c r="V401">
        <v>1</v>
      </c>
      <c r="W401" t="s">
        <v>121</v>
      </c>
      <c r="X401" t="s">
        <v>1</v>
      </c>
      <c r="Y401">
        <v>2886502.5</v>
      </c>
      <c r="Z401">
        <v>64575000</v>
      </c>
      <c r="AA401">
        <v>350000</v>
      </c>
      <c r="AB401">
        <v>105</v>
      </c>
      <c r="AC401" s="34">
        <v>45937</v>
      </c>
      <c r="AD401" s="34">
        <v>46112</v>
      </c>
      <c r="AE401" t="s">
        <v>355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 t="s">
        <v>122</v>
      </c>
      <c r="AT401">
        <v>38745000</v>
      </c>
      <c r="AU401">
        <v>1731901.5</v>
      </c>
      <c r="AV401">
        <v>38745000</v>
      </c>
      <c r="AW401">
        <v>1731901.5</v>
      </c>
    </row>
    <row r="402" spans="1:49" hidden="1" x14ac:dyDescent="0.35">
      <c r="A402">
        <v>5812210</v>
      </c>
      <c r="B402">
        <v>1250005812201</v>
      </c>
      <c r="D402">
        <v>23101701239</v>
      </c>
      <c r="E402" t="s">
        <v>780</v>
      </c>
      <c r="F402" t="s">
        <v>1</v>
      </c>
      <c r="G402" t="s">
        <v>432</v>
      </c>
      <c r="H402" t="s">
        <v>48</v>
      </c>
      <c r="I402">
        <v>6128</v>
      </c>
      <c r="J402">
        <v>3</v>
      </c>
      <c r="K402" t="s">
        <v>32</v>
      </c>
      <c r="L402">
        <v>4401</v>
      </c>
      <c r="M402" t="s">
        <v>132</v>
      </c>
      <c r="N402">
        <v>1</v>
      </c>
      <c r="O402" t="s">
        <v>125</v>
      </c>
      <c r="P402" t="s">
        <v>781</v>
      </c>
      <c r="Q402">
        <v>1201.5</v>
      </c>
      <c r="R402">
        <v>27000</v>
      </c>
      <c r="S402">
        <v>60</v>
      </c>
      <c r="T402">
        <v>450</v>
      </c>
      <c r="U402">
        <v>26</v>
      </c>
      <c r="V402">
        <v>1349</v>
      </c>
      <c r="W402" t="s">
        <v>121</v>
      </c>
      <c r="X402" t="s">
        <v>1</v>
      </c>
      <c r="Y402">
        <v>1620823.5</v>
      </c>
      <c r="Z402">
        <v>36423000</v>
      </c>
      <c r="AA402">
        <v>607050</v>
      </c>
      <c r="AB402">
        <v>214</v>
      </c>
      <c r="AC402" s="34">
        <v>45936</v>
      </c>
      <c r="AD402" s="34">
        <v>46022</v>
      </c>
      <c r="AF402">
        <v>0</v>
      </c>
      <c r="AG402">
        <v>3664.59</v>
      </c>
      <c r="AH402">
        <v>0</v>
      </c>
      <c r="AI402">
        <v>4943531.91</v>
      </c>
      <c r="AJ402">
        <v>0</v>
      </c>
      <c r="AK402">
        <v>0</v>
      </c>
      <c r="AL402">
        <v>1290264.54</v>
      </c>
      <c r="AM402">
        <v>0</v>
      </c>
      <c r="AN402">
        <v>6233796.4500000002</v>
      </c>
      <c r="AO402" t="s">
        <v>122</v>
      </c>
      <c r="AP402">
        <v>15</v>
      </c>
      <c r="AQ402">
        <v>549.69000000000005</v>
      </c>
      <c r="AR402">
        <v>741531.81</v>
      </c>
      <c r="AT402">
        <v>16200</v>
      </c>
      <c r="AU402">
        <v>720.9</v>
      </c>
      <c r="AV402">
        <v>21853800</v>
      </c>
      <c r="AW402">
        <v>972494.1</v>
      </c>
    </row>
    <row r="403" spans="1:49" hidden="1" x14ac:dyDescent="0.35">
      <c r="A403">
        <v>5812210</v>
      </c>
      <c r="B403">
        <v>1250005812201</v>
      </c>
      <c r="D403">
        <v>23101701239</v>
      </c>
      <c r="E403" t="s">
        <v>780</v>
      </c>
      <c r="F403" t="s">
        <v>1</v>
      </c>
      <c r="G403" t="s">
        <v>432</v>
      </c>
      <c r="H403" t="s">
        <v>48</v>
      </c>
      <c r="I403">
        <v>6128</v>
      </c>
      <c r="J403">
        <v>3</v>
      </c>
      <c r="K403" t="s">
        <v>32</v>
      </c>
      <c r="L403">
        <v>4401</v>
      </c>
      <c r="M403" t="s">
        <v>132</v>
      </c>
      <c r="N403">
        <v>2</v>
      </c>
      <c r="O403" t="s">
        <v>125</v>
      </c>
      <c r="P403" t="s">
        <v>782</v>
      </c>
      <c r="Q403">
        <v>861.08</v>
      </c>
      <c r="R403">
        <v>19350</v>
      </c>
      <c r="S403">
        <v>43</v>
      </c>
      <c r="T403">
        <v>450</v>
      </c>
      <c r="U403">
        <v>26</v>
      </c>
      <c r="V403">
        <v>1349</v>
      </c>
      <c r="W403" t="s">
        <v>121</v>
      </c>
      <c r="X403" t="s">
        <v>1</v>
      </c>
      <c r="Y403">
        <v>1161596.92</v>
      </c>
      <c r="Z403">
        <v>26103150</v>
      </c>
      <c r="AA403">
        <v>607050</v>
      </c>
      <c r="AB403">
        <v>214</v>
      </c>
      <c r="AC403" s="34">
        <v>45936</v>
      </c>
      <c r="AD403" s="34">
        <v>46022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 t="s">
        <v>122</v>
      </c>
      <c r="AT403">
        <v>11610</v>
      </c>
      <c r="AU403">
        <v>516.65</v>
      </c>
      <c r="AV403">
        <v>15661890</v>
      </c>
      <c r="AW403">
        <v>696960.85</v>
      </c>
    </row>
    <row r="404" spans="1:49" hidden="1" x14ac:dyDescent="0.35">
      <c r="A404">
        <v>5812210</v>
      </c>
      <c r="B404">
        <v>1250005812201</v>
      </c>
      <c r="D404">
        <v>23101701239</v>
      </c>
      <c r="E404" t="s">
        <v>780</v>
      </c>
      <c r="F404" t="s">
        <v>1</v>
      </c>
      <c r="G404" t="s">
        <v>432</v>
      </c>
      <c r="H404" t="s">
        <v>48</v>
      </c>
      <c r="I404">
        <v>6128</v>
      </c>
      <c r="J404">
        <v>3</v>
      </c>
      <c r="K404" t="s">
        <v>32</v>
      </c>
      <c r="L404">
        <v>4401</v>
      </c>
      <c r="M404" t="s">
        <v>132</v>
      </c>
      <c r="N404">
        <v>3</v>
      </c>
      <c r="O404" t="s">
        <v>125</v>
      </c>
      <c r="P404" t="s">
        <v>783</v>
      </c>
      <c r="Q404">
        <v>901.13</v>
      </c>
      <c r="R404">
        <v>20250</v>
      </c>
      <c r="S404">
        <v>45</v>
      </c>
      <c r="T404">
        <v>450</v>
      </c>
      <c r="U404">
        <v>26</v>
      </c>
      <c r="V404">
        <v>1349</v>
      </c>
      <c r="W404" t="s">
        <v>121</v>
      </c>
      <c r="X404" t="s">
        <v>1</v>
      </c>
      <c r="Y404">
        <v>1215624.3700000001</v>
      </c>
      <c r="Z404">
        <v>27317250</v>
      </c>
      <c r="AA404">
        <v>607050</v>
      </c>
      <c r="AB404">
        <v>214</v>
      </c>
      <c r="AC404" s="34">
        <v>45936</v>
      </c>
      <c r="AD404" s="34">
        <v>46022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 t="s">
        <v>122</v>
      </c>
      <c r="AT404">
        <v>12150</v>
      </c>
      <c r="AU404">
        <v>540.67999999999995</v>
      </c>
      <c r="AV404">
        <v>16390350</v>
      </c>
      <c r="AW404">
        <v>729377.32</v>
      </c>
    </row>
    <row r="405" spans="1:49" hidden="1" x14ac:dyDescent="0.35">
      <c r="A405">
        <v>5812210</v>
      </c>
      <c r="B405">
        <v>1250005812201</v>
      </c>
      <c r="D405">
        <v>23101701239</v>
      </c>
      <c r="E405" t="s">
        <v>780</v>
      </c>
      <c r="F405" t="s">
        <v>1</v>
      </c>
      <c r="G405" t="s">
        <v>432</v>
      </c>
      <c r="H405" t="s">
        <v>48</v>
      </c>
      <c r="I405">
        <v>6128</v>
      </c>
      <c r="J405">
        <v>3</v>
      </c>
      <c r="K405" t="s">
        <v>32</v>
      </c>
      <c r="L405">
        <v>4401</v>
      </c>
      <c r="M405" t="s">
        <v>132</v>
      </c>
      <c r="N405">
        <v>4</v>
      </c>
      <c r="O405" t="s">
        <v>125</v>
      </c>
      <c r="P405" t="s">
        <v>784</v>
      </c>
      <c r="Q405">
        <v>700.88</v>
      </c>
      <c r="R405">
        <v>15750</v>
      </c>
      <c r="S405">
        <v>35</v>
      </c>
      <c r="T405">
        <v>450</v>
      </c>
      <c r="U405">
        <v>26</v>
      </c>
      <c r="V405">
        <v>1349</v>
      </c>
      <c r="W405" t="s">
        <v>121</v>
      </c>
      <c r="X405" t="s">
        <v>1</v>
      </c>
      <c r="Y405">
        <v>945487.12</v>
      </c>
      <c r="Z405">
        <v>21246750</v>
      </c>
      <c r="AA405">
        <v>607050</v>
      </c>
      <c r="AB405">
        <v>214</v>
      </c>
      <c r="AC405" s="34">
        <v>45936</v>
      </c>
      <c r="AD405" s="34">
        <v>46022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 t="s">
        <v>122</v>
      </c>
      <c r="AT405">
        <v>9450</v>
      </c>
      <c r="AU405">
        <v>420.53</v>
      </c>
      <c r="AV405">
        <v>12748050</v>
      </c>
      <c r="AW405">
        <v>567294.97</v>
      </c>
    </row>
    <row r="406" spans="1:49" hidden="1" x14ac:dyDescent="0.35">
      <c r="A406">
        <v>5812310</v>
      </c>
      <c r="B406">
        <v>1170005812301</v>
      </c>
      <c r="D406">
        <v>20116150590</v>
      </c>
      <c r="E406" t="s">
        <v>785</v>
      </c>
      <c r="F406" t="s">
        <v>1</v>
      </c>
      <c r="G406" t="s">
        <v>256</v>
      </c>
      <c r="H406" t="s">
        <v>71</v>
      </c>
      <c r="I406">
        <v>2520</v>
      </c>
      <c r="J406">
        <v>12</v>
      </c>
      <c r="K406" t="s">
        <v>34</v>
      </c>
      <c r="L406">
        <v>8076</v>
      </c>
      <c r="M406" t="s">
        <v>257</v>
      </c>
      <c r="N406">
        <v>1</v>
      </c>
      <c r="O406" t="s">
        <v>119</v>
      </c>
      <c r="P406" t="s">
        <v>786</v>
      </c>
      <c r="Q406">
        <v>832522</v>
      </c>
      <c r="R406">
        <v>34475000</v>
      </c>
      <c r="S406">
        <v>35</v>
      </c>
      <c r="T406">
        <v>985000</v>
      </c>
      <c r="U406">
        <v>1</v>
      </c>
      <c r="V406">
        <v>1</v>
      </c>
      <c r="W406" t="s">
        <v>127</v>
      </c>
      <c r="X406">
        <v>19700</v>
      </c>
      <c r="Y406">
        <v>832522</v>
      </c>
      <c r="Z406">
        <v>34475000</v>
      </c>
      <c r="AA406">
        <v>985000</v>
      </c>
      <c r="AB406">
        <v>210</v>
      </c>
      <c r="AC406" s="34">
        <v>45929</v>
      </c>
      <c r="AD406" s="34">
        <v>46142</v>
      </c>
      <c r="AF406">
        <v>0</v>
      </c>
      <c r="AG406">
        <v>832522</v>
      </c>
      <c r="AH406">
        <v>0</v>
      </c>
      <c r="AI406">
        <v>832522</v>
      </c>
      <c r="AJ406">
        <v>0</v>
      </c>
      <c r="AK406">
        <v>0</v>
      </c>
      <c r="AL406">
        <v>213125.63</v>
      </c>
      <c r="AM406">
        <v>0</v>
      </c>
      <c r="AN406">
        <v>1045647.63</v>
      </c>
      <c r="AO406" t="s">
        <v>122</v>
      </c>
      <c r="AP406">
        <v>15</v>
      </c>
      <c r="AQ406">
        <v>124878.3</v>
      </c>
      <c r="AR406">
        <v>124878.3</v>
      </c>
      <c r="AT406">
        <v>20685000</v>
      </c>
      <c r="AU406">
        <v>499513.2</v>
      </c>
      <c r="AV406">
        <v>20685000</v>
      </c>
      <c r="AW406">
        <v>499513.2</v>
      </c>
    </row>
    <row r="407" spans="1:49" hidden="1" x14ac:dyDescent="0.35">
      <c r="A407">
        <v>5812410</v>
      </c>
      <c r="B407">
        <v>1170005812401</v>
      </c>
      <c r="D407">
        <v>20116150590</v>
      </c>
      <c r="E407" t="s">
        <v>785</v>
      </c>
      <c r="F407" t="s">
        <v>1</v>
      </c>
      <c r="G407" t="s">
        <v>256</v>
      </c>
      <c r="H407" t="s">
        <v>71</v>
      </c>
      <c r="I407">
        <v>2520</v>
      </c>
      <c r="J407">
        <v>12</v>
      </c>
      <c r="K407" t="s">
        <v>34</v>
      </c>
      <c r="L407">
        <v>8076</v>
      </c>
      <c r="M407" t="s">
        <v>257</v>
      </c>
      <c r="N407">
        <v>1</v>
      </c>
      <c r="O407" t="s">
        <v>119</v>
      </c>
      <c r="P407" t="s">
        <v>787</v>
      </c>
      <c r="Q407">
        <v>666057</v>
      </c>
      <c r="R407">
        <v>27580000</v>
      </c>
      <c r="S407">
        <v>28</v>
      </c>
      <c r="T407">
        <v>985000</v>
      </c>
      <c r="U407">
        <v>1</v>
      </c>
      <c r="V407">
        <v>1</v>
      </c>
      <c r="W407" t="s">
        <v>127</v>
      </c>
      <c r="X407">
        <v>19700</v>
      </c>
      <c r="Y407">
        <v>666057</v>
      </c>
      <c r="Z407">
        <v>27580000</v>
      </c>
      <c r="AA407">
        <v>985000</v>
      </c>
      <c r="AB407">
        <v>210</v>
      </c>
      <c r="AC407" s="34">
        <v>45929</v>
      </c>
      <c r="AD407" s="34">
        <v>46142</v>
      </c>
      <c r="AF407">
        <v>0</v>
      </c>
      <c r="AG407">
        <v>666057</v>
      </c>
      <c r="AH407">
        <v>0</v>
      </c>
      <c r="AI407">
        <v>666057</v>
      </c>
      <c r="AJ407">
        <v>0</v>
      </c>
      <c r="AK407">
        <v>0</v>
      </c>
      <c r="AL407">
        <v>170510.6</v>
      </c>
      <c r="AM407">
        <v>0</v>
      </c>
      <c r="AN407">
        <v>836567.6</v>
      </c>
      <c r="AO407" t="s">
        <v>122</v>
      </c>
      <c r="AP407">
        <v>15</v>
      </c>
      <c r="AQ407">
        <v>99908.55</v>
      </c>
      <c r="AR407">
        <v>99908.55</v>
      </c>
      <c r="AT407">
        <v>16548000</v>
      </c>
      <c r="AU407">
        <v>399634.2</v>
      </c>
      <c r="AV407">
        <v>16548000</v>
      </c>
      <c r="AW407">
        <v>399634.2</v>
      </c>
    </row>
    <row r="408" spans="1:49" hidden="1" x14ac:dyDescent="0.35">
      <c r="A408">
        <v>5812510</v>
      </c>
      <c r="B408">
        <v>1250005812501</v>
      </c>
      <c r="D408">
        <v>30708747099</v>
      </c>
      <c r="E408" t="s">
        <v>788</v>
      </c>
      <c r="F408" t="s">
        <v>1</v>
      </c>
      <c r="G408" t="s">
        <v>789</v>
      </c>
      <c r="H408" t="s">
        <v>47</v>
      </c>
      <c r="I408">
        <v>6121</v>
      </c>
      <c r="J408">
        <v>3</v>
      </c>
      <c r="K408" t="s">
        <v>32</v>
      </c>
      <c r="L408">
        <v>8274</v>
      </c>
      <c r="M408" t="s">
        <v>416</v>
      </c>
      <c r="N408">
        <v>1</v>
      </c>
      <c r="O408" t="s">
        <v>119</v>
      </c>
      <c r="P408" t="s">
        <v>790</v>
      </c>
      <c r="Q408">
        <v>3817072</v>
      </c>
      <c r="R408">
        <v>110320000</v>
      </c>
      <c r="S408">
        <v>112</v>
      </c>
      <c r="T408">
        <v>985000</v>
      </c>
      <c r="U408">
        <v>1</v>
      </c>
      <c r="V408">
        <v>1</v>
      </c>
      <c r="W408" t="s">
        <v>127</v>
      </c>
      <c r="X408">
        <v>19700</v>
      </c>
      <c r="Y408">
        <v>3817072</v>
      </c>
      <c r="Z408">
        <v>110320000</v>
      </c>
      <c r="AA408">
        <v>985000</v>
      </c>
      <c r="AB408">
        <v>105</v>
      </c>
      <c r="AC408" s="34">
        <v>45941</v>
      </c>
      <c r="AD408" s="34">
        <v>46188</v>
      </c>
      <c r="AF408">
        <v>0</v>
      </c>
      <c r="AG408">
        <v>3817072</v>
      </c>
      <c r="AH408">
        <v>0</v>
      </c>
      <c r="AI408">
        <v>3817072</v>
      </c>
      <c r="AJ408">
        <v>0</v>
      </c>
      <c r="AK408">
        <v>0</v>
      </c>
      <c r="AL408">
        <v>996255.79</v>
      </c>
      <c r="AM408">
        <v>0</v>
      </c>
      <c r="AN408">
        <v>4813327.79</v>
      </c>
      <c r="AO408" t="s">
        <v>122</v>
      </c>
      <c r="AP408">
        <v>15</v>
      </c>
      <c r="AQ408">
        <v>572560.80000000005</v>
      </c>
      <c r="AR408">
        <v>572560.80000000005</v>
      </c>
      <c r="AT408">
        <v>66192000</v>
      </c>
      <c r="AU408">
        <v>2290243.2000000002</v>
      </c>
      <c r="AV408">
        <v>66192000</v>
      </c>
      <c r="AW408">
        <v>2290243.2000000002</v>
      </c>
    </row>
    <row r="409" spans="1:49" hidden="1" x14ac:dyDescent="0.35">
      <c r="A409">
        <v>5812610</v>
      </c>
      <c r="B409">
        <v>1250005812601</v>
      </c>
      <c r="D409">
        <v>30708747099</v>
      </c>
      <c r="E409" t="s">
        <v>788</v>
      </c>
      <c r="F409" t="s">
        <v>1</v>
      </c>
      <c r="G409" t="s">
        <v>789</v>
      </c>
      <c r="H409" t="s">
        <v>47</v>
      </c>
      <c r="I409">
        <v>6121</v>
      </c>
      <c r="J409">
        <v>3</v>
      </c>
      <c r="K409" t="s">
        <v>32</v>
      </c>
      <c r="L409">
        <v>8274</v>
      </c>
      <c r="M409" t="s">
        <v>416</v>
      </c>
      <c r="N409">
        <v>1</v>
      </c>
      <c r="O409" t="s">
        <v>119</v>
      </c>
      <c r="P409" t="s">
        <v>791</v>
      </c>
      <c r="Q409">
        <v>5457196.7999999998</v>
      </c>
      <c r="R409">
        <v>137808000</v>
      </c>
      <c r="S409">
        <v>232</v>
      </c>
      <c r="T409">
        <v>594000</v>
      </c>
      <c r="U409">
        <v>1</v>
      </c>
      <c r="V409">
        <v>1</v>
      </c>
      <c r="W409" t="s">
        <v>127</v>
      </c>
      <c r="X409">
        <v>29700</v>
      </c>
      <c r="Y409">
        <v>5457196.7999999998</v>
      </c>
      <c r="Z409">
        <v>137808000</v>
      </c>
      <c r="AA409">
        <v>594000</v>
      </c>
      <c r="AB409">
        <v>105</v>
      </c>
      <c r="AC409" s="34">
        <v>45942</v>
      </c>
      <c r="AD409" s="34">
        <v>46173</v>
      </c>
      <c r="AF409">
        <v>0</v>
      </c>
      <c r="AG409">
        <v>5457196.7999999998</v>
      </c>
      <c r="AH409">
        <v>0</v>
      </c>
      <c r="AI409">
        <v>5457196.7999999998</v>
      </c>
      <c r="AJ409">
        <v>0</v>
      </c>
      <c r="AK409">
        <v>0</v>
      </c>
      <c r="AL409">
        <v>1424328.36</v>
      </c>
      <c r="AM409">
        <v>0</v>
      </c>
      <c r="AN409">
        <v>6881525.1600000001</v>
      </c>
      <c r="AO409" t="s">
        <v>122</v>
      </c>
      <c r="AP409">
        <v>15</v>
      </c>
      <c r="AQ409">
        <v>818579.52</v>
      </c>
      <c r="AR409">
        <v>818579.52</v>
      </c>
      <c r="AT409">
        <v>82684800</v>
      </c>
      <c r="AU409">
        <v>3274318.08</v>
      </c>
      <c r="AV409">
        <v>82684800</v>
      </c>
      <c r="AW409">
        <v>3274318.08</v>
      </c>
    </row>
    <row r="410" spans="1:49" hidden="1" x14ac:dyDescent="0.35">
      <c r="A410">
        <v>5812710</v>
      </c>
      <c r="B410">
        <v>1250005812701</v>
      </c>
      <c r="D410">
        <v>30708747099</v>
      </c>
      <c r="E410" t="s">
        <v>788</v>
      </c>
      <c r="F410" t="s">
        <v>1</v>
      </c>
      <c r="G410" t="s">
        <v>789</v>
      </c>
      <c r="H410" t="s">
        <v>47</v>
      </c>
      <c r="I410">
        <v>6121</v>
      </c>
      <c r="J410">
        <v>3</v>
      </c>
      <c r="K410" t="s">
        <v>32</v>
      </c>
      <c r="L410">
        <v>8274</v>
      </c>
      <c r="M410" t="s">
        <v>416</v>
      </c>
      <c r="N410">
        <v>1</v>
      </c>
      <c r="O410" t="s">
        <v>119</v>
      </c>
      <c r="P410" t="s">
        <v>792</v>
      </c>
      <c r="Q410">
        <v>2469852</v>
      </c>
      <c r="R410">
        <v>62370000</v>
      </c>
      <c r="S410">
        <v>105</v>
      </c>
      <c r="T410">
        <v>594000</v>
      </c>
      <c r="U410">
        <v>1</v>
      </c>
      <c r="V410">
        <v>1</v>
      </c>
      <c r="W410" t="s">
        <v>127</v>
      </c>
      <c r="X410">
        <v>29700</v>
      </c>
      <c r="Y410">
        <v>2469852</v>
      </c>
      <c r="Z410">
        <v>62370000</v>
      </c>
      <c r="AA410">
        <v>594000</v>
      </c>
      <c r="AB410">
        <v>105</v>
      </c>
      <c r="AC410" s="34">
        <v>45942</v>
      </c>
      <c r="AD410" s="34">
        <v>46173</v>
      </c>
      <c r="AF410">
        <v>0</v>
      </c>
      <c r="AG410">
        <v>2469852</v>
      </c>
      <c r="AH410">
        <v>0</v>
      </c>
      <c r="AI410">
        <v>2469852</v>
      </c>
      <c r="AJ410">
        <v>0</v>
      </c>
      <c r="AK410">
        <v>0</v>
      </c>
      <c r="AL410">
        <v>644631.37</v>
      </c>
      <c r="AM410">
        <v>0</v>
      </c>
      <c r="AN410">
        <v>3114483.37</v>
      </c>
      <c r="AO410" t="s">
        <v>122</v>
      </c>
      <c r="AP410">
        <v>15</v>
      </c>
      <c r="AQ410">
        <v>370477.8</v>
      </c>
      <c r="AR410">
        <v>370477.8</v>
      </c>
      <c r="AT410">
        <v>37422000</v>
      </c>
      <c r="AU410">
        <v>1481911.2</v>
      </c>
      <c r="AV410">
        <v>37422000</v>
      </c>
      <c r="AW410">
        <v>1481911.2</v>
      </c>
    </row>
    <row r="411" spans="1:49" hidden="1" x14ac:dyDescent="0.35">
      <c r="A411">
        <v>5812810</v>
      </c>
      <c r="B411">
        <v>1250005812801</v>
      </c>
      <c r="D411">
        <v>30708747099</v>
      </c>
      <c r="E411" t="s">
        <v>788</v>
      </c>
      <c r="F411" t="s">
        <v>1</v>
      </c>
      <c r="G411" t="s">
        <v>789</v>
      </c>
      <c r="H411" t="s">
        <v>47</v>
      </c>
      <c r="I411">
        <v>6121</v>
      </c>
      <c r="J411">
        <v>3</v>
      </c>
      <c r="K411" t="s">
        <v>32</v>
      </c>
      <c r="L411">
        <v>8274</v>
      </c>
      <c r="M411" t="s">
        <v>416</v>
      </c>
      <c r="N411">
        <v>1</v>
      </c>
      <c r="O411" t="s">
        <v>119</v>
      </c>
      <c r="P411" t="s">
        <v>793</v>
      </c>
      <c r="Q411">
        <v>7906792</v>
      </c>
      <c r="R411">
        <v>228520000</v>
      </c>
      <c r="S411">
        <v>232</v>
      </c>
      <c r="T411">
        <v>985000</v>
      </c>
      <c r="U411">
        <v>1</v>
      </c>
      <c r="V411">
        <v>1</v>
      </c>
      <c r="W411" t="s">
        <v>127</v>
      </c>
      <c r="X411">
        <v>19700</v>
      </c>
      <c r="Y411">
        <v>7906792</v>
      </c>
      <c r="Z411">
        <v>228520000</v>
      </c>
      <c r="AA411">
        <v>985000</v>
      </c>
      <c r="AB411">
        <v>210</v>
      </c>
      <c r="AC411" s="34">
        <v>45938</v>
      </c>
      <c r="AD411" s="34">
        <v>46142</v>
      </c>
      <c r="AF411">
        <v>0</v>
      </c>
      <c r="AG411">
        <v>7906792</v>
      </c>
      <c r="AH411">
        <v>0</v>
      </c>
      <c r="AI411">
        <v>7906792</v>
      </c>
      <c r="AJ411">
        <v>0</v>
      </c>
      <c r="AK411">
        <v>0</v>
      </c>
      <c r="AL411">
        <v>2063672.71</v>
      </c>
      <c r="AM411">
        <v>0</v>
      </c>
      <c r="AN411">
        <v>9970464.7100000009</v>
      </c>
      <c r="AO411" t="s">
        <v>122</v>
      </c>
      <c r="AP411">
        <v>15</v>
      </c>
      <c r="AQ411">
        <v>1186018.8</v>
      </c>
      <c r="AR411">
        <v>1186018.8</v>
      </c>
      <c r="AT411">
        <v>137112000</v>
      </c>
      <c r="AU411">
        <v>4744075.2</v>
      </c>
      <c r="AV411">
        <v>137112000</v>
      </c>
      <c r="AW411">
        <v>4744075.2</v>
      </c>
    </row>
    <row r="412" spans="1:49" hidden="1" x14ac:dyDescent="0.35">
      <c r="A412">
        <v>5812910</v>
      </c>
      <c r="B412">
        <v>1250005812901</v>
      </c>
      <c r="D412">
        <v>30708747099</v>
      </c>
      <c r="E412" t="s">
        <v>788</v>
      </c>
      <c r="F412" t="s">
        <v>1</v>
      </c>
      <c r="G412" t="s">
        <v>794</v>
      </c>
      <c r="H412" t="s">
        <v>47</v>
      </c>
      <c r="I412">
        <v>6121</v>
      </c>
      <c r="J412">
        <v>3</v>
      </c>
      <c r="K412" t="s">
        <v>32</v>
      </c>
      <c r="L412">
        <v>8274</v>
      </c>
      <c r="M412" t="s">
        <v>416</v>
      </c>
      <c r="N412">
        <v>1</v>
      </c>
      <c r="O412" t="s">
        <v>119</v>
      </c>
      <c r="P412" t="s">
        <v>795</v>
      </c>
      <c r="Q412">
        <v>7527168</v>
      </c>
      <c r="R412">
        <v>190080000</v>
      </c>
      <c r="S412">
        <v>320</v>
      </c>
      <c r="T412">
        <v>594000</v>
      </c>
      <c r="U412">
        <v>1</v>
      </c>
      <c r="V412">
        <v>1</v>
      </c>
      <c r="W412" t="s">
        <v>127</v>
      </c>
      <c r="X412">
        <v>29700</v>
      </c>
      <c r="Y412">
        <v>7527168</v>
      </c>
      <c r="Z412">
        <v>190080000</v>
      </c>
      <c r="AA412">
        <v>594000</v>
      </c>
      <c r="AB412">
        <v>105</v>
      </c>
      <c r="AC412" s="34">
        <v>45942</v>
      </c>
      <c r="AD412" s="34">
        <v>46173</v>
      </c>
      <c r="AF412">
        <v>0</v>
      </c>
      <c r="AG412">
        <v>7527168</v>
      </c>
      <c r="AH412">
        <v>0</v>
      </c>
      <c r="AI412">
        <v>7527168</v>
      </c>
      <c r="AJ412">
        <v>0</v>
      </c>
      <c r="AK412">
        <v>0</v>
      </c>
      <c r="AL412">
        <v>1964590.85</v>
      </c>
      <c r="AM412">
        <v>0</v>
      </c>
      <c r="AN412">
        <v>9491758.8499999996</v>
      </c>
      <c r="AO412" t="s">
        <v>122</v>
      </c>
      <c r="AP412">
        <v>15</v>
      </c>
      <c r="AQ412">
        <v>1129075.2</v>
      </c>
      <c r="AR412">
        <v>1129075.2</v>
      </c>
      <c r="AT412">
        <v>114048000</v>
      </c>
      <c r="AU412">
        <v>4516300.7999999998</v>
      </c>
      <c r="AV412">
        <v>114048000</v>
      </c>
      <c r="AW412">
        <v>4516300.7999999998</v>
      </c>
    </row>
    <row r="413" spans="1:49" hidden="1" x14ac:dyDescent="0.35">
      <c r="A413">
        <v>5813010</v>
      </c>
      <c r="B413">
        <v>1000005813001</v>
      </c>
      <c r="D413">
        <v>30509276125</v>
      </c>
      <c r="E413" t="s">
        <v>421</v>
      </c>
      <c r="F413" t="s">
        <v>1</v>
      </c>
      <c r="G413" t="s">
        <v>422</v>
      </c>
      <c r="H413" t="s">
        <v>422</v>
      </c>
      <c r="I413">
        <v>6550</v>
      </c>
      <c r="J413">
        <v>1</v>
      </c>
      <c r="K413" t="s">
        <v>16</v>
      </c>
      <c r="L413">
        <v>7993</v>
      </c>
      <c r="M413" t="s">
        <v>423</v>
      </c>
      <c r="N413">
        <v>1</v>
      </c>
      <c r="O413" t="s">
        <v>119</v>
      </c>
      <c r="P413" t="s">
        <v>796</v>
      </c>
      <c r="Q413">
        <v>1073.75</v>
      </c>
      <c r="R413">
        <v>54230</v>
      </c>
      <c r="S413">
        <v>170</v>
      </c>
      <c r="T413">
        <v>319</v>
      </c>
      <c r="U413">
        <v>26</v>
      </c>
      <c r="V413">
        <v>1402</v>
      </c>
      <c r="W413" t="s">
        <v>121</v>
      </c>
      <c r="X413" t="s">
        <v>1</v>
      </c>
      <c r="Y413">
        <v>1505397.5</v>
      </c>
      <c r="Z413">
        <v>76030460</v>
      </c>
      <c r="AA413">
        <v>447238</v>
      </c>
      <c r="AB413">
        <v>106</v>
      </c>
      <c r="AC413" s="34">
        <v>45908</v>
      </c>
      <c r="AD413" s="34">
        <v>46188</v>
      </c>
      <c r="AF413">
        <v>0</v>
      </c>
      <c r="AG413">
        <v>1073.75</v>
      </c>
      <c r="AH413">
        <v>0</v>
      </c>
      <c r="AI413">
        <v>1505397.5</v>
      </c>
      <c r="AJ413">
        <v>0</v>
      </c>
      <c r="AK413">
        <v>0</v>
      </c>
      <c r="AL413">
        <v>377853.02</v>
      </c>
      <c r="AM413">
        <v>0</v>
      </c>
      <c r="AN413">
        <v>1883250.52</v>
      </c>
      <c r="AO413" t="s">
        <v>122</v>
      </c>
      <c r="AP413">
        <v>15</v>
      </c>
      <c r="AQ413">
        <v>161.06</v>
      </c>
      <c r="AR413">
        <v>225806.12</v>
      </c>
      <c r="AT413">
        <v>32538</v>
      </c>
      <c r="AU413">
        <v>644.25</v>
      </c>
      <c r="AV413">
        <v>45618276</v>
      </c>
      <c r="AW413">
        <v>903238.5</v>
      </c>
    </row>
    <row r="414" spans="1:49" hidden="1" x14ac:dyDescent="0.35">
      <c r="A414">
        <v>5813110</v>
      </c>
      <c r="B414">
        <v>1000005813101</v>
      </c>
      <c r="D414">
        <v>30509276125</v>
      </c>
      <c r="E414" t="s">
        <v>421</v>
      </c>
      <c r="F414" t="s">
        <v>1</v>
      </c>
      <c r="G414" t="s">
        <v>422</v>
      </c>
      <c r="H414" t="s">
        <v>422</v>
      </c>
      <c r="I414">
        <v>6550</v>
      </c>
      <c r="J414">
        <v>1</v>
      </c>
      <c r="K414" t="s">
        <v>16</v>
      </c>
      <c r="L414">
        <v>7993</v>
      </c>
      <c r="M414" t="s">
        <v>423</v>
      </c>
      <c r="N414">
        <v>1</v>
      </c>
      <c r="O414" t="s">
        <v>119</v>
      </c>
      <c r="P414" t="s">
        <v>797</v>
      </c>
      <c r="Q414">
        <v>1302.8</v>
      </c>
      <c r="R414">
        <v>65798</v>
      </c>
      <c r="S414">
        <v>167</v>
      </c>
      <c r="T414">
        <v>394</v>
      </c>
      <c r="U414">
        <v>26</v>
      </c>
      <c r="V414">
        <v>1402</v>
      </c>
      <c r="W414" t="s">
        <v>121</v>
      </c>
      <c r="X414" t="s">
        <v>1</v>
      </c>
      <c r="Y414">
        <v>1826525.6</v>
      </c>
      <c r="Z414">
        <v>92248796</v>
      </c>
      <c r="AA414">
        <v>552388</v>
      </c>
      <c r="AB414">
        <v>106</v>
      </c>
      <c r="AC414" s="34">
        <v>45908</v>
      </c>
      <c r="AD414" s="34">
        <v>46173</v>
      </c>
      <c r="AF414">
        <v>1</v>
      </c>
      <c r="AG414">
        <v>1302.8</v>
      </c>
      <c r="AH414">
        <v>0</v>
      </c>
      <c r="AI414">
        <v>1826525.6</v>
      </c>
      <c r="AJ414">
        <v>0</v>
      </c>
      <c r="AK414">
        <v>0</v>
      </c>
      <c r="AL414">
        <v>458454</v>
      </c>
      <c r="AM414">
        <v>0</v>
      </c>
      <c r="AN414">
        <v>2284979.6</v>
      </c>
      <c r="AO414" t="s">
        <v>122</v>
      </c>
      <c r="AP414">
        <v>15</v>
      </c>
      <c r="AQ414">
        <v>195.42</v>
      </c>
      <c r="AR414">
        <v>273978.84000000003</v>
      </c>
      <c r="AT414">
        <v>39478.800000000003</v>
      </c>
      <c r="AU414">
        <v>781.68</v>
      </c>
      <c r="AV414">
        <v>55349277.600000001</v>
      </c>
      <c r="AW414">
        <v>1095915.3600000001</v>
      </c>
    </row>
    <row r="415" spans="1:49" hidden="1" x14ac:dyDescent="0.35">
      <c r="A415">
        <v>5813210</v>
      </c>
      <c r="B415">
        <v>1000005813201</v>
      </c>
      <c r="D415">
        <v>30509276125</v>
      </c>
      <c r="E415" t="s">
        <v>421</v>
      </c>
      <c r="F415" t="s">
        <v>1</v>
      </c>
      <c r="G415" t="s">
        <v>422</v>
      </c>
      <c r="H415" t="s">
        <v>422</v>
      </c>
      <c r="I415">
        <v>6550</v>
      </c>
      <c r="J415">
        <v>1</v>
      </c>
      <c r="K415" t="s">
        <v>16</v>
      </c>
      <c r="L415">
        <v>7993</v>
      </c>
      <c r="M415" t="s">
        <v>423</v>
      </c>
      <c r="N415">
        <v>1</v>
      </c>
      <c r="O415" t="s">
        <v>119</v>
      </c>
      <c r="P415" t="s">
        <v>798</v>
      </c>
      <c r="Q415">
        <v>774.9</v>
      </c>
      <c r="R415">
        <v>40150</v>
      </c>
      <c r="S415">
        <v>73</v>
      </c>
      <c r="T415">
        <v>550</v>
      </c>
      <c r="U415">
        <v>26</v>
      </c>
      <c r="V415">
        <v>1402</v>
      </c>
      <c r="W415" t="s">
        <v>121</v>
      </c>
      <c r="X415" t="s">
        <v>1</v>
      </c>
      <c r="Y415">
        <v>1086409.8</v>
      </c>
      <c r="Z415">
        <v>56290300</v>
      </c>
      <c r="AA415">
        <v>771100</v>
      </c>
      <c r="AB415">
        <v>210</v>
      </c>
      <c r="AC415" s="34">
        <v>45908</v>
      </c>
      <c r="AD415" s="34">
        <v>46142</v>
      </c>
      <c r="AF415">
        <v>1</v>
      </c>
      <c r="AG415">
        <v>774.9</v>
      </c>
      <c r="AH415">
        <v>0</v>
      </c>
      <c r="AI415">
        <v>1086409.8</v>
      </c>
      <c r="AJ415">
        <v>0</v>
      </c>
      <c r="AK415">
        <v>0</v>
      </c>
      <c r="AL415">
        <v>272689</v>
      </c>
      <c r="AM415">
        <v>0</v>
      </c>
      <c r="AN415">
        <v>1359098.8</v>
      </c>
      <c r="AO415" t="s">
        <v>122</v>
      </c>
      <c r="AP415">
        <v>15.000999999999999</v>
      </c>
      <c r="AQ415">
        <v>116.24</v>
      </c>
      <c r="AR415">
        <v>162968.48000000001</v>
      </c>
      <c r="AT415">
        <v>24090</v>
      </c>
      <c r="AU415">
        <v>464.94</v>
      </c>
      <c r="AV415">
        <v>33774180</v>
      </c>
      <c r="AW415">
        <v>651845.88</v>
      </c>
    </row>
    <row r="416" spans="1:49" hidden="1" x14ac:dyDescent="0.35">
      <c r="A416">
        <v>5813310</v>
      </c>
      <c r="B416">
        <v>1000005813301</v>
      </c>
      <c r="D416">
        <v>30509276125</v>
      </c>
      <c r="E416" t="s">
        <v>421</v>
      </c>
      <c r="F416" t="s">
        <v>1</v>
      </c>
      <c r="G416" t="s">
        <v>422</v>
      </c>
      <c r="H416" t="s">
        <v>422</v>
      </c>
      <c r="I416">
        <v>6550</v>
      </c>
      <c r="J416">
        <v>1</v>
      </c>
      <c r="K416" t="s">
        <v>16</v>
      </c>
      <c r="L416">
        <v>7993</v>
      </c>
      <c r="M416" t="s">
        <v>423</v>
      </c>
      <c r="N416">
        <v>1</v>
      </c>
      <c r="O416" t="s">
        <v>119</v>
      </c>
      <c r="P416" t="s">
        <v>799</v>
      </c>
      <c r="Q416">
        <v>2093.2800000000002</v>
      </c>
      <c r="R416">
        <v>108460</v>
      </c>
      <c r="S416">
        <v>170</v>
      </c>
      <c r="T416">
        <v>638</v>
      </c>
      <c r="U416">
        <v>26</v>
      </c>
      <c r="V416">
        <v>1402</v>
      </c>
      <c r="W416" t="s">
        <v>121</v>
      </c>
      <c r="X416" t="s">
        <v>1</v>
      </c>
      <c r="Y416">
        <v>2934778.56</v>
      </c>
      <c r="Z416">
        <v>152060920</v>
      </c>
      <c r="AA416">
        <v>894476</v>
      </c>
      <c r="AB416">
        <v>106</v>
      </c>
      <c r="AC416" s="34">
        <v>45908</v>
      </c>
      <c r="AD416" s="34">
        <v>46203</v>
      </c>
      <c r="AF416">
        <v>0</v>
      </c>
      <c r="AG416">
        <v>2093.2800000000002</v>
      </c>
      <c r="AH416">
        <v>0</v>
      </c>
      <c r="AI416">
        <v>2934778.56</v>
      </c>
      <c r="AJ416">
        <v>0</v>
      </c>
      <c r="AK416">
        <v>0</v>
      </c>
      <c r="AL416">
        <v>736638.84</v>
      </c>
      <c r="AM416">
        <v>0</v>
      </c>
      <c r="AN416">
        <v>3671417.4</v>
      </c>
      <c r="AO416" t="s">
        <v>122</v>
      </c>
      <c r="AP416">
        <v>15</v>
      </c>
      <c r="AQ416">
        <v>313.99</v>
      </c>
      <c r="AR416">
        <v>440213.98</v>
      </c>
      <c r="AT416">
        <v>65076</v>
      </c>
      <c r="AU416">
        <v>1255.97</v>
      </c>
      <c r="AV416">
        <v>91236552</v>
      </c>
      <c r="AW416">
        <v>1760869.94</v>
      </c>
    </row>
    <row r="417" spans="1:49" hidden="1" x14ac:dyDescent="0.35">
      <c r="A417">
        <v>5813410</v>
      </c>
      <c r="B417">
        <v>1000005813401</v>
      </c>
      <c r="D417">
        <v>30509276125</v>
      </c>
      <c r="E417" t="s">
        <v>421</v>
      </c>
      <c r="F417" t="s">
        <v>1</v>
      </c>
      <c r="G417" t="s">
        <v>422</v>
      </c>
      <c r="H417" t="s">
        <v>422</v>
      </c>
      <c r="I417">
        <v>6550</v>
      </c>
      <c r="J417">
        <v>1</v>
      </c>
      <c r="K417" t="s">
        <v>16</v>
      </c>
      <c r="L417">
        <v>7993</v>
      </c>
      <c r="M417" t="s">
        <v>423</v>
      </c>
      <c r="N417">
        <v>1</v>
      </c>
      <c r="O417" t="s">
        <v>119</v>
      </c>
      <c r="P417" t="s">
        <v>800</v>
      </c>
      <c r="Q417">
        <v>4074.21</v>
      </c>
      <c r="R417">
        <v>93660</v>
      </c>
      <c r="S417">
        <v>210</v>
      </c>
      <c r="T417">
        <v>446</v>
      </c>
      <c r="U417">
        <v>26</v>
      </c>
      <c r="V417">
        <v>1402</v>
      </c>
      <c r="W417" t="s">
        <v>121</v>
      </c>
      <c r="X417" t="s">
        <v>1</v>
      </c>
      <c r="Y417">
        <v>5712042.4199999999</v>
      </c>
      <c r="Z417">
        <v>131311320</v>
      </c>
      <c r="AA417">
        <v>625292</v>
      </c>
      <c r="AB417">
        <v>211</v>
      </c>
      <c r="AC417" s="34">
        <v>45908</v>
      </c>
      <c r="AD417" s="34">
        <v>46112</v>
      </c>
      <c r="AE417" t="s">
        <v>355</v>
      </c>
      <c r="AF417">
        <v>1</v>
      </c>
      <c r="AG417">
        <v>4074.21</v>
      </c>
      <c r="AH417">
        <v>0</v>
      </c>
      <c r="AI417">
        <v>5712042.4199999999</v>
      </c>
      <c r="AJ417">
        <v>0</v>
      </c>
      <c r="AK417">
        <v>0</v>
      </c>
      <c r="AL417">
        <v>1433727.26</v>
      </c>
      <c r="AM417">
        <v>0</v>
      </c>
      <c r="AN417">
        <v>7145769.6799999997</v>
      </c>
      <c r="AO417" t="s">
        <v>122</v>
      </c>
      <c r="AP417">
        <v>15</v>
      </c>
      <c r="AQ417">
        <v>611.13</v>
      </c>
      <c r="AR417">
        <v>856804.26</v>
      </c>
      <c r="AT417">
        <v>56196</v>
      </c>
      <c r="AU417">
        <v>2444.5300000000002</v>
      </c>
      <c r="AV417">
        <v>78786792</v>
      </c>
      <c r="AW417">
        <v>3427231.06</v>
      </c>
    </row>
    <row r="418" spans="1:49" hidden="1" x14ac:dyDescent="0.35">
      <c r="A418">
        <v>5813510</v>
      </c>
      <c r="B418">
        <v>1170005813501</v>
      </c>
      <c r="D418">
        <v>20214912520</v>
      </c>
      <c r="E418" t="s">
        <v>801</v>
      </c>
      <c r="F418" t="s">
        <v>1</v>
      </c>
      <c r="G418" t="s">
        <v>226</v>
      </c>
      <c r="H418" t="s">
        <v>63</v>
      </c>
      <c r="I418">
        <v>2535</v>
      </c>
      <c r="J418">
        <v>12</v>
      </c>
      <c r="K418" t="s">
        <v>34</v>
      </c>
      <c r="L418">
        <v>83429</v>
      </c>
      <c r="M418" t="s">
        <v>140</v>
      </c>
      <c r="N418">
        <v>1</v>
      </c>
      <c r="O418" t="s">
        <v>119</v>
      </c>
      <c r="P418" t="s">
        <v>802</v>
      </c>
      <c r="Q418">
        <v>910731</v>
      </c>
      <c r="R418">
        <v>50432000</v>
      </c>
      <c r="S418">
        <v>64</v>
      </c>
      <c r="T418">
        <v>788000</v>
      </c>
      <c r="U418">
        <v>1</v>
      </c>
      <c r="V418">
        <v>1</v>
      </c>
      <c r="W418" t="s">
        <v>127</v>
      </c>
      <c r="X418">
        <v>19700</v>
      </c>
      <c r="Y418">
        <v>910731</v>
      </c>
      <c r="Z418">
        <v>50432000</v>
      </c>
      <c r="AA418">
        <v>788000</v>
      </c>
      <c r="AB418">
        <v>212</v>
      </c>
      <c r="AC418" s="34">
        <v>45951</v>
      </c>
      <c r="AD418" s="34">
        <v>46142</v>
      </c>
      <c r="AF418">
        <v>0</v>
      </c>
      <c r="AG418">
        <v>910731</v>
      </c>
      <c r="AH418">
        <v>0</v>
      </c>
      <c r="AI418">
        <v>910731</v>
      </c>
      <c r="AJ418">
        <v>0</v>
      </c>
      <c r="AK418">
        <v>0</v>
      </c>
      <c r="AL418">
        <v>233147.15</v>
      </c>
      <c r="AM418">
        <v>0</v>
      </c>
      <c r="AN418">
        <v>1143878.1499999999</v>
      </c>
      <c r="AO418" t="s">
        <v>122</v>
      </c>
      <c r="AP418">
        <v>15</v>
      </c>
      <c r="AQ418">
        <v>136609.65</v>
      </c>
      <c r="AR418">
        <v>136609.65</v>
      </c>
      <c r="AT418">
        <v>30259200</v>
      </c>
      <c r="AU418">
        <v>546438.6</v>
      </c>
      <c r="AV418">
        <v>30259200</v>
      </c>
      <c r="AW418">
        <v>546438.6</v>
      </c>
    </row>
    <row r="419" spans="1:49" hidden="1" x14ac:dyDescent="0.35">
      <c r="A419">
        <v>5813610</v>
      </c>
      <c r="B419">
        <v>1170005813601</v>
      </c>
      <c r="D419">
        <v>20236078389</v>
      </c>
      <c r="E419" t="s">
        <v>803</v>
      </c>
      <c r="F419" t="s">
        <v>1</v>
      </c>
      <c r="G419" t="s">
        <v>198</v>
      </c>
      <c r="H419" t="s">
        <v>28</v>
      </c>
      <c r="I419">
        <v>2914</v>
      </c>
      <c r="J419">
        <v>1</v>
      </c>
      <c r="K419" t="s">
        <v>16</v>
      </c>
      <c r="L419">
        <v>8105</v>
      </c>
      <c r="M419" t="s">
        <v>199</v>
      </c>
      <c r="N419">
        <v>1</v>
      </c>
      <c r="O419" t="s">
        <v>125</v>
      </c>
      <c r="P419" t="s">
        <v>804</v>
      </c>
      <c r="Q419">
        <v>554356.80000000005</v>
      </c>
      <c r="R419">
        <v>22810500</v>
      </c>
      <c r="S419">
        <v>37</v>
      </c>
      <c r="T419">
        <v>616500</v>
      </c>
      <c r="U419">
        <v>1</v>
      </c>
      <c r="V419">
        <v>1</v>
      </c>
      <c r="W419" t="s">
        <v>127</v>
      </c>
      <c r="X419">
        <v>24660</v>
      </c>
      <c r="Y419">
        <v>554356.80000000005</v>
      </c>
      <c r="Z419">
        <v>22810500</v>
      </c>
      <c r="AA419">
        <v>616500</v>
      </c>
      <c r="AB419">
        <v>105</v>
      </c>
      <c r="AC419" s="34">
        <v>45952</v>
      </c>
      <c r="AD419" s="34">
        <v>46022</v>
      </c>
      <c r="AF419">
        <v>0</v>
      </c>
      <c r="AG419">
        <v>554356.80000000005</v>
      </c>
      <c r="AH419">
        <v>0</v>
      </c>
      <c r="AI419">
        <v>554356.80000000005</v>
      </c>
      <c r="AJ419">
        <v>0</v>
      </c>
      <c r="AK419">
        <v>0</v>
      </c>
      <c r="AL419">
        <v>139143.54999999999</v>
      </c>
      <c r="AM419">
        <v>0</v>
      </c>
      <c r="AN419">
        <v>693500.35</v>
      </c>
      <c r="AO419" t="s">
        <v>122</v>
      </c>
      <c r="AP419">
        <v>10</v>
      </c>
      <c r="AQ419">
        <v>55435.68</v>
      </c>
      <c r="AR419">
        <v>55435.68</v>
      </c>
      <c r="AT419">
        <v>13686300</v>
      </c>
      <c r="AU419">
        <v>332614.08</v>
      </c>
      <c r="AV419">
        <v>13686300</v>
      </c>
      <c r="AW419">
        <v>332614.08</v>
      </c>
    </row>
    <row r="420" spans="1:49" hidden="1" x14ac:dyDescent="0.35">
      <c r="A420">
        <v>5813710</v>
      </c>
      <c r="B420">
        <v>1170005813701</v>
      </c>
      <c r="D420">
        <v>20245701358</v>
      </c>
      <c r="E420" t="s">
        <v>165</v>
      </c>
      <c r="F420" t="s">
        <v>1</v>
      </c>
      <c r="G420" t="s">
        <v>166</v>
      </c>
      <c r="H420" t="s">
        <v>50</v>
      </c>
      <c r="I420">
        <v>5940</v>
      </c>
      <c r="J420">
        <v>3</v>
      </c>
      <c r="K420" t="s">
        <v>32</v>
      </c>
      <c r="L420">
        <v>83429</v>
      </c>
      <c r="M420" t="s">
        <v>140</v>
      </c>
      <c r="N420">
        <v>1</v>
      </c>
      <c r="O420" t="s">
        <v>119</v>
      </c>
      <c r="P420" t="s">
        <v>805</v>
      </c>
      <c r="Q420">
        <v>886043.34</v>
      </c>
      <c r="R420">
        <v>32455800</v>
      </c>
      <c r="S420">
        <v>60</v>
      </c>
      <c r="T420">
        <v>540930</v>
      </c>
      <c r="U420">
        <v>1</v>
      </c>
      <c r="V420">
        <v>1</v>
      </c>
      <c r="W420" t="s">
        <v>127</v>
      </c>
      <c r="X420">
        <v>54093</v>
      </c>
      <c r="Y420">
        <v>886043.34</v>
      </c>
      <c r="Z420">
        <v>32455800</v>
      </c>
      <c r="AA420">
        <v>540930</v>
      </c>
      <c r="AB420">
        <v>212</v>
      </c>
      <c r="AC420" s="34">
        <v>45949</v>
      </c>
      <c r="AD420" s="34">
        <v>46112</v>
      </c>
      <c r="AF420">
        <v>0</v>
      </c>
      <c r="AG420">
        <v>886043.34</v>
      </c>
      <c r="AH420">
        <v>0</v>
      </c>
      <c r="AI420">
        <v>886043.34</v>
      </c>
      <c r="AJ420">
        <v>0</v>
      </c>
      <c r="AK420">
        <v>0</v>
      </c>
      <c r="AL420">
        <v>231257.31</v>
      </c>
      <c r="AM420">
        <v>0</v>
      </c>
      <c r="AN420">
        <v>1117300.6499999999</v>
      </c>
      <c r="AO420" t="s">
        <v>122</v>
      </c>
      <c r="AP420">
        <v>15</v>
      </c>
      <c r="AQ420">
        <v>132906.5</v>
      </c>
      <c r="AR420">
        <v>132906.5</v>
      </c>
      <c r="AT420">
        <v>19473480</v>
      </c>
      <c r="AU420">
        <v>531626</v>
      </c>
      <c r="AV420">
        <v>19473480</v>
      </c>
      <c r="AW420">
        <v>531626</v>
      </c>
    </row>
    <row r="421" spans="1:49" hidden="1" x14ac:dyDescent="0.35">
      <c r="A421">
        <v>5813810</v>
      </c>
      <c r="B421">
        <v>1170005813801</v>
      </c>
      <c r="D421">
        <v>20236078389</v>
      </c>
      <c r="E421" t="s">
        <v>803</v>
      </c>
      <c r="F421" t="s">
        <v>1</v>
      </c>
      <c r="G421" t="s">
        <v>198</v>
      </c>
      <c r="H421" t="s">
        <v>28</v>
      </c>
      <c r="I421">
        <v>2914</v>
      </c>
      <c r="J421">
        <v>1</v>
      </c>
      <c r="K421" t="s">
        <v>16</v>
      </c>
      <c r="L421">
        <v>8105</v>
      </c>
      <c r="M421" t="s">
        <v>199</v>
      </c>
      <c r="N421">
        <v>1</v>
      </c>
      <c r="O421" t="s">
        <v>125</v>
      </c>
      <c r="P421" t="s">
        <v>806</v>
      </c>
      <c r="Q421">
        <v>329.84</v>
      </c>
      <c r="R421">
        <v>11100</v>
      </c>
      <c r="S421">
        <v>37</v>
      </c>
      <c r="T421">
        <v>300</v>
      </c>
      <c r="U421">
        <v>26</v>
      </c>
      <c r="V421">
        <v>1490.5</v>
      </c>
      <c r="W421" t="s">
        <v>121</v>
      </c>
      <c r="X421" t="s">
        <v>1</v>
      </c>
      <c r="Y421">
        <v>491626.52</v>
      </c>
      <c r="Z421">
        <v>16544550</v>
      </c>
      <c r="AA421">
        <v>447150</v>
      </c>
      <c r="AB421">
        <v>106</v>
      </c>
      <c r="AC421" s="34">
        <v>45952</v>
      </c>
      <c r="AD421" s="34">
        <v>46022</v>
      </c>
      <c r="AE421" t="s">
        <v>161</v>
      </c>
      <c r="AF421">
        <v>0</v>
      </c>
      <c r="AG421">
        <v>329.84</v>
      </c>
      <c r="AH421">
        <v>0</v>
      </c>
      <c r="AI421">
        <v>491626.52</v>
      </c>
      <c r="AJ421">
        <v>0</v>
      </c>
      <c r="AK421">
        <v>0</v>
      </c>
      <c r="AL421">
        <v>123413.4</v>
      </c>
      <c r="AM421">
        <v>0</v>
      </c>
      <c r="AN421">
        <v>615039.92000000004</v>
      </c>
      <c r="AO421" t="s">
        <v>122</v>
      </c>
      <c r="AP421">
        <v>15.000999999999999</v>
      </c>
      <c r="AQ421">
        <v>49.48</v>
      </c>
      <c r="AR421">
        <v>73749.94</v>
      </c>
      <c r="AT421">
        <v>6660</v>
      </c>
      <c r="AU421">
        <v>197.9</v>
      </c>
      <c r="AV421">
        <v>9926730</v>
      </c>
      <c r="AW421">
        <v>294969.95</v>
      </c>
    </row>
    <row r="422" spans="1:49" hidden="1" x14ac:dyDescent="0.35">
      <c r="A422">
        <v>5813910</v>
      </c>
      <c r="B422">
        <v>1080005813901</v>
      </c>
      <c r="D422">
        <v>30665274442</v>
      </c>
      <c r="E422" t="s">
        <v>807</v>
      </c>
      <c r="F422" t="s">
        <v>1</v>
      </c>
      <c r="G422" t="s">
        <v>25</v>
      </c>
      <c r="H422" t="s">
        <v>25</v>
      </c>
      <c r="I422">
        <v>7160</v>
      </c>
      <c r="J422">
        <v>1</v>
      </c>
      <c r="K422" t="s">
        <v>16</v>
      </c>
      <c r="L422">
        <v>7999</v>
      </c>
      <c r="M422" t="s">
        <v>691</v>
      </c>
      <c r="N422">
        <v>1</v>
      </c>
      <c r="O422" t="s">
        <v>125</v>
      </c>
      <c r="P422" t="s">
        <v>808</v>
      </c>
      <c r="Q422">
        <v>2947.68</v>
      </c>
      <c r="R422">
        <v>110400</v>
      </c>
      <c r="S422">
        <v>138</v>
      </c>
      <c r="T422">
        <v>800</v>
      </c>
      <c r="U422">
        <v>26</v>
      </c>
      <c r="V422">
        <v>1490.5</v>
      </c>
      <c r="W422" t="s">
        <v>121</v>
      </c>
      <c r="X422" t="s">
        <v>1</v>
      </c>
      <c r="Y422">
        <v>4393517.04</v>
      </c>
      <c r="Z422">
        <v>164551200</v>
      </c>
      <c r="AA422">
        <v>1192400</v>
      </c>
      <c r="AB422">
        <v>214</v>
      </c>
      <c r="AC422" s="34">
        <v>45955</v>
      </c>
      <c r="AD422" s="34">
        <v>46053</v>
      </c>
      <c r="AF422">
        <v>0</v>
      </c>
      <c r="AG422">
        <v>5809.92</v>
      </c>
      <c r="AH422">
        <v>0</v>
      </c>
      <c r="AI422">
        <v>8659685.7599999998</v>
      </c>
      <c r="AJ422">
        <v>0</v>
      </c>
      <c r="AK422">
        <v>0</v>
      </c>
      <c r="AL422">
        <v>2234199.88</v>
      </c>
      <c r="AM422">
        <v>0</v>
      </c>
      <c r="AN422">
        <v>10893885.640000001</v>
      </c>
      <c r="AO422" t="s">
        <v>122</v>
      </c>
      <c r="AP422">
        <v>12</v>
      </c>
      <c r="AQ422">
        <v>697.19</v>
      </c>
      <c r="AR422">
        <v>1039161.7</v>
      </c>
      <c r="AT422">
        <v>66240</v>
      </c>
      <c r="AU422">
        <v>1768.61</v>
      </c>
      <c r="AV422">
        <v>98730720</v>
      </c>
      <c r="AW422">
        <v>2636113.21</v>
      </c>
    </row>
    <row r="423" spans="1:49" hidden="1" x14ac:dyDescent="0.35">
      <c r="A423">
        <v>5813910</v>
      </c>
      <c r="B423">
        <v>1080005813901</v>
      </c>
      <c r="D423">
        <v>30665274442</v>
      </c>
      <c r="E423" t="s">
        <v>807</v>
      </c>
      <c r="F423" t="s">
        <v>1</v>
      </c>
      <c r="G423" t="s">
        <v>25</v>
      </c>
      <c r="H423" t="s">
        <v>25</v>
      </c>
      <c r="I423">
        <v>7160</v>
      </c>
      <c r="J423">
        <v>1</v>
      </c>
      <c r="K423" t="s">
        <v>16</v>
      </c>
      <c r="L423">
        <v>7999</v>
      </c>
      <c r="M423" t="s">
        <v>691</v>
      </c>
      <c r="N423">
        <v>2</v>
      </c>
      <c r="O423" t="s">
        <v>125</v>
      </c>
      <c r="P423" t="s">
        <v>809</v>
      </c>
      <c r="Q423">
        <v>2862.24</v>
      </c>
      <c r="R423">
        <v>107200</v>
      </c>
      <c r="S423">
        <v>134</v>
      </c>
      <c r="T423">
        <v>800</v>
      </c>
      <c r="U423">
        <v>26</v>
      </c>
      <c r="V423">
        <v>1490.5</v>
      </c>
      <c r="W423" t="s">
        <v>121</v>
      </c>
      <c r="X423" t="s">
        <v>1</v>
      </c>
      <c r="Y423">
        <v>4266168.72</v>
      </c>
      <c r="Z423">
        <v>159781600</v>
      </c>
      <c r="AA423">
        <v>1192400</v>
      </c>
      <c r="AB423">
        <v>214</v>
      </c>
      <c r="AC423" s="34">
        <v>45955</v>
      </c>
      <c r="AD423" s="34">
        <v>46053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 t="s">
        <v>122</v>
      </c>
      <c r="AT423">
        <v>64320</v>
      </c>
      <c r="AU423">
        <v>1717.34</v>
      </c>
      <c r="AV423">
        <v>95868960</v>
      </c>
      <c r="AW423">
        <v>2559695.27</v>
      </c>
    </row>
    <row r="424" spans="1:49" hidden="1" x14ac:dyDescent="0.35">
      <c r="A424">
        <v>5814010</v>
      </c>
      <c r="B424">
        <v>1090005814001</v>
      </c>
      <c r="D424">
        <v>30714456918</v>
      </c>
      <c r="E424" t="s">
        <v>810</v>
      </c>
      <c r="F424" t="s">
        <v>1</v>
      </c>
      <c r="G424" t="s">
        <v>27</v>
      </c>
      <c r="H424" t="s">
        <v>27</v>
      </c>
      <c r="I424">
        <v>8180</v>
      </c>
      <c r="J424">
        <v>1</v>
      </c>
      <c r="K424" t="s">
        <v>16</v>
      </c>
      <c r="L424">
        <v>6039</v>
      </c>
      <c r="M424" t="s">
        <v>274</v>
      </c>
      <c r="N424">
        <v>1</v>
      </c>
      <c r="O424" t="s">
        <v>125</v>
      </c>
      <c r="P424" t="s">
        <v>811</v>
      </c>
      <c r="Q424">
        <v>3344.99</v>
      </c>
      <c r="R424">
        <v>116550</v>
      </c>
      <c r="S424">
        <v>333</v>
      </c>
      <c r="T424">
        <v>350</v>
      </c>
      <c r="U424">
        <v>26</v>
      </c>
      <c r="V424">
        <v>1490.5</v>
      </c>
      <c r="W424" t="s">
        <v>121</v>
      </c>
      <c r="X424" t="s">
        <v>1</v>
      </c>
      <c r="Y424">
        <v>4985707.5999999996</v>
      </c>
      <c r="Z424">
        <v>173717775</v>
      </c>
      <c r="AA424">
        <v>521675</v>
      </c>
      <c r="AB424">
        <v>106</v>
      </c>
      <c r="AC424" s="34">
        <v>45955</v>
      </c>
      <c r="AD424" s="34">
        <v>46053</v>
      </c>
      <c r="AF424">
        <v>0</v>
      </c>
      <c r="AG424">
        <v>37295.61</v>
      </c>
      <c r="AH424">
        <v>0</v>
      </c>
      <c r="AI424">
        <v>55589106.710000001</v>
      </c>
      <c r="AJ424">
        <v>0</v>
      </c>
      <c r="AK424">
        <v>0</v>
      </c>
      <c r="AL424">
        <v>13952868.6</v>
      </c>
      <c r="AM424">
        <v>0</v>
      </c>
      <c r="AN424">
        <v>69541975.310000002</v>
      </c>
      <c r="AO424" t="s">
        <v>122</v>
      </c>
      <c r="AP424">
        <v>12</v>
      </c>
      <c r="AQ424">
        <v>4475.47</v>
      </c>
      <c r="AR424">
        <v>6670688.04</v>
      </c>
      <c r="AT424">
        <v>69930</v>
      </c>
      <c r="AU424">
        <v>2006.99</v>
      </c>
      <c r="AV424">
        <v>104230665</v>
      </c>
      <c r="AW424">
        <v>2991418.6</v>
      </c>
    </row>
    <row r="425" spans="1:49" hidden="1" x14ac:dyDescent="0.35">
      <c r="A425">
        <v>5814010</v>
      </c>
      <c r="B425">
        <v>1090005814001</v>
      </c>
      <c r="D425">
        <v>30714456918</v>
      </c>
      <c r="E425" t="s">
        <v>810</v>
      </c>
      <c r="F425" t="s">
        <v>1</v>
      </c>
      <c r="G425" t="s">
        <v>27</v>
      </c>
      <c r="H425" t="s">
        <v>27</v>
      </c>
      <c r="I425">
        <v>8180</v>
      </c>
      <c r="J425">
        <v>1</v>
      </c>
      <c r="K425" t="s">
        <v>16</v>
      </c>
      <c r="L425">
        <v>6039</v>
      </c>
      <c r="M425" t="s">
        <v>274</v>
      </c>
      <c r="N425">
        <v>2</v>
      </c>
      <c r="O425" t="s">
        <v>125</v>
      </c>
      <c r="P425" t="s">
        <v>812</v>
      </c>
      <c r="Q425">
        <v>9345.98</v>
      </c>
      <c r="R425">
        <v>337400</v>
      </c>
      <c r="S425">
        <v>964</v>
      </c>
      <c r="T425">
        <v>350</v>
      </c>
      <c r="U425">
        <v>26</v>
      </c>
      <c r="V425">
        <v>1490.5</v>
      </c>
      <c r="W425" t="s">
        <v>121</v>
      </c>
      <c r="X425" t="s">
        <v>1</v>
      </c>
      <c r="Y425">
        <v>13930183.189999999</v>
      </c>
      <c r="Z425">
        <v>502894700</v>
      </c>
      <c r="AA425">
        <v>521675</v>
      </c>
      <c r="AB425">
        <v>106</v>
      </c>
      <c r="AC425" s="34">
        <v>45955</v>
      </c>
      <c r="AD425" s="34">
        <v>46053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 t="s">
        <v>122</v>
      </c>
      <c r="AT425">
        <v>202440</v>
      </c>
      <c r="AU425">
        <v>5607.59</v>
      </c>
      <c r="AV425">
        <v>301736820</v>
      </c>
      <c r="AW425">
        <v>8358112.9000000004</v>
      </c>
    </row>
    <row r="426" spans="1:49" hidden="1" x14ac:dyDescent="0.35">
      <c r="A426">
        <v>5814010</v>
      </c>
      <c r="B426">
        <v>1090005814001</v>
      </c>
      <c r="D426">
        <v>30714456918</v>
      </c>
      <c r="E426" t="s">
        <v>810</v>
      </c>
      <c r="F426" t="s">
        <v>1</v>
      </c>
      <c r="G426" t="s">
        <v>27</v>
      </c>
      <c r="H426" t="s">
        <v>27</v>
      </c>
      <c r="I426">
        <v>8180</v>
      </c>
      <c r="J426">
        <v>1</v>
      </c>
      <c r="K426" t="s">
        <v>16</v>
      </c>
      <c r="L426">
        <v>6039</v>
      </c>
      <c r="M426" t="s">
        <v>274</v>
      </c>
      <c r="N426">
        <v>3</v>
      </c>
      <c r="O426" t="s">
        <v>125</v>
      </c>
      <c r="P426" t="s">
        <v>813</v>
      </c>
      <c r="Q426">
        <v>9321.76</v>
      </c>
      <c r="R426">
        <v>324800</v>
      </c>
      <c r="S426">
        <v>928</v>
      </c>
      <c r="T426">
        <v>350</v>
      </c>
      <c r="U426">
        <v>26</v>
      </c>
      <c r="V426">
        <v>1490.5</v>
      </c>
      <c r="W426" t="s">
        <v>121</v>
      </c>
      <c r="X426" t="s">
        <v>1</v>
      </c>
      <c r="Y426">
        <v>13894083.279999999</v>
      </c>
      <c r="Z426">
        <v>484114400</v>
      </c>
      <c r="AA426">
        <v>521675</v>
      </c>
      <c r="AB426">
        <v>106</v>
      </c>
      <c r="AC426" s="34">
        <v>45955</v>
      </c>
      <c r="AD426" s="34">
        <v>46053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 t="s">
        <v>122</v>
      </c>
      <c r="AT426">
        <v>194880</v>
      </c>
      <c r="AU426">
        <v>5593.06</v>
      </c>
      <c r="AV426">
        <v>290468640</v>
      </c>
      <c r="AW426">
        <v>8336455.9299999997</v>
      </c>
    </row>
    <row r="427" spans="1:49" hidden="1" x14ac:dyDescent="0.35">
      <c r="A427">
        <v>5814010</v>
      </c>
      <c r="B427">
        <v>1090005814001</v>
      </c>
      <c r="D427">
        <v>30714456918</v>
      </c>
      <c r="E427" t="s">
        <v>810</v>
      </c>
      <c r="F427" t="s">
        <v>1</v>
      </c>
      <c r="G427" t="s">
        <v>27</v>
      </c>
      <c r="H427" t="s">
        <v>27</v>
      </c>
      <c r="I427">
        <v>8180</v>
      </c>
      <c r="J427">
        <v>1</v>
      </c>
      <c r="K427" t="s">
        <v>16</v>
      </c>
      <c r="L427">
        <v>6039</v>
      </c>
      <c r="M427" t="s">
        <v>274</v>
      </c>
      <c r="N427">
        <v>4</v>
      </c>
      <c r="O427" t="s">
        <v>125</v>
      </c>
      <c r="P427" t="s">
        <v>814</v>
      </c>
      <c r="Q427">
        <v>3013.5</v>
      </c>
      <c r="R427">
        <v>105000</v>
      </c>
      <c r="S427">
        <v>300</v>
      </c>
      <c r="T427">
        <v>350</v>
      </c>
      <c r="U427">
        <v>26</v>
      </c>
      <c r="V427">
        <v>1490.5</v>
      </c>
      <c r="W427" t="s">
        <v>121</v>
      </c>
      <c r="X427" t="s">
        <v>1</v>
      </c>
      <c r="Y427">
        <v>4491621.75</v>
      </c>
      <c r="Z427">
        <v>156502500</v>
      </c>
      <c r="AA427">
        <v>521675</v>
      </c>
      <c r="AB427">
        <v>106</v>
      </c>
      <c r="AC427" s="34">
        <v>45955</v>
      </c>
      <c r="AD427" s="34">
        <v>46053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 t="s">
        <v>122</v>
      </c>
      <c r="AT427">
        <v>63000</v>
      </c>
      <c r="AU427">
        <v>1808.1</v>
      </c>
      <c r="AV427">
        <v>93901500</v>
      </c>
      <c r="AW427">
        <v>2694973.05</v>
      </c>
    </row>
    <row r="428" spans="1:49" hidden="1" x14ac:dyDescent="0.35">
      <c r="A428">
        <v>5814010</v>
      </c>
      <c r="B428">
        <v>1090005814001</v>
      </c>
      <c r="D428">
        <v>30714456918</v>
      </c>
      <c r="E428" t="s">
        <v>810</v>
      </c>
      <c r="F428" t="s">
        <v>1</v>
      </c>
      <c r="G428" t="s">
        <v>27</v>
      </c>
      <c r="H428" t="s">
        <v>27</v>
      </c>
      <c r="I428">
        <v>8180</v>
      </c>
      <c r="J428">
        <v>1</v>
      </c>
      <c r="K428" t="s">
        <v>16</v>
      </c>
      <c r="L428">
        <v>6039</v>
      </c>
      <c r="M428" t="s">
        <v>274</v>
      </c>
      <c r="N428">
        <v>5</v>
      </c>
      <c r="O428" t="s">
        <v>125</v>
      </c>
      <c r="P428" t="s">
        <v>815</v>
      </c>
      <c r="Q428">
        <v>1367</v>
      </c>
      <c r="R428">
        <v>49350</v>
      </c>
      <c r="S428">
        <v>141</v>
      </c>
      <c r="T428">
        <v>350</v>
      </c>
      <c r="U428">
        <v>26</v>
      </c>
      <c r="V428">
        <v>1490.5</v>
      </c>
      <c r="W428" t="s">
        <v>121</v>
      </c>
      <c r="X428" t="s">
        <v>1</v>
      </c>
      <c r="Y428">
        <v>2037513.5</v>
      </c>
      <c r="Z428">
        <v>73556175</v>
      </c>
      <c r="AA428">
        <v>521675</v>
      </c>
      <c r="AB428">
        <v>106</v>
      </c>
      <c r="AC428" s="34">
        <v>45955</v>
      </c>
      <c r="AD428" s="34">
        <v>46053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 t="s">
        <v>122</v>
      </c>
      <c r="AT428">
        <v>29610</v>
      </c>
      <c r="AU428">
        <v>820.2</v>
      </c>
      <c r="AV428">
        <v>44133705</v>
      </c>
      <c r="AW428">
        <v>1222508.1000000001</v>
      </c>
    </row>
    <row r="429" spans="1:49" hidden="1" x14ac:dyDescent="0.35">
      <c r="A429">
        <v>5814010</v>
      </c>
      <c r="B429">
        <v>1090005814001</v>
      </c>
      <c r="D429">
        <v>30714456918</v>
      </c>
      <c r="E429" t="s">
        <v>810</v>
      </c>
      <c r="F429" t="s">
        <v>1</v>
      </c>
      <c r="G429" t="s">
        <v>27</v>
      </c>
      <c r="H429" t="s">
        <v>27</v>
      </c>
      <c r="I429">
        <v>8180</v>
      </c>
      <c r="J429">
        <v>1</v>
      </c>
      <c r="K429" t="s">
        <v>16</v>
      </c>
      <c r="L429">
        <v>6039</v>
      </c>
      <c r="M429" t="s">
        <v>274</v>
      </c>
      <c r="N429">
        <v>6</v>
      </c>
      <c r="O429" t="s">
        <v>125</v>
      </c>
      <c r="P429" t="s">
        <v>816</v>
      </c>
      <c r="Q429">
        <v>2123.21</v>
      </c>
      <c r="R429">
        <v>76650</v>
      </c>
      <c r="S429">
        <v>219</v>
      </c>
      <c r="T429">
        <v>350</v>
      </c>
      <c r="U429">
        <v>26</v>
      </c>
      <c r="V429">
        <v>1490.5</v>
      </c>
      <c r="W429" t="s">
        <v>121</v>
      </c>
      <c r="X429" t="s">
        <v>1</v>
      </c>
      <c r="Y429">
        <v>3164644.51</v>
      </c>
      <c r="Z429">
        <v>114246825</v>
      </c>
      <c r="AA429">
        <v>521675</v>
      </c>
      <c r="AB429">
        <v>106</v>
      </c>
      <c r="AC429" s="34">
        <v>45955</v>
      </c>
      <c r="AD429" s="34">
        <v>46053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 t="s">
        <v>122</v>
      </c>
      <c r="AT429">
        <v>45990</v>
      </c>
      <c r="AU429">
        <v>1273.93</v>
      </c>
      <c r="AV429">
        <v>68548095</v>
      </c>
      <c r="AW429">
        <v>1898792.67</v>
      </c>
    </row>
    <row r="430" spans="1:49" hidden="1" x14ac:dyDescent="0.35">
      <c r="A430">
        <v>5814010</v>
      </c>
      <c r="B430">
        <v>1090005814001</v>
      </c>
      <c r="D430">
        <v>30714456918</v>
      </c>
      <c r="E430" t="s">
        <v>810</v>
      </c>
      <c r="F430" t="s">
        <v>1</v>
      </c>
      <c r="G430" t="s">
        <v>27</v>
      </c>
      <c r="H430" t="s">
        <v>27</v>
      </c>
      <c r="I430">
        <v>8180</v>
      </c>
      <c r="J430">
        <v>1</v>
      </c>
      <c r="K430" t="s">
        <v>16</v>
      </c>
      <c r="L430">
        <v>6039</v>
      </c>
      <c r="M430" t="s">
        <v>274</v>
      </c>
      <c r="N430">
        <v>7</v>
      </c>
      <c r="O430" t="s">
        <v>125</v>
      </c>
      <c r="P430" t="s">
        <v>817</v>
      </c>
      <c r="Q430">
        <v>542.42999999999995</v>
      </c>
      <c r="R430">
        <v>18900</v>
      </c>
      <c r="S430">
        <v>54</v>
      </c>
      <c r="T430">
        <v>350</v>
      </c>
      <c r="U430">
        <v>26</v>
      </c>
      <c r="V430">
        <v>1490.5</v>
      </c>
      <c r="W430" t="s">
        <v>121</v>
      </c>
      <c r="X430" t="s">
        <v>1</v>
      </c>
      <c r="Y430">
        <v>808491.92</v>
      </c>
      <c r="Z430">
        <v>28170450</v>
      </c>
      <c r="AA430">
        <v>521675</v>
      </c>
      <c r="AB430">
        <v>106</v>
      </c>
      <c r="AC430" s="34">
        <v>45955</v>
      </c>
      <c r="AD430" s="34">
        <v>46053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 t="s">
        <v>122</v>
      </c>
      <c r="AT430">
        <v>11340</v>
      </c>
      <c r="AU430">
        <v>325.45999999999998</v>
      </c>
      <c r="AV430">
        <v>16902270</v>
      </c>
      <c r="AW430">
        <v>485098.13</v>
      </c>
    </row>
    <row r="431" spans="1:49" hidden="1" x14ac:dyDescent="0.35">
      <c r="A431">
        <v>5814010</v>
      </c>
      <c r="B431">
        <v>1090005814001</v>
      </c>
      <c r="D431">
        <v>30714456918</v>
      </c>
      <c r="E431" t="s">
        <v>810</v>
      </c>
      <c r="F431" t="s">
        <v>1</v>
      </c>
      <c r="G431" t="s">
        <v>27</v>
      </c>
      <c r="H431" t="s">
        <v>27</v>
      </c>
      <c r="I431">
        <v>8180</v>
      </c>
      <c r="J431">
        <v>1</v>
      </c>
      <c r="K431" t="s">
        <v>16</v>
      </c>
      <c r="L431">
        <v>6039</v>
      </c>
      <c r="M431" t="s">
        <v>274</v>
      </c>
      <c r="N431">
        <v>8</v>
      </c>
      <c r="O431" t="s">
        <v>125</v>
      </c>
      <c r="P431" t="s">
        <v>818</v>
      </c>
      <c r="Q431">
        <v>1175.27</v>
      </c>
      <c r="R431">
        <v>40950</v>
      </c>
      <c r="S431">
        <v>117</v>
      </c>
      <c r="T431">
        <v>350</v>
      </c>
      <c r="U431">
        <v>26</v>
      </c>
      <c r="V431">
        <v>1490.5</v>
      </c>
      <c r="W431" t="s">
        <v>121</v>
      </c>
      <c r="X431" t="s">
        <v>1</v>
      </c>
      <c r="Y431">
        <v>1751739.94</v>
      </c>
      <c r="Z431">
        <v>61035975</v>
      </c>
      <c r="AA431">
        <v>521675</v>
      </c>
      <c r="AB431">
        <v>106</v>
      </c>
      <c r="AC431" s="34">
        <v>45955</v>
      </c>
      <c r="AD431" s="34">
        <v>46053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 t="s">
        <v>122</v>
      </c>
      <c r="AT431">
        <v>24570</v>
      </c>
      <c r="AU431">
        <v>705.16</v>
      </c>
      <c r="AV431">
        <v>36621585</v>
      </c>
      <c r="AW431">
        <v>1051040.98</v>
      </c>
    </row>
    <row r="432" spans="1:49" hidden="1" x14ac:dyDescent="0.35">
      <c r="A432">
        <v>5814010</v>
      </c>
      <c r="B432">
        <v>1090005814001</v>
      </c>
      <c r="D432">
        <v>30714456918</v>
      </c>
      <c r="E432" t="s">
        <v>810</v>
      </c>
      <c r="F432" t="s">
        <v>1</v>
      </c>
      <c r="G432" t="s">
        <v>27</v>
      </c>
      <c r="H432" t="s">
        <v>27</v>
      </c>
      <c r="I432">
        <v>8180</v>
      </c>
      <c r="J432">
        <v>1</v>
      </c>
      <c r="K432" t="s">
        <v>16</v>
      </c>
      <c r="L432">
        <v>6039</v>
      </c>
      <c r="M432" t="s">
        <v>274</v>
      </c>
      <c r="N432">
        <v>9</v>
      </c>
      <c r="O432" t="s">
        <v>125</v>
      </c>
      <c r="P432" t="s">
        <v>819</v>
      </c>
      <c r="Q432">
        <v>2375.2800000000002</v>
      </c>
      <c r="R432">
        <v>85750</v>
      </c>
      <c r="S432">
        <v>245</v>
      </c>
      <c r="T432">
        <v>350</v>
      </c>
      <c r="U432">
        <v>26</v>
      </c>
      <c r="V432">
        <v>1490.5</v>
      </c>
      <c r="W432" t="s">
        <v>121</v>
      </c>
      <c r="X432" t="s">
        <v>1</v>
      </c>
      <c r="Y432">
        <v>3540354.84</v>
      </c>
      <c r="Z432">
        <v>127810375</v>
      </c>
      <c r="AA432">
        <v>521675</v>
      </c>
      <c r="AB432">
        <v>106</v>
      </c>
      <c r="AC432" s="34">
        <v>45955</v>
      </c>
      <c r="AD432" s="34">
        <v>46053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 t="s">
        <v>122</v>
      </c>
      <c r="AT432">
        <v>51450</v>
      </c>
      <c r="AU432">
        <v>1425.17</v>
      </c>
      <c r="AV432">
        <v>76686225</v>
      </c>
      <c r="AW432">
        <v>2124215.89</v>
      </c>
    </row>
    <row r="433" spans="1:49" hidden="1" x14ac:dyDescent="0.35">
      <c r="A433">
        <v>5814010</v>
      </c>
      <c r="B433">
        <v>1090005814001</v>
      </c>
      <c r="D433">
        <v>30714456918</v>
      </c>
      <c r="E433" t="s">
        <v>810</v>
      </c>
      <c r="F433" t="s">
        <v>1</v>
      </c>
      <c r="G433" t="s">
        <v>27</v>
      </c>
      <c r="H433" t="s">
        <v>27</v>
      </c>
      <c r="I433">
        <v>8180</v>
      </c>
      <c r="J433">
        <v>1</v>
      </c>
      <c r="K433" t="s">
        <v>16</v>
      </c>
      <c r="L433">
        <v>6039</v>
      </c>
      <c r="M433" t="s">
        <v>274</v>
      </c>
      <c r="N433">
        <v>10</v>
      </c>
      <c r="O433" t="s">
        <v>125</v>
      </c>
      <c r="P433" t="s">
        <v>820</v>
      </c>
      <c r="Q433">
        <v>1803.27</v>
      </c>
      <c r="R433">
        <v>65100</v>
      </c>
      <c r="S433">
        <v>186</v>
      </c>
      <c r="T433">
        <v>350</v>
      </c>
      <c r="U433">
        <v>26</v>
      </c>
      <c r="V433">
        <v>1490.5</v>
      </c>
      <c r="W433" t="s">
        <v>121</v>
      </c>
      <c r="X433" t="s">
        <v>1</v>
      </c>
      <c r="Y433">
        <v>2687773.94</v>
      </c>
      <c r="Z433">
        <v>97031550</v>
      </c>
      <c r="AA433">
        <v>521675</v>
      </c>
      <c r="AB433">
        <v>106</v>
      </c>
      <c r="AC433" s="34">
        <v>45955</v>
      </c>
      <c r="AD433" s="34">
        <v>46053</v>
      </c>
      <c r="AF433">
        <v>1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 t="s">
        <v>122</v>
      </c>
      <c r="AT433">
        <v>39060</v>
      </c>
      <c r="AU433">
        <v>1081.96</v>
      </c>
      <c r="AV433">
        <v>58218930</v>
      </c>
      <c r="AW433">
        <v>1612661.38</v>
      </c>
    </row>
    <row r="434" spans="1:49" hidden="1" x14ac:dyDescent="0.35">
      <c r="A434">
        <v>5814010</v>
      </c>
      <c r="B434">
        <v>1090005814001</v>
      </c>
      <c r="D434">
        <v>30714456918</v>
      </c>
      <c r="E434" t="s">
        <v>810</v>
      </c>
      <c r="F434" t="s">
        <v>1</v>
      </c>
      <c r="G434" t="s">
        <v>27</v>
      </c>
      <c r="H434" t="s">
        <v>27</v>
      </c>
      <c r="I434">
        <v>8180</v>
      </c>
      <c r="J434">
        <v>1</v>
      </c>
      <c r="K434" t="s">
        <v>16</v>
      </c>
      <c r="L434">
        <v>6039</v>
      </c>
      <c r="M434" t="s">
        <v>274</v>
      </c>
      <c r="N434">
        <v>11</v>
      </c>
      <c r="O434" t="s">
        <v>125</v>
      </c>
      <c r="P434" t="s">
        <v>821</v>
      </c>
      <c r="Q434">
        <v>2882.92</v>
      </c>
      <c r="R434">
        <v>100450</v>
      </c>
      <c r="S434">
        <v>287</v>
      </c>
      <c r="T434">
        <v>350</v>
      </c>
      <c r="U434">
        <v>26</v>
      </c>
      <c r="V434">
        <v>1490.5</v>
      </c>
      <c r="W434" t="s">
        <v>121</v>
      </c>
      <c r="X434" t="s">
        <v>1</v>
      </c>
      <c r="Y434">
        <v>4296992.26</v>
      </c>
      <c r="Z434">
        <v>149720725</v>
      </c>
      <c r="AA434">
        <v>521675</v>
      </c>
      <c r="AB434">
        <v>106</v>
      </c>
      <c r="AC434" s="34">
        <v>45955</v>
      </c>
      <c r="AD434" s="34">
        <v>46053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 t="s">
        <v>122</v>
      </c>
      <c r="AT434">
        <v>60270</v>
      </c>
      <c r="AU434">
        <v>1729.75</v>
      </c>
      <c r="AV434">
        <v>89832435</v>
      </c>
      <c r="AW434">
        <v>2578192.38</v>
      </c>
    </row>
    <row r="435" spans="1:49" hidden="1" x14ac:dyDescent="0.35">
      <c r="A435">
        <v>5814110</v>
      </c>
      <c r="B435">
        <v>1090005814101</v>
      </c>
      <c r="D435">
        <v>23052678439</v>
      </c>
      <c r="E435" t="s">
        <v>822</v>
      </c>
      <c r="F435" t="s">
        <v>1</v>
      </c>
      <c r="G435" t="s">
        <v>568</v>
      </c>
      <c r="H435" t="s">
        <v>57</v>
      </c>
      <c r="I435">
        <v>6360</v>
      </c>
      <c r="J435">
        <v>21</v>
      </c>
      <c r="K435" t="s">
        <v>33</v>
      </c>
      <c r="L435">
        <v>6127</v>
      </c>
      <c r="M435" t="s">
        <v>118</v>
      </c>
      <c r="N435">
        <v>1</v>
      </c>
      <c r="O435" t="s">
        <v>119</v>
      </c>
      <c r="P435" t="s">
        <v>823</v>
      </c>
      <c r="Q435">
        <v>1395</v>
      </c>
      <c r="R435">
        <v>45000</v>
      </c>
      <c r="S435">
        <v>90</v>
      </c>
      <c r="T435">
        <v>500</v>
      </c>
      <c r="U435">
        <v>26</v>
      </c>
      <c r="V435">
        <v>1490.5</v>
      </c>
      <c r="W435" t="s">
        <v>121</v>
      </c>
      <c r="X435" t="s">
        <v>1</v>
      </c>
      <c r="Y435">
        <v>2079247.5</v>
      </c>
      <c r="Z435">
        <v>67072500</v>
      </c>
      <c r="AA435">
        <v>745250</v>
      </c>
      <c r="AB435">
        <v>106</v>
      </c>
      <c r="AC435" s="34">
        <v>45956</v>
      </c>
      <c r="AD435" s="34">
        <v>46112</v>
      </c>
      <c r="AF435">
        <v>0</v>
      </c>
      <c r="AG435">
        <v>1395</v>
      </c>
      <c r="AH435">
        <v>0</v>
      </c>
      <c r="AI435">
        <v>2079247.5</v>
      </c>
      <c r="AJ435">
        <v>0</v>
      </c>
      <c r="AK435">
        <v>0</v>
      </c>
      <c r="AL435">
        <v>521898.58</v>
      </c>
      <c r="AM435">
        <v>0</v>
      </c>
      <c r="AN435">
        <v>2601146.08</v>
      </c>
      <c r="AO435" t="s">
        <v>122</v>
      </c>
      <c r="AP435">
        <v>12</v>
      </c>
      <c r="AQ435">
        <v>167.4</v>
      </c>
      <c r="AR435">
        <v>249509.7</v>
      </c>
      <c r="AT435">
        <v>27000</v>
      </c>
      <c r="AU435">
        <v>837</v>
      </c>
      <c r="AV435">
        <v>40243500</v>
      </c>
      <c r="AW435">
        <v>1247548.5</v>
      </c>
    </row>
    <row r="436" spans="1:49" hidden="1" x14ac:dyDescent="0.35">
      <c r="A436">
        <v>5814210</v>
      </c>
      <c r="B436">
        <v>1250005814201</v>
      </c>
      <c r="D436">
        <v>30601358502</v>
      </c>
      <c r="E436" t="s">
        <v>336</v>
      </c>
      <c r="F436" t="s">
        <v>1</v>
      </c>
      <c r="G436" t="s">
        <v>174</v>
      </c>
      <c r="H436" t="s">
        <v>51</v>
      </c>
      <c r="I436">
        <v>5929</v>
      </c>
      <c r="J436">
        <v>3</v>
      </c>
      <c r="K436" t="s">
        <v>32</v>
      </c>
      <c r="L436">
        <v>6435</v>
      </c>
      <c r="M436" t="s">
        <v>175</v>
      </c>
      <c r="N436">
        <v>1</v>
      </c>
      <c r="O436" t="s">
        <v>119</v>
      </c>
      <c r="P436" t="s">
        <v>824</v>
      </c>
      <c r="Q436">
        <v>5773680</v>
      </c>
      <c r="R436">
        <v>106920000</v>
      </c>
      <c r="S436">
        <v>180</v>
      </c>
      <c r="T436">
        <v>594000</v>
      </c>
      <c r="U436">
        <v>1</v>
      </c>
      <c r="V436">
        <v>1</v>
      </c>
      <c r="W436" t="s">
        <v>127</v>
      </c>
      <c r="X436">
        <v>29700</v>
      </c>
      <c r="Y436">
        <v>5773680</v>
      </c>
      <c r="Z436">
        <v>106920000</v>
      </c>
      <c r="AA436">
        <v>594000</v>
      </c>
      <c r="AB436">
        <v>105</v>
      </c>
      <c r="AC436" s="34">
        <v>45951</v>
      </c>
      <c r="AD436" s="34">
        <v>46173</v>
      </c>
      <c r="AF436">
        <v>0</v>
      </c>
      <c r="AG436">
        <v>14851188</v>
      </c>
      <c r="AH436">
        <v>0</v>
      </c>
      <c r="AI436">
        <v>14851188</v>
      </c>
      <c r="AJ436">
        <v>0</v>
      </c>
      <c r="AK436">
        <v>0</v>
      </c>
      <c r="AL436">
        <v>3876160.07</v>
      </c>
      <c r="AM436">
        <v>0</v>
      </c>
      <c r="AN436">
        <v>18727348.07</v>
      </c>
      <c r="AO436" t="s">
        <v>122</v>
      </c>
      <c r="AP436">
        <v>15</v>
      </c>
      <c r="AQ436">
        <v>2227678.2000000002</v>
      </c>
      <c r="AR436">
        <v>2227678.2000000002</v>
      </c>
      <c r="AT436">
        <v>64152000</v>
      </c>
      <c r="AU436">
        <v>3464208</v>
      </c>
      <c r="AV436">
        <v>64152000</v>
      </c>
      <c r="AW436">
        <v>3464208</v>
      </c>
    </row>
    <row r="437" spans="1:49" hidden="1" x14ac:dyDescent="0.35">
      <c r="A437">
        <v>5814210</v>
      </c>
      <c r="B437">
        <v>1250005814201</v>
      </c>
      <c r="D437">
        <v>30601358502</v>
      </c>
      <c r="E437" t="s">
        <v>336</v>
      </c>
      <c r="F437" t="s">
        <v>1</v>
      </c>
      <c r="G437" t="s">
        <v>174</v>
      </c>
      <c r="H437" t="s">
        <v>51</v>
      </c>
      <c r="I437">
        <v>5929</v>
      </c>
      <c r="J437">
        <v>3</v>
      </c>
      <c r="K437" t="s">
        <v>32</v>
      </c>
      <c r="L437">
        <v>6435</v>
      </c>
      <c r="M437" t="s">
        <v>175</v>
      </c>
      <c r="N437">
        <v>2</v>
      </c>
      <c r="O437" t="s">
        <v>119</v>
      </c>
      <c r="P437" t="s">
        <v>825</v>
      </c>
      <c r="Q437">
        <v>1603800</v>
      </c>
      <c r="R437">
        <v>29700000</v>
      </c>
      <c r="S437">
        <v>50</v>
      </c>
      <c r="T437">
        <v>594000</v>
      </c>
      <c r="U437">
        <v>1</v>
      </c>
      <c r="V437">
        <v>1</v>
      </c>
      <c r="W437" t="s">
        <v>127</v>
      </c>
      <c r="X437">
        <v>29700</v>
      </c>
      <c r="Y437">
        <v>1603800</v>
      </c>
      <c r="Z437">
        <v>29700000</v>
      </c>
      <c r="AA437">
        <v>594000</v>
      </c>
      <c r="AB437">
        <v>105</v>
      </c>
      <c r="AC437" s="34">
        <v>45951</v>
      </c>
      <c r="AD437" s="34">
        <v>46173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 t="s">
        <v>122</v>
      </c>
      <c r="AT437">
        <v>17820000</v>
      </c>
      <c r="AU437">
        <v>962280</v>
      </c>
      <c r="AV437">
        <v>17820000</v>
      </c>
      <c r="AW437">
        <v>962280</v>
      </c>
    </row>
    <row r="438" spans="1:49" hidden="1" x14ac:dyDescent="0.35">
      <c r="A438">
        <v>5814210</v>
      </c>
      <c r="B438">
        <v>1250005814201</v>
      </c>
      <c r="D438">
        <v>30601358502</v>
      </c>
      <c r="E438" t="s">
        <v>336</v>
      </c>
      <c r="F438" t="s">
        <v>1</v>
      </c>
      <c r="G438" t="s">
        <v>174</v>
      </c>
      <c r="H438" t="s">
        <v>51</v>
      </c>
      <c r="I438">
        <v>5929</v>
      </c>
      <c r="J438">
        <v>3</v>
      </c>
      <c r="K438" t="s">
        <v>32</v>
      </c>
      <c r="L438">
        <v>6435</v>
      </c>
      <c r="M438" t="s">
        <v>175</v>
      </c>
      <c r="N438">
        <v>3</v>
      </c>
      <c r="O438" t="s">
        <v>119</v>
      </c>
      <c r="P438" t="s">
        <v>826</v>
      </c>
      <c r="Q438">
        <v>2309472</v>
      </c>
      <c r="R438">
        <v>42768000</v>
      </c>
      <c r="S438">
        <v>72</v>
      </c>
      <c r="T438">
        <v>594000</v>
      </c>
      <c r="U438">
        <v>1</v>
      </c>
      <c r="V438">
        <v>1</v>
      </c>
      <c r="W438" t="s">
        <v>127</v>
      </c>
      <c r="X438">
        <v>29700</v>
      </c>
      <c r="Y438">
        <v>2309472</v>
      </c>
      <c r="Z438">
        <v>42768000</v>
      </c>
      <c r="AA438">
        <v>594000</v>
      </c>
      <c r="AB438">
        <v>105</v>
      </c>
      <c r="AC438" s="34">
        <v>45951</v>
      </c>
      <c r="AD438" s="34">
        <v>46173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 t="s">
        <v>122</v>
      </c>
      <c r="AT438">
        <v>25660800</v>
      </c>
      <c r="AU438">
        <v>1385683.2</v>
      </c>
      <c r="AV438">
        <v>25660800</v>
      </c>
      <c r="AW438">
        <v>1385683.2</v>
      </c>
    </row>
    <row r="439" spans="1:49" hidden="1" x14ac:dyDescent="0.35">
      <c r="A439">
        <v>5814210</v>
      </c>
      <c r="B439">
        <v>1250005814201</v>
      </c>
      <c r="D439">
        <v>30601358502</v>
      </c>
      <c r="E439" t="s">
        <v>336</v>
      </c>
      <c r="F439" t="s">
        <v>1</v>
      </c>
      <c r="G439" t="s">
        <v>174</v>
      </c>
      <c r="H439" t="s">
        <v>51</v>
      </c>
      <c r="I439">
        <v>5929</v>
      </c>
      <c r="J439">
        <v>3</v>
      </c>
      <c r="K439" t="s">
        <v>32</v>
      </c>
      <c r="L439">
        <v>6435</v>
      </c>
      <c r="M439" t="s">
        <v>175</v>
      </c>
      <c r="N439">
        <v>4</v>
      </c>
      <c r="O439" t="s">
        <v>119</v>
      </c>
      <c r="P439" t="s">
        <v>827</v>
      </c>
      <c r="Q439">
        <v>2405700</v>
      </c>
      <c r="R439">
        <v>44550000</v>
      </c>
      <c r="S439">
        <v>75</v>
      </c>
      <c r="T439">
        <v>594000</v>
      </c>
      <c r="U439">
        <v>1</v>
      </c>
      <c r="V439">
        <v>1</v>
      </c>
      <c r="W439" t="s">
        <v>127</v>
      </c>
      <c r="X439">
        <v>29700</v>
      </c>
      <c r="Y439">
        <v>2405700</v>
      </c>
      <c r="Z439">
        <v>44550000</v>
      </c>
      <c r="AA439">
        <v>594000</v>
      </c>
      <c r="AB439">
        <v>105</v>
      </c>
      <c r="AC439" s="34">
        <v>45951</v>
      </c>
      <c r="AD439" s="34">
        <v>46173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 t="s">
        <v>122</v>
      </c>
      <c r="AT439">
        <v>26730000</v>
      </c>
      <c r="AU439">
        <v>1443420</v>
      </c>
      <c r="AV439">
        <v>26730000</v>
      </c>
      <c r="AW439">
        <v>1443420</v>
      </c>
    </row>
    <row r="440" spans="1:49" hidden="1" x14ac:dyDescent="0.35">
      <c r="A440">
        <v>5814210</v>
      </c>
      <c r="B440">
        <v>1250005814201</v>
      </c>
      <c r="D440">
        <v>30601358502</v>
      </c>
      <c r="E440" t="s">
        <v>336</v>
      </c>
      <c r="F440" t="s">
        <v>1</v>
      </c>
      <c r="G440" t="s">
        <v>174</v>
      </c>
      <c r="H440" t="s">
        <v>51</v>
      </c>
      <c r="I440">
        <v>5929</v>
      </c>
      <c r="J440">
        <v>3</v>
      </c>
      <c r="K440" t="s">
        <v>32</v>
      </c>
      <c r="L440">
        <v>6435</v>
      </c>
      <c r="M440" t="s">
        <v>175</v>
      </c>
      <c r="N440">
        <v>5</v>
      </c>
      <c r="O440" t="s">
        <v>119</v>
      </c>
      <c r="P440" t="s">
        <v>828</v>
      </c>
      <c r="Q440">
        <v>513216</v>
      </c>
      <c r="R440">
        <v>9504000</v>
      </c>
      <c r="S440">
        <v>16</v>
      </c>
      <c r="T440">
        <v>594000</v>
      </c>
      <c r="U440">
        <v>1</v>
      </c>
      <c r="V440">
        <v>1</v>
      </c>
      <c r="W440" t="s">
        <v>127</v>
      </c>
      <c r="X440">
        <v>29700</v>
      </c>
      <c r="Y440">
        <v>513216</v>
      </c>
      <c r="Z440">
        <v>9504000</v>
      </c>
      <c r="AA440">
        <v>594000</v>
      </c>
      <c r="AB440">
        <v>105</v>
      </c>
      <c r="AC440" s="34">
        <v>45951</v>
      </c>
      <c r="AD440" s="34">
        <v>46173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 t="s">
        <v>122</v>
      </c>
      <c r="AT440">
        <v>5702400</v>
      </c>
      <c r="AU440">
        <v>307929.59999999998</v>
      </c>
      <c r="AV440">
        <v>5702400</v>
      </c>
      <c r="AW440">
        <v>307929.59999999998</v>
      </c>
    </row>
    <row r="441" spans="1:49" hidden="1" x14ac:dyDescent="0.35">
      <c r="A441">
        <v>5814210</v>
      </c>
      <c r="B441">
        <v>1250005814201</v>
      </c>
      <c r="D441">
        <v>30601358502</v>
      </c>
      <c r="E441" t="s">
        <v>336</v>
      </c>
      <c r="F441" t="s">
        <v>1</v>
      </c>
      <c r="G441" t="s">
        <v>174</v>
      </c>
      <c r="H441" t="s">
        <v>51</v>
      </c>
      <c r="I441">
        <v>5929</v>
      </c>
      <c r="J441">
        <v>3</v>
      </c>
      <c r="K441" t="s">
        <v>32</v>
      </c>
      <c r="L441">
        <v>6435</v>
      </c>
      <c r="M441" t="s">
        <v>175</v>
      </c>
      <c r="N441">
        <v>6</v>
      </c>
      <c r="O441" t="s">
        <v>119</v>
      </c>
      <c r="P441" t="s">
        <v>829</v>
      </c>
      <c r="Q441">
        <v>2245320</v>
      </c>
      <c r="R441">
        <v>41580000</v>
      </c>
      <c r="S441">
        <v>70</v>
      </c>
      <c r="T441">
        <v>594000</v>
      </c>
      <c r="U441">
        <v>1</v>
      </c>
      <c r="V441">
        <v>1</v>
      </c>
      <c r="W441" t="s">
        <v>127</v>
      </c>
      <c r="X441">
        <v>29700</v>
      </c>
      <c r="Y441">
        <v>2245320</v>
      </c>
      <c r="Z441">
        <v>41580000</v>
      </c>
      <c r="AA441">
        <v>594000</v>
      </c>
      <c r="AB441">
        <v>105</v>
      </c>
      <c r="AC441" s="34">
        <v>45951</v>
      </c>
      <c r="AD441" s="34">
        <v>46173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 t="s">
        <v>122</v>
      </c>
      <c r="AT441">
        <v>24948000</v>
      </c>
      <c r="AU441">
        <v>1347192</v>
      </c>
      <c r="AV441">
        <v>24948000</v>
      </c>
      <c r="AW441">
        <v>1347192</v>
      </c>
    </row>
    <row r="442" spans="1:49" hidden="1" x14ac:dyDescent="0.35">
      <c r="A442">
        <v>5814310</v>
      </c>
      <c r="B442">
        <v>1090005814301</v>
      </c>
      <c r="D442">
        <v>33709819769</v>
      </c>
      <c r="E442" t="s">
        <v>830</v>
      </c>
      <c r="F442" t="s">
        <v>1</v>
      </c>
      <c r="G442" t="s">
        <v>56</v>
      </c>
      <c r="H442" t="s">
        <v>56</v>
      </c>
      <c r="I442">
        <v>6381</v>
      </c>
      <c r="J442">
        <v>21</v>
      </c>
      <c r="K442" t="s">
        <v>33</v>
      </c>
      <c r="L442">
        <v>6127</v>
      </c>
      <c r="M442" t="s">
        <v>118</v>
      </c>
      <c r="N442">
        <v>1</v>
      </c>
      <c r="O442" t="s">
        <v>119</v>
      </c>
      <c r="P442" t="s">
        <v>831</v>
      </c>
      <c r="Q442">
        <v>1022.04</v>
      </c>
      <c r="R442">
        <v>30000</v>
      </c>
      <c r="S442">
        <v>100</v>
      </c>
      <c r="T442">
        <v>300</v>
      </c>
      <c r="U442">
        <v>26</v>
      </c>
      <c r="V442">
        <v>1489</v>
      </c>
      <c r="W442" t="s">
        <v>121</v>
      </c>
      <c r="X442" t="s">
        <v>1</v>
      </c>
      <c r="Y442">
        <v>1521817.56</v>
      </c>
      <c r="Z442">
        <v>44670000</v>
      </c>
      <c r="AA442">
        <v>446700</v>
      </c>
      <c r="AB442">
        <v>211</v>
      </c>
      <c r="AC442" s="34">
        <v>45953</v>
      </c>
      <c r="AD442" s="34">
        <v>46112</v>
      </c>
      <c r="AF442">
        <v>0</v>
      </c>
      <c r="AG442">
        <v>5031.68</v>
      </c>
      <c r="AH442">
        <v>0</v>
      </c>
      <c r="AI442">
        <v>7492171.5199999996</v>
      </c>
      <c r="AJ442">
        <v>0</v>
      </c>
      <c r="AK442">
        <v>0</v>
      </c>
      <c r="AL442">
        <v>1880532.55</v>
      </c>
      <c r="AM442">
        <v>0</v>
      </c>
      <c r="AN442">
        <v>9372704.0700000003</v>
      </c>
      <c r="AO442" t="s">
        <v>122</v>
      </c>
      <c r="AP442">
        <v>12</v>
      </c>
      <c r="AQ442">
        <v>603.79999999999995</v>
      </c>
      <c r="AR442">
        <v>899058.2</v>
      </c>
      <c r="AT442">
        <v>18000</v>
      </c>
      <c r="AU442">
        <v>613.22</v>
      </c>
      <c r="AV442">
        <v>26802000</v>
      </c>
      <c r="AW442">
        <v>913084.58</v>
      </c>
    </row>
    <row r="443" spans="1:49" hidden="1" x14ac:dyDescent="0.35">
      <c r="A443">
        <v>5814310</v>
      </c>
      <c r="B443">
        <v>1090005814301</v>
      </c>
      <c r="D443">
        <v>33709819769</v>
      </c>
      <c r="E443" t="s">
        <v>830</v>
      </c>
      <c r="F443" t="s">
        <v>1</v>
      </c>
      <c r="G443" t="s">
        <v>56</v>
      </c>
      <c r="H443" t="s">
        <v>56</v>
      </c>
      <c r="I443">
        <v>6381</v>
      </c>
      <c r="J443">
        <v>21</v>
      </c>
      <c r="K443" t="s">
        <v>33</v>
      </c>
      <c r="L443">
        <v>6127</v>
      </c>
      <c r="M443" t="s">
        <v>118</v>
      </c>
      <c r="N443">
        <v>2</v>
      </c>
      <c r="O443" t="s">
        <v>119</v>
      </c>
      <c r="P443" t="s">
        <v>832</v>
      </c>
      <c r="Q443">
        <v>1604.6</v>
      </c>
      <c r="R443">
        <v>47100</v>
      </c>
      <c r="S443">
        <v>157</v>
      </c>
      <c r="T443">
        <v>300</v>
      </c>
      <c r="U443">
        <v>26</v>
      </c>
      <c r="V443">
        <v>1489</v>
      </c>
      <c r="W443" t="s">
        <v>121</v>
      </c>
      <c r="X443" t="s">
        <v>1</v>
      </c>
      <c r="Y443">
        <v>2389249.4</v>
      </c>
      <c r="Z443">
        <v>70131900</v>
      </c>
      <c r="AA443">
        <v>446700</v>
      </c>
      <c r="AB443">
        <v>211</v>
      </c>
      <c r="AC443" s="34">
        <v>45953</v>
      </c>
      <c r="AD443" s="34">
        <v>46112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 t="s">
        <v>122</v>
      </c>
      <c r="AT443">
        <v>28260</v>
      </c>
      <c r="AU443">
        <v>962.76</v>
      </c>
      <c r="AV443">
        <v>42079140</v>
      </c>
      <c r="AW443">
        <v>1433549.64</v>
      </c>
    </row>
    <row r="444" spans="1:49" hidden="1" x14ac:dyDescent="0.35">
      <c r="A444">
        <v>5814310</v>
      </c>
      <c r="B444">
        <v>1090005814301</v>
      </c>
      <c r="D444">
        <v>33709819769</v>
      </c>
      <c r="E444" t="s">
        <v>830</v>
      </c>
      <c r="F444" t="s">
        <v>1</v>
      </c>
      <c r="G444" t="s">
        <v>370</v>
      </c>
      <c r="H444" t="s">
        <v>58</v>
      </c>
      <c r="I444">
        <v>6333</v>
      </c>
      <c r="J444">
        <v>21</v>
      </c>
      <c r="K444" t="s">
        <v>33</v>
      </c>
      <c r="L444">
        <v>6127</v>
      </c>
      <c r="M444" t="s">
        <v>118</v>
      </c>
      <c r="N444">
        <v>3</v>
      </c>
      <c r="O444" t="s">
        <v>119</v>
      </c>
      <c r="P444" t="s">
        <v>833</v>
      </c>
      <c r="Q444">
        <v>679.08</v>
      </c>
      <c r="R444">
        <v>21900</v>
      </c>
      <c r="S444">
        <v>73</v>
      </c>
      <c r="T444">
        <v>300</v>
      </c>
      <c r="U444">
        <v>26</v>
      </c>
      <c r="V444">
        <v>1489</v>
      </c>
      <c r="W444" t="s">
        <v>121</v>
      </c>
      <c r="X444" t="s">
        <v>1</v>
      </c>
      <c r="Y444">
        <v>1011150.12</v>
      </c>
      <c r="Z444">
        <v>32609100</v>
      </c>
      <c r="AA444">
        <v>446700</v>
      </c>
      <c r="AB444">
        <v>211</v>
      </c>
      <c r="AC444" s="34">
        <v>45953</v>
      </c>
      <c r="AD444" s="34">
        <v>46112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 t="s">
        <v>122</v>
      </c>
      <c r="AT444">
        <v>13140</v>
      </c>
      <c r="AU444">
        <v>407.45</v>
      </c>
      <c r="AV444">
        <v>19565460</v>
      </c>
      <c r="AW444">
        <v>606693.05000000005</v>
      </c>
    </row>
    <row r="445" spans="1:49" hidden="1" x14ac:dyDescent="0.35">
      <c r="A445">
        <v>5814310</v>
      </c>
      <c r="B445">
        <v>1090005814301</v>
      </c>
      <c r="D445">
        <v>33709819769</v>
      </c>
      <c r="E445" t="s">
        <v>830</v>
      </c>
      <c r="F445" t="s">
        <v>1</v>
      </c>
      <c r="G445" t="s">
        <v>56</v>
      </c>
      <c r="H445" t="s">
        <v>56</v>
      </c>
      <c r="I445">
        <v>6381</v>
      </c>
      <c r="J445">
        <v>21</v>
      </c>
      <c r="K445" t="s">
        <v>33</v>
      </c>
      <c r="L445">
        <v>6127</v>
      </c>
      <c r="M445" t="s">
        <v>118</v>
      </c>
      <c r="N445">
        <v>4</v>
      </c>
      <c r="O445" t="s">
        <v>119</v>
      </c>
      <c r="P445" t="s">
        <v>834</v>
      </c>
      <c r="Q445">
        <v>470.14</v>
      </c>
      <c r="R445">
        <v>13800</v>
      </c>
      <c r="S445">
        <v>46</v>
      </c>
      <c r="T445">
        <v>300</v>
      </c>
      <c r="U445">
        <v>26</v>
      </c>
      <c r="V445">
        <v>1489</v>
      </c>
      <c r="W445" t="s">
        <v>121</v>
      </c>
      <c r="X445" t="s">
        <v>1</v>
      </c>
      <c r="Y445">
        <v>700038.46</v>
      </c>
      <c r="Z445">
        <v>20548200</v>
      </c>
      <c r="AA445">
        <v>446700</v>
      </c>
      <c r="AB445">
        <v>211</v>
      </c>
      <c r="AC445" s="34">
        <v>45953</v>
      </c>
      <c r="AD445" s="34">
        <v>46112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 t="s">
        <v>122</v>
      </c>
      <c r="AT445">
        <v>8280</v>
      </c>
      <c r="AU445">
        <v>282.08</v>
      </c>
      <c r="AV445">
        <v>12328920</v>
      </c>
      <c r="AW445">
        <v>420017.12</v>
      </c>
    </row>
    <row r="446" spans="1:49" hidden="1" x14ac:dyDescent="0.35">
      <c r="A446">
        <v>5814310</v>
      </c>
      <c r="B446">
        <v>1090005814301</v>
      </c>
      <c r="D446">
        <v>33709819769</v>
      </c>
      <c r="E446" t="s">
        <v>830</v>
      </c>
      <c r="F446" t="s">
        <v>1</v>
      </c>
      <c r="G446" t="s">
        <v>568</v>
      </c>
      <c r="H446" t="s">
        <v>57</v>
      </c>
      <c r="I446">
        <v>6360</v>
      </c>
      <c r="J446">
        <v>21</v>
      </c>
      <c r="K446" t="s">
        <v>33</v>
      </c>
      <c r="L446">
        <v>6127</v>
      </c>
      <c r="M446" t="s">
        <v>118</v>
      </c>
      <c r="N446">
        <v>5</v>
      </c>
      <c r="O446" t="s">
        <v>119</v>
      </c>
      <c r="P446" t="s">
        <v>835</v>
      </c>
      <c r="Q446">
        <v>1255.82</v>
      </c>
      <c r="R446">
        <v>40500</v>
      </c>
      <c r="S446">
        <v>135</v>
      </c>
      <c r="T446">
        <v>300</v>
      </c>
      <c r="U446">
        <v>26</v>
      </c>
      <c r="V446">
        <v>1489</v>
      </c>
      <c r="W446" t="s">
        <v>121</v>
      </c>
      <c r="X446" t="s">
        <v>1</v>
      </c>
      <c r="Y446">
        <v>1869915.98</v>
      </c>
      <c r="Z446">
        <v>60304500</v>
      </c>
      <c r="AA446">
        <v>446700</v>
      </c>
      <c r="AB446">
        <v>211</v>
      </c>
      <c r="AC446" s="34">
        <v>45953</v>
      </c>
      <c r="AD446" s="34">
        <v>46112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 t="s">
        <v>122</v>
      </c>
      <c r="AT446">
        <v>24300</v>
      </c>
      <c r="AU446">
        <v>753.49</v>
      </c>
      <c r="AV446">
        <v>36182700</v>
      </c>
      <c r="AW446">
        <v>1121946.6100000001</v>
      </c>
    </row>
    <row r="447" spans="1:49" hidden="1" x14ac:dyDescent="0.35">
      <c r="A447">
        <v>5814410</v>
      </c>
      <c r="B447">
        <v>1090005814401</v>
      </c>
      <c r="D447">
        <v>20262370578</v>
      </c>
      <c r="E447" t="s">
        <v>836</v>
      </c>
      <c r="F447" t="s">
        <v>1</v>
      </c>
      <c r="G447" t="s">
        <v>568</v>
      </c>
      <c r="H447" t="s">
        <v>57</v>
      </c>
      <c r="I447">
        <v>6360</v>
      </c>
      <c r="J447">
        <v>21</v>
      </c>
      <c r="K447" t="s">
        <v>33</v>
      </c>
      <c r="L447">
        <v>6127</v>
      </c>
      <c r="M447" t="s">
        <v>118</v>
      </c>
      <c r="N447">
        <v>1</v>
      </c>
      <c r="O447" t="s">
        <v>119</v>
      </c>
      <c r="P447" t="s">
        <v>837</v>
      </c>
      <c r="Q447">
        <v>1520</v>
      </c>
      <c r="R447">
        <v>50000</v>
      </c>
      <c r="S447">
        <v>100</v>
      </c>
      <c r="T447">
        <v>500</v>
      </c>
      <c r="U447">
        <v>26</v>
      </c>
      <c r="V447">
        <v>1489</v>
      </c>
      <c r="W447" t="s">
        <v>121</v>
      </c>
      <c r="X447" t="s">
        <v>1</v>
      </c>
      <c r="Y447">
        <v>2263280</v>
      </c>
      <c r="Z447">
        <v>74450000</v>
      </c>
      <c r="AA447">
        <v>744500</v>
      </c>
      <c r="AB447">
        <v>211</v>
      </c>
      <c r="AC447" s="34">
        <v>45953</v>
      </c>
      <c r="AD447" s="34">
        <v>46112</v>
      </c>
      <c r="AF447">
        <v>0</v>
      </c>
      <c r="AG447">
        <v>2280</v>
      </c>
      <c r="AH447">
        <v>0</v>
      </c>
      <c r="AI447">
        <v>3394920</v>
      </c>
      <c r="AJ447">
        <v>0</v>
      </c>
      <c r="AK447">
        <v>0</v>
      </c>
      <c r="AL447">
        <v>852124.92</v>
      </c>
      <c r="AM447">
        <v>0</v>
      </c>
      <c r="AN447">
        <v>4247044.92</v>
      </c>
      <c r="AO447" t="s">
        <v>122</v>
      </c>
      <c r="AP447">
        <v>12</v>
      </c>
      <c r="AQ447">
        <v>273.60000000000002</v>
      </c>
      <c r="AR447">
        <v>407390.4</v>
      </c>
      <c r="AT447">
        <v>30000</v>
      </c>
      <c r="AU447">
        <v>912</v>
      </c>
      <c r="AV447">
        <v>44670000</v>
      </c>
      <c r="AW447">
        <v>1357968</v>
      </c>
    </row>
    <row r="448" spans="1:49" hidden="1" x14ac:dyDescent="0.35">
      <c r="A448">
        <v>5814410</v>
      </c>
      <c r="B448">
        <v>1090005814401</v>
      </c>
      <c r="D448">
        <v>20262370578</v>
      </c>
      <c r="E448" t="s">
        <v>836</v>
      </c>
      <c r="F448" t="s">
        <v>1</v>
      </c>
      <c r="G448" t="s">
        <v>568</v>
      </c>
      <c r="H448" t="s">
        <v>57</v>
      </c>
      <c r="I448">
        <v>6360</v>
      </c>
      <c r="J448">
        <v>21</v>
      </c>
      <c r="K448" t="s">
        <v>33</v>
      </c>
      <c r="L448">
        <v>6127</v>
      </c>
      <c r="M448" t="s">
        <v>118</v>
      </c>
      <c r="N448">
        <v>2</v>
      </c>
      <c r="O448" t="s">
        <v>119</v>
      </c>
      <c r="P448" t="s">
        <v>838</v>
      </c>
      <c r="Q448">
        <v>760</v>
      </c>
      <c r="R448">
        <v>25000</v>
      </c>
      <c r="S448">
        <v>50</v>
      </c>
      <c r="T448">
        <v>500</v>
      </c>
      <c r="U448">
        <v>26</v>
      </c>
      <c r="V448">
        <v>1489</v>
      </c>
      <c r="W448" t="s">
        <v>121</v>
      </c>
      <c r="X448" t="s">
        <v>1</v>
      </c>
      <c r="Y448">
        <v>1131640</v>
      </c>
      <c r="Z448">
        <v>37225000</v>
      </c>
      <c r="AA448">
        <v>744500</v>
      </c>
      <c r="AB448">
        <v>211</v>
      </c>
      <c r="AC448" s="34">
        <v>45953</v>
      </c>
      <c r="AD448" s="34">
        <v>46112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 t="s">
        <v>122</v>
      </c>
      <c r="AT448">
        <v>15000</v>
      </c>
      <c r="AU448">
        <v>456</v>
      </c>
      <c r="AV448">
        <v>22335000</v>
      </c>
      <c r="AW448">
        <v>678984</v>
      </c>
    </row>
    <row r="449" spans="1:49" hidden="1" x14ac:dyDescent="0.35">
      <c r="A449">
        <v>5814510</v>
      </c>
      <c r="B449">
        <v>1090005814501</v>
      </c>
      <c r="D449">
        <v>20273883402</v>
      </c>
      <c r="E449" t="s">
        <v>839</v>
      </c>
      <c r="F449" t="s">
        <v>1</v>
      </c>
      <c r="G449" t="s">
        <v>840</v>
      </c>
      <c r="H449" t="s">
        <v>73</v>
      </c>
      <c r="I449">
        <v>8170</v>
      </c>
      <c r="J449">
        <v>1</v>
      </c>
      <c r="K449" t="s">
        <v>16</v>
      </c>
      <c r="L449">
        <v>7754</v>
      </c>
      <c r="M449" t="s">
        <v>171</v>
      </c>
      <c r="N449">
        <v>1</v>
      </c>
      <c r="O449" t="s">
        <v>125</v>
      </c>
      <c r="P449" t="s">
        <v>841</v>
      </c>
      <c r="Q449">
        <v>549868.72</v>
      </c>
      <c r="R449">
        <v>19250000</v>
      </c>
      <c r="S449">
        <v>55</v>
      </c>
      <c r="T449">
        <v>350000</v>
      </c>
      <c r="U449">
        <v>1</v>
      </c>
      <c r="V449">
        <v>1</v>
      </c>
      <c r="W449" t="s">
        <v>121</v>
      </c>
      <c r="X449" t="s">
        <v>1</v>
      </c>
      <c r="Y449">
        <v>549868.72</v>
      </c>
      <c r="Z449">
        <v>19250000</v>
      </c>
      <c r="AA449">
        <v>350000</v>
      </c>
      <c r="AB449">
        <v>105</v>
      </c>
      <c r="AC449" s="34">
        <v>45951</v>
      </c>
      <c r="AD449" s="34">
        <v>46053</v>
      </c>
      <c r="AF449">
        <v>0</v>
      </c>
      <c r="AG449">
        <v>679837.69</v>
      </c>
      <c r="AH449">
        <v>0</v>
      </c>
      <c r="AI449">
        <v>679837.69</v>
      </c>
      <c r="AJ449">
        <v>0</v>
      </c>
      <c r="AK449">
        <v>0</v>
      </c>
      <c r="AL449">
        <v>170639.26</v>
      </c>
      <c r="AM449">
        <v>0</v>
      </c>
      <c r="AN449">
        <v>850476.95</v>
      </c>
      <c r="AO449" t="s">
        <v>122</v>
      </c>
      <c r="AP449">
        <v>12</v>
      </c>
      <c r="AQ449">
        <v>81580.52</v>
      </c>
      <c r="AR449">
        <v>81580.52</v>
      </c>
      <c r="AT449">
        <v>11550000</v>
      </c>
      <c r="AU449">
        <v>329921.23</v>
      </c>
      <c r="AV449">
        <v>11550000</v>
      </c>
      <c r="AW449">
        <v>329921.23</v>
      </c>
    </row>
    <row r="450" spans="1:49" hidden="1" x14ac:dyDescent="0.35">
      <c r="A450">
        <v>5814510</v>
      </c>
      <c r="B450">
        <v>1090005814501</v>
      </c>
      <c r="D450">
        <v>20273883402</v>
      </c>
      <c r="E450" t="s">
        <v>839</v>
      </c>
      <c r="F450" t="s">
        <v>1</v>
      </c>
      <c r="G450" t="s">
        <v>840</v>
      </c>
      <c r="H450" t="s">
        <v>73</v>
      </c>
      <c r="I450">
        <v>8170</v>
      </c>
      <c r="J450">
        <v>1</v>
      </c>
      <c r="K450" t="s">
        <v>16</v>
      </c>
      <c r="L450">
        <v>7754</v>
      </c>
      <c r="M450" t="s">
        <v>171</v>
      </c>
      <c r="N450">
        <v>2</v>
      </c>
      <c r="O450" t="s">
        <v>125</v>
      </c>
      <c r="P450" t="s">
        <v>842</v>
      </c>
      <c r="Q450">
        <v>129968.97</v>
      </c>
      <c r="R450">
        <v>4550000</v>
      </c>
      <c r="S450">
        <v>13</v>
      </c>
      <c r="T450">
        <v>350000</v>
      </c>
      <c r="U450">
        <v>1</v>
      </c>
      <c r="V450">
        <v>1</v>
      </c>
      <c r="W450" t="s">
        <v>121</v>
      </c>
      <c r="X450" t="s">
        <v>1</v>
      </c>
      <c r="Y450">
        <v>129968.97</v>
      </c>
      <c r="Z450">
        <v>4550000</v>
      </c>
      <c r="AA450">
        <v>350000</v>
      </c>
      <c r="AB450">
        <v>105</v>
      </c>
      <c r="AC450" s="34">
        <v>45951</v>
      </c>
      <c r="AD450" s="34">
        <v>46053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 t="s">
        <v>122</v>
      </c>
      <c r="AT450">
        <v>2730000</v>
      </c>
      <c r="AU450">
        <v>77981.38</v>
      </c>
      <c r="AV450">
        <v>2730000</v>
      </c>
      <c r="AW450">
        <v>77981.38</v>
      </c>
    </row>
    <row r="451" spans="1:49" hidden="1" x14ac:dyDescent="0.35">
      <c r="A451">
        <v>5814610</v>
      </c>
      <c r="B451">
        <v>1250005814601</v>
      </c>
      <c r="D451">
        <v>30590164565</v>
      </c>
      <c r="E451" t="s">
        <v>453</v>
      </c>
      <c r="F451" t="s">
        <v>1</v>
      </c>
      <c r="G451" t="s">
        <v>843</v>
      </c>
      <c r="H451" t="s">
        <v>48</v>
      </c>
      <c r="I451">
        <v>6134</v>
      </c>
      <c r="J451">
        <v>3</v>
      </c>
      <c r="K451" t="s">
        <v>32</v>
      </c>
      <c r="L451">
        <v>4401</v>
      </c>
      <c r="M451" t="s">
        <v>132</v>
      </c>
      <c r="N451">
        <v>1</v>
      </c>
      <c r="O451" t="s">
        <v>119</v>
      </c>
      <c r="P451" t="s">
        <v>844</v>
      </c>
      <c r="Q451">
        <v>6670</v>
      </c>
      <c r="R451">
        <v>116000</v>
      </c>
      <c r="S451">
        <v>290</v>
      </c>
      <c r="T451">
        <v>400</v>
      </c>
      <c r="U451">
        <v>26</v>
      </c>
      <c r="V451">
        <v>1489</v>
      </c>
      <c r="W451" t="s">
        <v>121</v>
      </c>
      <c r="X451" t="s">
        <v>1</v>
      </c>
      <c r="Y451">
        <v>9931630</v>
      </c>
      <c r="Z451">
        <v>172724000</v>
      </c>
      <c r="AA451">
        <v>595600</v>
      </c>
      <c r="AB451">
        <v>211</v>
      </c>
      <c r="AC451" s="34">
        <v>45955</v>
      </c>
      <c r="AD451" s="34">
        <v>46112</v>
      </c>
      <c r="AE451" t="s">
        <v>845</v>
      </c>
      <c r="AF451">
        <v>0</v>
      </c>
      <c r="AG451">
        <v>18934</v>
      </c>
      <c r="AH451">
        <v>0</v>
      </c>
      <c r="AI451">
        <v>28192726</v>
      </c>
      <c r="AJ451">
        <v>0</v>
      </c>
      <c r="AK451">
        <v>0</v>
      </c>
      <c r="AL451">
        <v>7358295.5300000003</v>
      </c>
      <c r="AM451">
        <v>0</v>
      </c>
      <c r="AN451">
        <v>35551021.530000001</v>
      </c>
      <c r="AO451" t="s">
        <v>122</v>
      </c>
      <c r="AP451">
        <v>15</v>
      </c>
      <c r="AQ451">
        <v>2840.1</v>
      </c>
      <c r="AR451">
        <v>4228908.9000000004</v>
      </c>
      <c r="AT451">
        <v>69600</v>
      </c>
      <c r="AU451">
        <v>4002</v>
      </c>
      <c r="AV451">
        <v>103634400</v>
      </c>
      <c r="AW451">
        <v>5958978</v>
      </c>
    </row>
    <row r="452" spans="1:49" hidden="1" x14ac:dyDescent="0.35">
      <c r="A452">
        <v>5814610</v>
      </c>
      <c r="B452">
        <v>1250005814601</v>
      </c>
      <c r="D452">
        <v>30590164565</v>
      </c>
      <c r="E452" t="s">
        <v>453</v>
      </c>
      <c r="F452" t="s">
        <v>1</v>
      </c>
      <c r="G452" t="s">
        <v>459</v>
      </c>
      <c r="H452" t="s">
        <v>68</v>
      </c>
      <c r="I452">
        <v>6225</v>
      </c>
      <c r="J452">
        <v>3</v>
      </c>
      <c r="K452" t="s">
        <v>32</v>
      </c>
      <c r="L452">
        <v>4401</v>
      </c>
      <c r="M452" t="s">
        <v>132</v>
      </c>
      <c r="N452">
        <v>2</v>
      </c>
      <c r="O452" t="s">
        <v>119</v>
      </c>
      <c r="P452" t="s">
        <v>846</v>
      </c>
      <c r="Q452">
        <v>3080</v>
      </c>
      <c r="R452">
        <v>44000</v>
      </c>
      <c r="S452">
        <v>110</v>
      </c>
      <c r="T452">
        <v>400</v>
      </c>
      <c r="U452">
        <v>26</v>
      </c>
      <c r="V452">
        <v>1489</v>
      </c>
      <c r="W452" t="s">
        <v>121</v>
      </c>
      <c r="X452" t="s">
        <v>1</v>
      </c>
      <c r="Y452">
        <v>4586120</v>
      </c>
      <c r="Z452">
        <v>65516000</v>
      </c>
      <c r="AA452">
        <v>595600</v>
      </c>
      <c r="AB452">
        <v>211</v>
      </c>
      <c r="AC452" s="34">
        <v>45955</v>
      </c>
      <c r="AD452" s="34">
        <v>46112</v>
      </c>
      <c r="AE452" t="s">
        <v>161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 t="s">
        <v>122</v>
      </c>
      <c r="AT452">
        <v>26400</v>
      </c>
      <c r="AU452">
        <v>1848</v>
      </c>
      <c r="AV452">
        <v>39309600</v>
      </c>
      <c r="AW452">
        <v>2751672</v>
      </c>
    </row>
    <row r="453" spans="1:49" hidden="1" x14ac:dyDescent="0.35">
      <c r="A453">
        <v>5814610</v>
      </c>
      <c r="B453">
        <v>1250005814601</v>
      </c>
      <c r="D453">
        <v>30590164565</v>
      </c>
      <c r="E453" t="s">
        <v>453</v>
      </c>
      <c r="F453" t="s">
        <v>1</v>
      </c>
      <c r="G453" t="s">
        <v>459</v>
      </c>
      <c r="H453" t="s">
        <v>68</v>
      </c>
      <c r="I453">
        <v>6225</v>
      </c>
      <c r="J453">
        <v>3</v>
      </c>
      <c r="K453" t="s">
        <v>32</v>
      </c>
      <c r="L453">
        <v>4401</v>
      </c>
      <c r="M453" t="s">
        <v>132</v>
      </c>
      <c r="N453">
        <v>3</v>
      </c>
      <c r="O453" t="s">
        <v>119</v>
      </c>
      <c r="P453" t="s">
        <v>847</v>
      </c>
      <c r="Q453">
        <v>4200</v>
      </c>
      <c r="R453">
        <v>60000</v>
      </c>
      <c r="S453">
        <v>150</v>
      </c>
      <c r="T453">
        <v>400</v>
      </c>
      <c r="U453">
        <v>26</v>
      </c>
      <c r="V453">
        <v>1489</v>
      </c>
      <c r="W453" t="s">
        <v>121</v>
      </c>
      <c r="X453" t="s">
        <v>1</v>
      </c>
      <c r="Y453">
        <v>6253800</v>
      </c>
      <c r="Z453">
        <v>89340000</v>
      </c>
      <c r="AA453">
        <v>595600</v>
      </c>
      <c r="AB453">
        <v>211</v>
      </c>
      <c r="AC453" s="34">
        <v>45955</v>
      </c>
      <c r="AD453" s="34">
        <v>46112</v>
      </c>
      <c r="AE453" t="s">
        <v>161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 t="s">
        <v>122</v>
      </c>
      <c r="AT453">
        <v>36000</v>
      </c>
      <c r="AU453">
        <v>2520</v>
      </c>
      <c r="AV453">
        <v>53604000</v>
      </c>
      <c r="AW453">
        <v>3752280</v>
      </c>
    </row>
    <row r="454" spans="1:49" hidden="1" x14ac:dyDescent="0.35">
      <c r="A454">
        <v>5814610</v>
      </c>
      <c r="B454">
        <v>1250005814601</v>
      </c>
      <c r="D454">
        <v>30590164565</v>
      </c>
      <c r="E454" t="s">
        <v>453</v>
      </c>
      <c r="F454" t="s">
        <v>1</v>
      </c>
      <c r="G454" t="s">
        <v>459</v>
      </c>
      <c r="H454" t="s">
        <v>68</v>
      </c>
      <c r="I454">
        <v>6225</v>
      </c>
      <c r="J454">
        <v>3</v>
      </c>
      <c r="K454" t="s">
        <v>32</v>
      </c>
      <c r="L454">
        <v>4401</v>
      </c>
      <c r="M454" t="s">
        <v>132</v>
      </c>
      <c r="N454">
        <v>4</v>
      </c>
      <c r="O454" t="s">
        <v>119</v>
      </c>
      <c r="P454" t="s">
        <v>848</v>
      </c>
      <c r="Q454">
        <v>4984</v>
      </c>
      <c r="R454">
        <v>71200</v>
      </c>
      <c r="S454">
        <v>178</v>
      </c>
      <c r="T454">
        <v>400</v>
      </c>
      <c r="U454">
        <v>26</v>
      </c>
      <c r="V454">
        <v>1489</v>
      </c>
      <c r="W454" t="s">
        <v>121</v>
      </c>
      <c r="X454" t="s">
        <v>1</v>
      </c>
      <c r="Y454">
        <v>7421176</v>
      </c>
      <c r="Z454">
        <v>106016800</v>
      </c>
      <c r="AA454">
        <v>595600</v>
      </c>
      <c r="AB454">
        <v>211</v>
      </c>
      <c r="AC454" s="34">
        <v>45955</v>
      </c>
      <c r="AD454" s="34">
        <v>46112</v>
      </c>
      <c r="AE454" t="s">
        <v>161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 t="s">
        <v>122</v>
      </c>
      <c r="AT454">
        <v>42720</v>
      </c>
      <c r="AU454">
        <v>2990.4</v>
      </c>
      <c r="AV454">
        <v>63610080</v>
      </c>
      <c r="AW454">
        <v>4452705.5999999996</v>
      </c>
    </row>
    <row r="455" spans="1:49" hidden="1" x14ac:dyDescent="0.35">
      <c r="A455">
        <v>5814710</v>
      </c>
      <c r="B455">
        <v>5010005814701</v>
      </c>
      <c r="D455">
        <v>27146100819</v>
      </c>
      <c r="E455" t="s">
        <v>849</v>
      </c>
      <c r="F455" t="s">
        <v>1</v>
      </c>
      <c r="G455" t="s">
        <v>24</v>
      </c>
      <c r="H455" t="s">
        <v>24</v>
      </c>
      <c r="I455">
        <v>6070</v>
      </c>
      <c r="J455">
        <v>1</v>
      </c>
      <c r="K455" t="s">
        <v>16</v>
      </c>
      <c r="L455">
        <v>11014</v>
      </c>
      <c r="M455" t="s">
        <v>232</v>
      </c>
      <c r="N455">
        <v>1</v>
      </c>
      <c r="O455" t="s">
        <v>125</v>
      </c>
      <c r="P455" t="s">
        <v>850</v>
      </c>
      <c r="Q455">
        <v>1035.1199999999999</v>
      </c>
      <c r="R455">
        <v>45600</v>
      </c>
      <c r="S455">
        <v>76</v>
      </c>
      <c r="T455">
        <v>600</v>
      </c>
      <c r="U455">
        <v>26</v>
      </c>
      <c r="V455">
        <v>1479</v>
      </c>
      <c r="W455" t="s">
        <v>121</v>
      </c>
      <c r="X455" t="s">
        <v>1</v>
      </c>
      <c r="Y455">
        <v>1530942.48</v>
      </c>
      <c r="Z455">
        <v>67442400</v>
      </c>
      <c r="AA455">
        <v>887400</v>
      </c>
      <c r="AB455">
        <v>106</v>
      </c>
      <c r="AC455" s="34">
        <v>45951</v>
      </c>
      <c r="AD455" s="34">
        <v>46022</v>
      </c>
      <c r="AF455">
        <v>0</v>
      </c>
      <c r="AG455">
        <v>1035.1199999999999</v>
      </c>
      <c r="AH455">
        <v>0</v>
      </c>
      <c r="AI455">
        <v>1530942.48</v>
      </c>
      <c r="AJ455">
        <v>0</v>
      </c>
      <c r="AK455">
        <v>0</v>
      </c>
      <c r="AL455">
        <v>384273.78</v>
      </c>
      <c r="AM455">
        <v>0</v>
      </c>
      <c r="AN455">
        <v>1915216.26</v>
      </c>
      <c r="AO455" t="s">
        <v>122</v>
      </c>
      <c r="AP455">
        <v>15</v>
      </c>
      <c r="AQ455">
        <v>155.27000000000001</v>
      </c>
      <c r="AR455">
        <v>229644.33</v>
      </c>
      <c r="AT455">
        <v>27360</v>
      </c>
      <c r="AU455">
        <v>621.07000000000005</v>
      </c>
      <c r="AV455">
        <v>40465440</v>
      </c>
      <c r="AW455">
        <v>918562.53</v>
      </c>
    </row>
    <row r="456" spans="1:49" hidden="1" x14ac:dyDescent="0.35">
      <c r="A456">
        <v>5814810</v>
      </c>
      <c r="B456">
        <v>5010005814801</v>
      </c>
      <c r="D456">
        <v>23163347474</v>
      </c>
      <c r="E456" t="s">
        <v>851</v>
      </c>
      <c r="F456" t="s">
        <v>1</v>
      </c>
      <c r="G456" t="s">
        <v>23</v>
      </c>
      <c r="H456" t="s">
        <v>23</v>
      </c>
      <c r="I456">
        <v>6230</v>
      </c>
      <c r="J456">
        <v>1</v>
      </c>
      <c r="K456" t="s">
        <v>16</v>
      </c>
      <c r="L456">
        <v>11014</v>
      </c>
      <c r="M456" t="s">
        <v>232</v>
      </c>
      <c r="N456">
        <v>1</v>
      </c>
      <c r="O456" t="s">
        <v>119</v>
      </c>
      <c r="P456" t="s">
        <v>852</v>
      </c>
      <c r="Q456">
        <v>1025.05</v>
      </c>
      <c r="R456">
        <v>41500</v>
      </c>
      <c r="S456">
        <v>83</v>
      </c>
      <c r="T456">
        <v>500</v>
      </c>
      <c r="U456">
        <v>26</v>
      </c>
      <c r="V456">
        <v>1479</v>
      </c>
      <c r="W456" t="s">
        <v>121</v>
      </c>
      <c r="X456" t="s">
        <v>1</v>
      </c>
      <c r="Y456">
        <v>1516048.95</v>
      </c>
      <c r="Z456">
        <v>61378500</v>
      </c>
      <c r="AA456">
        <v>739500</v>
      </c>
      <c r="AB456">
        <v>106</v>
      </c>
      <c r="AC456" s="34">
        <v>45939</v>
      </c>
      <c r="AD456" s="34">
        <v>46142</v>
      </c>
      <c r="AF456">
        <v>0</v>
      </c>
      <c r="AG456">
        <v>1025.05</v>
      </c>
      <c r="AH456">
        <v>0</v>
      </c>
      <c r="AI456">
        <v>1516048.95</v>
      </c>
      <c r="AJ456">
        <v>0</v>
      </c>
      <c r="AK456">
        <v>0</v>
      </c>
      <c r="AL456">
        <v>380531.91</v>
      </c>
      <c r="AM456">
        <v>0</v>
      </c>
      <c r="AN456">
        <v>1896580.86</v>
      </c>
      <c r="AO456" t="s">
        <v>122</v>
      </c>
      <c r="AP456">
        <v>15</v>
      </c>
      <c r="AQ456">
        <v>153.76</v>
      </c>
      <c r="AR456">
        <v>227411.04</v>
      </c>
      <c r="AT456">
        <v>24900</v>
      </c>
      <c r="AU456">
        <v>615.03</v>
      </c>
      <c r="AV456">
        <v>36827100</v>
      </c>
      <c r="AW456">
        <v>909629.37</v>
      </c>
    </row>
    <row r="457" spans="1:49" hidden="1" x14ac:dyDescent="0.35">
      <c r="A457">
        <v>5814910</v>
      </c>
      <c r="B457">
        <v>5010005814901</v>
      </c>
      <c r="D457">
        <v>20254067904</v>
      </c>
      <c r="E457" t="s">
        <v>853</v>
      </c>
      <c r="F457" t="s">
        <v>1</v>
      </c>
      <c r="G457" t="s">
        <v>24</v>
      </c>
      <c r="H457" t="s">
        <v>24</v>
      </c>
      <c r="I457">
        <v>6070</v>
      </c>
      <c r="J457">
        <v>1</v>
      </c>
      <c r="K457" t="s">
        <v>16</v>
      </c>
      <c r="L457">
        <v>11014</v>
      </c>
      <c r="M457" t="s">
        <v>232</v>
      </c>
      <c r="N457">
        <v>1</v>
      </c>
      <c r="O457" t="s">
        <v>125</v>
      </c>
      <c r="P457" t="s">
        <v>854</v>
      </c>
      <c r="Q457">
        <v>205.3</v>
      </c>
      <c r="R457">
        <v>9044</v>
      </c>
      <c r="S457">
        <v>28</v>
      </c>
      <c r="T457">
        <v>323</v>
      </c>
      <c r="U457">
        <v>26</v>
      </c>
      <c r="V457">
        <v>1492</v>
      </c>
      <c r="W457" t="s">
        <v>121</v>
      </c>
      <c r="X457" t="s">
        <v>1</v>
      </c>
      <c r="Y457">
        <v>306307.59999999998</v>
      </c>
      <c r="Z457">
        <v>13493648</v>
      </c>
      <c r="AA457">
        <v>481916</v>
      </c>
      <c r="AB457">
        <v>106</v>
      </c>
      <c r="AC457" s="34">
        <v>45956</v>
      </c>
      <c r="AD457" s="34">
        <v>46022</v>
      </c>
      <c r="AF457">
        <v>0</v>
      </c>
      <c r="AG457">
        <v>1393.1</v>
      </c>
      <c r="AH457">
        <v>0</v>
      </c>
      <c r="AI457">
        <v>2078505.2</v>
      </c>
      <c r="AJ457">
        <v>0</v>
      </c>
      <c r="AK457">
        <v>0</v>
      </c>
      <c r="AL457">
        <v>527944.19999999995</v>
      </c>
      <c r="AM457">
        <v>0</v>
      </c>
      <c r="AN457">
        <v>2606449.4</v>
      </c>
      <c r="AO457" t="s">
        <v>122</v>
      </c>
      <c r="AP457">
        <v>15</v>
      </c>
      <c r="AQ457">
        <v>208.97</v>
      </c>
      <c r="AR457">
        <v>311783.24</v>
      </c>
      <c r="AT457">
        <v>5426.4</v>
      </c>
      <c r="AU457">
        <v>123.18</v>
      </c>
      <c r="AV457">
        <v>8096188.7999999998</v>
      </c>
      <c r="AW457">
        <v>183784.56</v>
      </c>
    </row>
    <row r="458" spans="1:49" hidden="1" x14ac:dyDescent="0.35">
      <c r="A458">
        <v>5814910</v>
      </c>
      <c r="B458">
        <v>5010005814901</v>
      </c>
      <c r="D458">
        <v>20254067904</v>
      </c>
      <c r="E458" t="s">
        <v>853</v>
      </c>
      <c r="F458" t="s">
        <v>1</v>
      </c>
      <c r="G458" t="s">
        <v>24</v>
      </c>
      <c r="H458" t="s">
        <v>24</v>
      </c>
      <c r="I458">
        <v>6070</v>
      </c>
      <c r="J458">
        <v>1</v>
      </c>
      <c r="K458" t="s">
        <v>16</v>
      </c>
      <c r="L458">
        <v>11014</v>
      </c>
      <c r="M458" t="s">
        <v>232</v>
      </c>
      <c r="N458">
        <v>2</v>
      </c>
      <c r="O458" t="s">
        <v>125</v>
      </c>
      <c r="P458" t="s">
        <v>855</v>
      </c>
      <c r="Q458">
        <v>175.97</v>
      </c>
      <c r="R458">
        <v>7752</v>
      </c>
      <c r="S458">
        <v>24</v>
      </c>
      <c r="T458">
        <v>323</v>
      </c>
      <c r="U458">
        <v>26</v>
      </c>
      <c r="V458">
        <v>1492</v>
      </c>
      <c r="W458" t="s">
        <v>121</v>
      </c>
      <c r="X458" t="s">
        <v>1</v>
      </c>
      <c r="Y458">
        <v>262547.24</v>
      </c>
      <c r="Z458">
        <v>11565984</v>
      </c>
      <c r="AA458">
        <v>481916</v>
      </c>
      <c r="AB458">
        <v>106</v>
      </c>
      <c r="AC458" s="34">
        <v>45956</v>
      </c>
      <c r="AD458" s="34">
        <v>46022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 t="s">
        <v>122</v>
      </c>
      <c r="AT458">
        <v>4651.2</v>
      </c>
      <c r="AU458">
        <v>105.58</v>
      </c>
      <c r="AV458">
        <v>6939590.4000000004</v>
      </c>
      <c r="AW458">
        <v>157525.35999999999</v>
      </c>
    </row>
    <row r="459" spans="1:49" hidden="1" x14ac:dyDescent="0.35">
      <c r="A459">
        <v>5814910</v>
      </c>
      <c r="B459">
        <v>5010005814901</v>
      </c>
      <c r="D459">
        <v>20254067904</v>
      </c>
      <c r="E459" t="s">
        <v>853</v>
      </c>
      <c r="F459" t="s">
        <v>1</v>
      </c>
      <c r="G459" t="s">
        <v>24</v>
      </c>
      <c r="H459" t="s">
        <v>24</v>
      </c>
      <c r="I459">
        <v>6070</v>
      </c>
      <c r="J459">
        <v>1</v>
      </c>
      <c r="K459" t="s">
        <v>16</v>
      </c>
      <c r="L459">
        <v>11014</v>
      </c>
      <c r="M459" t="s">
        <v>232</v>
      </c>
      <c r="N459">
        <v>3</v>
      </c>
      <c r="O459" t="s">
        <v>125</v>
      </c>
      <c r="P459" t="s">
        <v>856</v>
      </c>
      <c r="Q459">
        <v>425.26</v>
      </c>
      <c r="R459">
        <v>18734</v>
      </c>
      <c r="S459">
        <v>58</v>
      </c>
      <c r="T459">
        <v>323</v>
      </c>
      <c r="U459">
        <v>26</v>
      </c>
      <c r="V459">
        <v>1492</v>
      </c>
      <c r="W459" t="s">
        <v>121</v>
      </c>
      <c r="X459" t="s">
        <v>1</v>
      </c>
      <c r="Y459">
        <v>634487.92000000004</v>
      </c>
      <c r="Z459">
        <v>27951128</v>
      </c>
      <c r="AA459">
        <v>481916</v>
      </c>
      <c r="AB459">
        <v>106</v>
      </c>
      <c r="AC459" s="34">
        <v>45956</v>
      </c>
      <c r="AD459" s="34">
        <v>46022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 t="s">
        <v>122</v>
      </c>
      <c r="AT459">
        <v>11240.4</v>
      </c>
      <c r="AU459">
        <v>255.16</v>
      </c>
      <c r="AV459">
        <v>16770676.800000001</v>
      </c>
      <c r="AW459">
        <v>380698.72</v>
      </c>
    </row>
    <row r="460" spans="1:49" hidden="1" x14ac:dyDescent="0.35">
      <c r="A460">
        <v>5814910</v>
      </c>
      <c r="B460">
        <v>5010005814901</v>
      </c>
      <c r="D460">
        <v>20254067904</v>
      </c>
      <c r="E460" t="s">
        <v>853</v>
      </c>
      <c r="F460" t="s">
        <v>1</v>
      </c>
      <c r="G460" t="s">
        <v>24</v>
      </c>
      <c r="H460" t="s">
        <v>24</v>
      </c>
      <c r="I460">
        <v>6070</v>
      </c>
      <c r="J460">
        <v>1</v>
      </c>
      <c r="K460" t="s">
        <v>16</v>
      </c>
      <c r="L460">
        <v>11014</v>
      </c>
      <c r="M460" t="s">
        <v>232</v>
      </c>
      <c r="N460">
        <v>4</v>
      </c>
      <c r="O460" t="s">
        <v>125</v>
      </c>
      <c r="P460" t="s">
        <v>857</v>
      </c>
      <c r="Q460">
        <v>586.57000000000005</v>
      </c>
      <c r="R460">
        <v>25840</v>
      </c>
      <c r="S460">
        <v>80</v>
      </c>
      <c r="T460">
        <v>323</v>
      </c>
      <c r="U460">
        <v>26</v>
      </c>
      <c r="V460">
        <v>1492</v>
      </c>
      <c r="W460" t="s">
        <v>121</v>
      </c>
      <c r="X460" t="s">
        <v>1</v>
      </c>
      <c r="Y460">
        <v>875162.44</v>
      </c>
      <c r="Z460">
        <v>38553280</v>
      </c>
      <c r="AA460">
        <v>481916</v>
      </c>
      <c r="AB460">
        <v>106</v>
      </c>
      <c r="AC460" s="34">
        <v>45956</v>
      </c>
      <c r="AD460" s="34">
        <v>46022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 t="s">
        <v>122</v>
      </c>
      <c r="AT460">
        <v>15504</v>
      </c>
      <c r="AU460">
        <v>351.94</v>
      </c>
      <c r="AV460">
        <v>23131968</v>
      </c>
      <c r="AW460">
        <v>525094.48</v>
      </c>
    </row>
    <row r="461" spans="1:49" hidden="1" x14ac:dyDescent="0.35">
      <c r="A461">
        <v>5815010</v>
      </c>
      <c r="B461">
        <v>5010005815001</v>
      </c>
      <c r="D461">
        <v>33708724179</v>
      </c>
      <c r="E461" t="s">
        <v>858</v>
      </c>
      <c r="F461" t="s">
        <v>1</v>
      </c>
      <c r="G461" t="s">
        <v>24</v>
      </c>
      <c r="H461" t="s">
        <v>24</v>
      </c>
      <c r="I461">
        <v>6070</v>
      </c>
      <c r="J461">
        <v>1</v>
      </c>
      <c r="K461" t="s">
        <v>16</v>
      </c>
      <c r="L461">
        <v>11014</v>
      </c>
      <c r="M461" t="s">
        <v>232</v>
      </c>
      <c r="N461">
        <v>1</v>
      </c>
      <c r="O461" t="s">
        <v>125</v>
      </c>
      <c r="P461" t="s">
        <v>854</v>
      </c>
      <c r="Q461">
        <v>205.3</v>
      </c>
      <c r="R461">
        <v>9044</v>
      </c>
      <c r="S461">
        <v>28</v>
      </c>
      <c r="T461">
        <v>323</v>
      </c>
      <c r="U461">
        <v>26</v>
      </c>
      <c r="V461">
        <v>1492</v>
      </c>
      <c r="W461" t="s">
        <v>121</v>
      </c>
      <c r="X461" t="s">
        <v>1</v>
      </c>
      <c r="Y461">
        <v>306307.59999999998</v>
      </c>
      <c r="Z461">
        <v>13493648</v>
      </c>
      <c r="AA461">
        <v>481916</v>
      </c>
      <c r="AB461">
        <v>106</v>
      </c>
      <c r="AC461" s="34">
        <v>45956</v>
      </c>
      <c r="AD461" s="34">
        <v>46022</v>
      </c>
      <c r="AF461">
        <v>0</v>
      </c>
      <c r="AG461">
        <v>1393.1</v>
      </c>
      <c r="AH461">
        <v>0</v>
      </c>
      <c r="AI461">
        <v>2078505.2</v>
      </c>
      <c r="AJ461">
        <v>0</v>
      </c>
      <c r="AK461">
        <v>0</v>
      </c>
      <c r="AL461">
        <v>521707.64</v>
      </c>
      <c r="AM461">
        <v>0</v>
      </c>
      <c r="AN461">
        <v>2600212.84</v>
      </c>
      <c r="AO461" t="s">
        <v>122</v>
      </c>
      <c r="AP461">
        <v>15</v>
      </c>
      <c r="AQ461">
        <v>208.97</v>
      </c>
      <c r="AR461">
        <v>311783.24</v>
      </c>
      <c r="AT461">
        <v>5426.4</v>
      </c>
      <c r="AU461">
        <v>123.18</v>
      </c>
      <c r="AV461">
        <v>8096188.7999999998</v>
      </c>
      <c r="AW461">
        <v>183784.56</v>
      </c>
    </row>
    <row r="462" spans="1:49" hidden="1" x14ac:dyDescent="0.35">
      <c r="A462">
        <v>5815010</v>
      </c>
      <c r="B462">
        <v>5010005815001</v>
      </c>
      <c r="D462">
        <v>33708724179</v>
      </c>
      <c r="E462" t="s">
        <v>858</v>
      </c>
      <c r="F462" t="s">
        <v>1</v>
      </c>
      <c r="G462" t="s">
        <v>24</v>
      </c>
      <c r="H462" t="s">
        <v>24</v>
      </c>
      <c r="I462">
        <v>6070</v>
      </c>
      <c r="J462">
        <v>1</v>
      </c>
      <c r="K462" t="s">
        <v>16</v>
      </c>
      <c r="L462">
        <v>11014</v>
      </c>
      <c r="M462" t="s">
        <v>232</v>
      </c>
      <c r="N462">
        <v>2</v>
      </c>
      <c r="O462" t="s">
        <v>125</v>
      </c>
      <c r="P462" t="s">
        <v>855</v>
      </c>
      <c r="Q462">
        <v>175.97</v>
      </c>
      <c r="R462">
        <v>7752</v>
      </c>
      <c r="S462">
        <v>24</v>
      </c>
      <c r="T462">
        <v>323</v>
      </c>
      <c r="U462">
        <v>26</v>
      </c>
      <c r="V462">
        <v>1492</v>
      </c>
      <c r="W462" t="s">
        <v>121</v>
      </c>
      <c r="X462" t="s">
        <v>1</v>
      </c>
      <c r="Y462">
        <v>262547.24</v>
      </c>
      <c r="Z462">
        <v>11565984</v>
      </c>
      <c r="AA462">
        <v>481916</v>
      </c>
      <c r="AB462">
        <v>106</v>
      </c>
      <c r="AC462" s="34">
        <v>45956</v>
      </c>
      <c r="AD462" s="34">
        <v>46022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 t="s">
        <v>122</v>
      </c>
      <c r="AT462">
        <v>4651.2</v>
      </c>
      <c r="AU462">
        <v>105.58</v>
      </c>
      <c r="AV462">
        <v>6939590.4000000004</v>
      </c>
      <c r="AW462">
        <v>157525.35999999999</v>
      </c>
    </row>
    <row r="463" spans="1:49" hidden="1" x14ac:dyDescent="0.35">
      <c r="A463">
        <v>5815010</v>
      </c>
      <c r="B463">
        <v>5010005815001</v>
      </c>
      <c r="D463">
        <v>33708724179</v>
      </c>
      <c r="E463" t="s">
        <v>858</v>
      </c>
      <c r="F463" t="s">
        <v>1</v>
      </c>
      <c r="G463" t="s">
        <v>24</v>
      </c>
      <c r="H463" t="s">
        <v>24</v>
      </c>
      <c r="I463">
        <v>6070</v>
      </c>
      <c r="J463">
        <v>1</v>
      </c>
      <c r="K463" t="s">
        <v>16</v>
      </c>
      <c r="L463">
        <v>11014</v>
      </c>
      <c r="M463" t="s">
        <v>232</v>
      </c>
      <c r="N463">
        <v>3</v>
      </c>
      <c r="O463" t="s">
        <v>125</v>
      </c>
      <c r="P463" t="s">
        <v>856</v>
      </c>
      <c r="Q463">
        <v>425.26</v>
      </c>
      <c r="R463">
        <v>18734</v>
      </c>
      <c r="S463">
        <v>58</v>
      </c>
      <c r="T463">
        <v>323</v>
      </c>
      <c r="U463">
        <v>26</v>
      </c>
      <c r="V463">
        <v>1492</v>
      </c>
      <c r="W463" t="s">
        <v>121</v>
      </c>
      <c r="X463" t="s">
        <v>1</v>
      </c>
      <c r="Y463">
        <v>634487.92000000004</v>
      </c>
      <c r="Z463">
        <v>27951128</v>
      </c>
      <c r="AA463">
        <v>481916</v>
      </c>
      <c r="AB463">
        <v>106</v>
      </c>
      <c r="AC463" s="34">
        <v>45956</v>
      </c>
      <c r="AD463" s="34">
        <v>46022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 t="s">
        <v>122</v>
      </c>
      <c r="AT463">
        <v>11240.4</v>
      </c>
      <c r="AU463">
        <v>255.16</v>
      </c>
      <c r="AV463">
        <v>16770676.800000001</v>
      </c>
      <c r="AW463">
        <v>380698.72</v>
      </c>
    </row>
    <row r="464" spans="1:49" hidden="1" x14ac:dyDescent="0.35">
      <c r="A464">
        <v>5815010</v>
      </c>
      <c r="B464">
        <v>5010005815001</v>
      </c>
      <c r="D464">
        <v>33708724179</v>
      </c>
      <c r="E464" t="s">
        <v>858</v>
      </c>
      <c r="F464" t="s">
        <v>1</v>
      </c>
      <c r="G464" t="s">
        <v>24</v>
      </c>
      <c r="H464" t="s">
        <v>24</v>
      </c>
      <c r="I464">
        <v>6070</v>
      </c>
      <c r="J464">
        <v>1</v>
      </c>
      <c r="K464" t="s">
        <v>16</v>
      </c>
      <c r="L464">
        <v>11014</v>
      </c>
      <c r="M464" t="s">
        <v>232</v>
      </c>
      <c r="N464">
        <v>4</v>
      </c>
      <c r="O464" t="s">
        <v>125</v>
      </c>
      <c r="P464" t="s">
        <v>859</v>
      </c>
      <c r="Q464">
        <v>586.57000000000005</v>
      </c>
      <c r="R464">
        <v>25840</v>
      </c>
      <c r="S464">
        <v>80</v>
      </c>
      <c r="T464">
        <v>323</v>
      </c>
      <c r="U464">
        <v>26</v>
      </c>
      <c r="V464">
        <v>1492</v>
      </c>
      <c r="W464" t="s">
        <v>121</v>
      </c>
      <c r="X464" t="s">
        <v>1</v>
      </c>
      <c r="Y464">
        <v>875162.44</v>
      </c>
      <c r="Z464">
        <v>38553280</v>
      </c>
      <c r="AA464">
        <v>481916</v>
      </c>
      <c r="AB464">
        <v>106</v>
      </c>
      <c r="AC464" s="34">
        <v>45956</v>
      </c>
      <c r="AD464" s="34">
        <v>46022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 t="s">
        <v>122</v>
      </c>
      <c r="AT464">
        <v>15504</v>
      </c>
      <c r="AU464">
        <v>351.94</v>
      </c>
      <c r="AV464">
        <v>23131968</v>
      </c>
      <c r="AW464">
        <v>525094.48</v>
      </c>
    </row>
    <row r="465" spans="1:49" hidden="1" x14ac:dyDescent="0.35">
      <c r="A465">
        <v>5815110</v>
      </c>
      <c r="B465">
        <v>5010005815101</v>
      </c>
      <c r="D465">
        <v>30712293906</v>
      </c>
      <c r="E465" t="s">
        <v>153</v>
      </c>
      <c r="F465" t="s">
        <v>1</v>
      </c>
      <c r="G465" t="s">
        <v>21</v>
      </c>
      <c r="H465" t="s">
        <v>21</v>
      </c>
      <c r="I465">
        <v>2720</v>
      </c>
      <c r="J465">
        <v>1</v>
      </c>
      <c r="K465" t="s">
        <v>16</v>
      </c>
      <c r="L465">
        <v>9370</v>
      </c>
      <c r="M465" t="s">
        <v>156</v>
      </c>
      <c r="N465">
        <v>1</v>
      </c>
      <c r="O465" t="s">
        <v>119</v>
      </c>
      <c r="P465" t="s">
        <v>860</v>
      </c>
      <c r="Q465">
        <v>1111433.3999999999</v>
      </c>
      <c r="R465">
        <v>56133000</v>
      </c>
      <c r="S465">
        <v>54</v>
      </c>
      <c r="T465">
        <v>1039500</v>
      </c>
      <c r="U465">
        <v>1</v>
      </c>
      <c r="V465">
        <v>1</v>
      </c>
      <c r="W465" t="s">
        <v>127</v>
      </c>
      <c r="X465">
        <v>29700</v>
      </c>
      <c r="Y465">
        <v>1111433.3999999999</v>
      </c>
      <c r="Z465">
        <v>56133000</v>
      </c>
      <c r="AA465">
        <v>1039500</v>
      </c>
      <c r="AB465">
        <v>105</v>
      </c>
      <c r="AC465" s="34">
        <v>45957</v>
      </c>
      <c r="AD465" s="34">
        <v>46173</v>
      </c>
      <c r="AF465">
        <v>0</v>
      </c>
      <c r="AG465">
        <v>1111433.3999999999</v>
      </c>
      <c r="AH465">
        <v>0</v>
      </c>
      <c r="AI465">
        <v>1111433.3999999999</v>
      </c>
      <c r="AJ465">
        <v>0</v>
      </c>
      <c r="AK465">
        <v>0</v>
      </c>
      <c r="AL465">
        <v>278969.78000000003</v>
      </c>
      <c r="AM465">
        <v>0</v>
      </c>
      <c r="AN465">
        <v>1390403.18</v>
      </c>
      <c r="AO465" t="s">
        <v>122</v>
      </c>
      <c r="AP465">
        <v>10</v>
      </c>
      <c r="AQ465">
        <v>111143.34</v>
      </c>
      <c r="AR465">
        <v>111143.34</v>
      </c>
      <c r="AT465">
        <v>33679800</v>
      </c>
      <c r="AU465">
        <v>666860.04</v>
      </c>
      <c r="AV465">
        <v>33679800</v>
      </c>
      <c r="AW465">
        <v>666860.04</v>
      </c>
    </row>
    <row r="466" spans="1:49" hidden="1" x14ac:dyDescent="0.35">
      <c r="A466">
        <v>5815210</v>
      </c>
      <c r="B466">
        <v>1170005815201</v>
      </c>
      <c r="D466">
        <v>20061405241</v>
      </c>
      <c r="E466" t="s">
        <v>861</v>
      </c>
      <c r="F466" t="s">
        <v>1</v>
      </c>
      <c r="G466" t="s">
        <v>862</v>
      </c>
      <c r="H466" t="s">
        <v>60</v>
      </c>
      <c r="I466">
        <v>2919</v>
      </c>
      <c r="J466">
        <v>12</v>
      </c>
      <c r="K466" t="s">
        <v>34</v>
      </c>
      <c r="L466">
        <v>7054</v>
      </c>
      <c r="M466" t="s">
        <v>863</v>
      </c>
      <c r="N466">
        <v>1</v>
      </c>
      <c r="O466" t="s">
        <v>119</v>
      </c>
      <c r="P466" t="s">
        <v>864</v>
      </c>
      <c r="Q466">
        <v>279300</v>
      </c>
      <c r="R466">
        <v>10000000</v>
      </c>
      <c r="S466">
        <v>20</v>
      </c>
      <c r="T466">
        <v>500000</v>
      </c>
      <c r="U466">
        <v>1</v>
      </c>
      <c r="V466">
        <v>1</v>
      </c>
      <c r="W466" t="s">
        <v>121</v>
      </c>
      <c r="X466" t="s">
        <v>1</v>
      </c>
      <c r="Y466">
        <v>279300</v>
      </c>
      <c r="Z466">
        <v>10000000</v>
      </c>
      <c r="AA466">
        <v>500000</v>
      </c>
      <c r="AB466">
        <v>105</v>
      </c>
      <c r="AC466" s="34">
        <v>45963</v>
      </c>
      <c r="AD466" s="34">
        <v>46142</v>
      </c>
      <c r="AE466" t="s">
        <v>161</v>
      </c>
      <c r="AF466">
        <v>0</v>
      </c>
      <c r="AG466">
        <v>279300</v>
      </c>
      <c r="AH466">
        <v>0</v>
      </c>
      <c r="AI466">
        <v>279300</v>
      </c>
      <c r="AJ466">
        <v>0</v>
      </c>
      <c r="AK466">
        <v>0</v>
      </c>
      <c r="AL466">
        <v>71500.800000000003</v>
      </c>
      <c r="AM466">
        <v>0</v>
      </c>
      <c r="AN466">
        <v>350800.8</v>
      </c>
      <c r="AO466" t="s">
        <v>122</v>
      </c>
      <c r="AP466">
        <v>15</v>
      </c>
      <c r="AQ466">
        <v>41895</v>
      </c>
      <c r="AR466">
        <v>41895</v>
      </c>
      <c r="AT466">
        <v>6000000</v>
      </c>
      <c r="AU466">
        <v>167580</v>
      </c>
      <c r="AV466">
        <v>6000000</v>
      </c>
      <c r="AW466">
        <v>167580</v>
      </c>
    </row>
    <row r="467" spans="1:49" hidden="1" x14ac:dyDescent="0.35">
      <c r="A467">
        <v>5815310</v>
      </c>
      <c r="B467">
        <v>1090005815301</v>
      </c>
      <c r="D467">
        <v>30582241801</v>
      </c>
      <c r="E467" t="s">
        <v>865</v>
      </c>
      <c r="F467" t="s">
        <v>1</v>
      </c>
      <c r="G467" t="s">
        <v>680</v>
      </c>
      <c r="H467" t="s">
        <v>55</v>
      </c>
      <c r="I467">
        <v>6220</v>
      </c>
      <c r="J467">
        <v>21</v>
      </c>
      <c r="K467" t="s">
        <v>33</v>
      </c>
      <c r="L467">
        <v>6127</v>
      </c>
      <c r="M467" t="s">
        <v>118</v>
      </c>
      <c r="N467">
        <v>1</v>
      </c>
      <c r="O467" t="s">
        <v>119</v>
      </c>
      <c r="P467" t="s">
        <v>866</v>
      </c>
      <c r="Q467">
        <v>4485.6000000000004</v>
      </c>
      <c r="R467">
        <v>126000</v>
      </c>
      <c r="S467">
        <v>210</v>
      </c>
      <c r="T467">
        <v>600</v>
      </c>
      <c r="U467">
        <v>26</v>
      </c>
      <c r="V467">
        <v>1470</v>
      </c>
      <c r="W467" t="s">
        <v>121</v>
      </c>
      <c r="X467" t="s">
        <v>1</v>
      </c>
      <c r="Y467">
        <v>6593832</v>
      </c>
      <c r="Z467">
        <v>185220000</v>
      </c>
      <c r="AA467">
        <v>882000</v>
      </c>
      <c r="AB467">
        <v>106</v>
      </c>
      <c r="AC467" s="34">
        <v>45959</v>
      </c>
      <c r="AD467" s="34">
        <v>46173</v>
      </c>
      <c r="AF467">
        <v>0</v>
      </c>
      <c r="AG467">
        <v>17301.599999999999</v>
      </c>
      <c r="AH467">
        <v>0</v>
      </c>
      <c r="AI467">
        <v>25433352</v>
      </c>
      <c r="AJ467">
        <v>0</v>
      </c>
      <c r="AK467">
        <v>0</v>
      </c>
      <c r="AL467">
        <v>6383783.7000000002</v>
      </c>
      <c r="AM467">
        <v>0</v>
      </c>
      <c r="AN467">
        <v>31817135.699999999</v>
      </c>
      <c r="AO467" t="s">
        <v>122</v>
      </c>
      <c r="AP467">
        <v>12</v>
      </c>
      <c r="AQ467">
        <v>2076.19</v>
      </c>
      <c r="AR467">
        <v>3051999.3</v>
      </c>
      <c r="AT467">
        <v>75600</v>
      </c>
      <c r="AU467">
        <v>2691.36</v>
      </c>
      <c r="AV467">
        <v>111132000</v>
      </c>
      <c r="AW467">
        <v>3956299.2</v>
      </c>
    </row>
    <row r="468" spans="1:49" hidden="1" x14ac:dyDescent="0.35">
      <c r="A468">
        <v>5815310</v>
      </c>
      <c r="B468">
        <v>1090005815301</v>
      </c>
      <c r="D468">
        <v>30582241801</v>
      </c>
      <c r="E468" t="s">
        <v>865</v>
      </c>
      <c r="F468" t="s">
        <v>1</v>
      </c>
      <c r="G468" t="s">
        <v>680</v>
      </c>
      <c r="H468" t="s">
        <v>55</v>
      </c>
      <c r="I468">
        <v>6220</v>
      </c>
      <c r="J468">
        <v>21</v>
      </c>
      <c r="K468" t="s">
        <v>33</v>
      </c>
      <c r="L468">
        <v>6127</v>
      </c>
      <c r="M468" t="s">
        <v>118</v>
      </c>
      <c r="N468">
        <v>2</v>
      </c>
      <c r="O468" t="s">
        <v>119</v>
      </c>
      <c r="P468" t="s">
        <v>867</v>
      </c>
      <c r="Q468">
        <v>12816</v>
      </c>
      <c r="R468">
        <v>360000</v>
      </c>
      <c r="S468">
        <v>600</v>
      </c>
      <c r="T468">
        <v>600</v>
      </c>
      <c r="U468">
        <v>26</v>
      </c>
      <c r="V468">
        <v>1470</v>
      </c>
      <c r="W468" t="s">
        <v>121</v>
      </c>
      <c r="X468" t="s">
        <v>1</v>
      </c>
      <c r="Y468">
        <v>18839520</v>
      </c>
      <c r="Z468">
        <v>529200000</v>
      </c>
      <c r="AA468">
        <v>882000</v>
      </c>
      <c r="AB468">
        <v>106</v>
      </c>
      <c r="AC468" s="34">
        <v>45959</v>
      </c>
      <c r="AD468" s="34">
        <v>46173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 t="s">
        <v>122</v>
      </c>
      <c r="AT468">
        <v>216000</v>
      </c>
      <c r="AU468">
        <v>7689.6</v>
      </c>
      <c r="AV468">
        <v>317520000</v>
      </c>
      <c r="AW468">
        <v>11303712</v>
      </c>
    </row>
    <row r="469" spans="1:49" hidden="1" x14ac:dyDescent="0.35">
      <c r="A469">
        <v>5815410</v>
      </c>
      <c r="B469">
        <v>1090005815401</v>
      </c>
      <c r="D469">
        <v>30694838991</v>
      </c>
      <c r="E469" t="s">
        <v>868</v>
      </c>
      <c r="F469" t="s">
        <v>1</v>
      </c>
      <c r="G469" t="s">
        <v>568</v>
      </c>
      <c r="H469" t="s">
        <v>57</v>
      </c>
      <c r="I469">
        <v>6360</v>
      </c>
      <c r="J469">
        <v>21</v>
      </c>
      <c r="K469" t="s">
        <v>33</v>
      </c>
      <c r="L469">
        <v>6127</v>
      </c>
      <c r="M469" t="s">
        <v>118</v>
      </c>
      <c r="N469">
        <v>1</v>
      </c>
      <c r="O469" t="s">
        <v>119</v>
      </c>
      <c r="P469" t="s">
        <v>869</v>
      </c>
      <c r="Q469">
        <v>3589.95</v>
      </c>
      <c r="R469">
        <v>136500</v>
      </c>
      <c r="S469">
        <v>455</v>
      </c>
      <c r="T469">
        <v>300</v>
      </c>
      <c r="U469">
        <v>26</v>
      </c>
      <c r="V469">
        <v>1438</v>
      </c>
      <c r="W469" t="s">
        <v>121</v>
      </c>
      <c r="X469" t="s">
        <v>1</v>
      </c>
      <c r="Y469">
        <v>5162348.0999999996</v>
      </c>
      <c r="Z469">
        <v>196287000</v>
      </c>
      <c r="AA469">
        <v>431400</v>
      </c>
      <c r="AB469">
        <v>106</v>
      </c>
      <c r="AC469" s="34">
        <v>45962</v>
      </c>
      <c r="AD469" s="34">
        <v>46173</v>
      </c>
      <c r="AF469">
        <v>0</v>
      </c>
      <c r="AG469">
        <v>3589.95</v>
      </c>
      <c r="AH469">
        <v>0</v>
      </c>
      <c r="AI469">
        <v>5162348.0999999996</v>
      </c>
      <c r="AJ469">
        <v>0</v>
      </c>
      <c r="AK469">
        <v>0</v>
      </c>
      <c r="AL469">
        <v>1295753.04</v>
      </c>
      <c r="AM469">
        <v>0</v>
      </c>
      <c r="AN469">
        <v>6458101.1399999997</v>
      </c>
      <c r="AO469" t="s">
        <v>122</v>
      </c>
      <c r="AP469">
        <v>12</v>
      </c>
      <c r="AQ469">
        <v>430.79</v>
      </c>
      <c r="AR469">
        <v>619476.02</v>
      </c>
      <c r="AT469">
        <v>81900</v>
      </c>
      <c r="AU469">
        <v>2153.9699999999998</v>
      </c>
      <c r="AV469">
        <v>117772200</v>
      </c>
      <c r="AW469">
        <v>3097408.86</v>
      </c>
    </row>
    <row r="470" spans="1:49" hidden="1" x14ac:dyDescent="0.35">
      <c r="A470">
        <v>5815510</v>
      </c>
      <c r="B470">
        <v>1090005815501</v>
      </c>
      <c r="D470">
        <v>30694838991</v>
      </c>
      <c r="E470" t="s">
        <v>868</v>
      </c>
      <c r="F470" t="s">
        <v>1</v>
      </c>
      <c r="G470" t="s">
        <v>568</v>
      </c>
      <c r="H470" t="s">
        <v>57</v>
      </c>
      <c r="I470">
        <v>6360</v>
      </c>
      <c r="J470">
        <v>21</v>
      </c>
      <c r="K470" t="s">
        <v>33</v>
      </c>
      <c r="L470">
        <v>6127</v>
      </c>
      <c r="M470" t="s">
        <v>118</v>
      </c>
      <c r="N470">
        <v>1</v>
      </c>
      <c r="O470" t="s">
        <v>119</v>
      </c>
      <c r="P470" t="s">
        <v>870</v>
      </c>
      <c r="Q470">
        <v>1119.3</v>
      </c>
      <c r="R470">
        <v>39000</v>
      </c>
      <c r="S470">
        <v>130</v>
      </c>
      <c r="T470">
        <v>300</v>
      </c>
      <c r="U470">
        <v>26</v>
      </c>
      <c r="V470">
        <v>1438</v>
      </c>
      <c r="W470" t="s">
        <v>121</v>
      </c>
      <c r="X470" t="s">
        <v>1</v>
      </c>
      <c r="Y470">
        <v>1609553.4</v>
      </c>
      <c r="Z470">
        <v>56082000</v>
      </c>
      <c r="AA470">
        <v>431400</v>
      </c>
      <c r="AB470">
        <v>211</v>
      </c>
      <c r="AC470" s="34">
        <v>45962</v>
      </c>
      <c r="AD470" s="34">
        <v>46112</v>
      </c>
      <c r="AF470">
        <v>0</v>
      </c>
      <c r="AG470">
        <v>1119.3</v>
      </c>
      <c r="AH470">
        <v>0</v>
      </c>
      <c r="AI470">
        <v>1609553.4</v>
      </c>
      <c r="AJ470">
        <v>0</v>
      </c>
      <c r="AK470">
        <v>0</v>
      </c>
      <c r="AL470">
        <v>404006.1</v>
      </c>
      <c r="AM470">
        <v>0</v>
      </c>
      <c r="AN470">
        <v>2013559.5</v>
      </c>
      <c r="AO470" t="s">
        <v>122</v>
      </c>
      <c r="AP470">
        <v>12</v>
      </c>
      <c r="AQ470">
        <v>134.32</v>
      </c>
      <c r="AR470">
        <v>193152.16</v>
      </c>
      <c r="AT470">
        <v>23400</v>
      </c>
      <c r="AU470">
        <v>671.58</v>
      </c>
      <c r="AV470">
        <v>33649200</v>
      </c>
      <c r="AW470">
        <v>965732.04</v>
      </c>
    </row>
    <row r="471" spans="1:49" hidden="1" x14ac:dyDescent="0.35">
      <c r="A471">
        <v>5815610</v>
      </c>
      <c r="B471">
        <v>1090005815601</v>
      </c>
      <c r="D471">
        <v>30718576780</v>
      </c>
      <c r="E471" t="s">
        <v>871</v>
      </c>
      <c r="F471" t="s">
        <v>1</v>
      </c>
      <c r="G471" t="s">
        <v>56</v>
      </c>
      <c r="H471" t="s">
        <v>56</v>
      </c>
      <c r="I471">
        <v>6381</v>
      </c>
      <c r="J471">
        <v>21</v>
      </c>
      <c r="K471" t="s">
        <v>33</v>
      </c>
      <c r="L471">
        <v>6127</v>
      </c>
      <c r="M471" t="s">
        <v>118</v>
      </c>
      <c r="N471">
        <v>1</v>
      </c>
      <c r="O471" t="s">
        <v>119</v>
      </c>
      <c r="P471" t="s">
        <v>872</v>
      </c>
      <c r="Q471">
        <v>2149</v>
      </c>
      <c r="R471">
        <v>70000</v>
      </c>
      <c r="S471">
        <v>140</v>
      </c>
      <c r="T471">
        <v>500</v>
      </c>
      <c r="U471">
        <v>26</v>
      </c>
      <c r="V471">
        <v>1438</v>
      </c>
      <c r="W471" t="s">
        <v>121</v>
      </c>
      <c r="X471" t="s">
        <v>1</v>
      </c>
      <c r="Y471">
        <v>3090262</v>
      </c>
      <c r="Z471">
        <v>100660000</v>
      </c>
      <c r="AA471">
        <v>719000</v>
      </c>
      <c r="AB471">
        <v>211</v>
      </c>
      <c r="AC471" s="34">
        <v>45962</v>
      </c>
      <c r="AD471" s="34">
        <v>46112</v>
      </c>
      <c r="AF471">
        <v>0</v>
      </c>
      <c r="AG471">
        <v>2149</v>
      </c>
      <c r="AH471">
        <v>0</v>
      </c>
      <c r="AI471">
        <v>3090262</v>
      </c>
      <c r="AJ471">
        <v>0</v>
      </c>
      <c r="AK471">
        <v>0</v>
      </c>
      <c r="AL471">
        <v>775657.2</v>
      </c>
      <c r="AM471">
        <v>0</v>
      </c>
      <c r="AN471">
        <v>3865919.2</v>
      </c>
      <c r="AO471" t="s">
        <v>122</v>
      </c>
      <c r="AP471">
        <v>12</v>
      </c>
      <c r="AQ471">
        <v>257.88</v>
      </c>
      <c r="AR471">
        <v>370831.44</v>
      </c>
      <c r="AT471">
        <v>42000</v>
      </c>
      <c r="AU471">
        <v>1289.4000000000001</v>
      </c>
      <c r="AV471">
        <v>60396000</v>
      </c>
      <c r="AW471">
        <v>1854157.2</v>
      </c>
    </row>
    <row r="472" spans="1:49" hidden="1" x14ac:dyDescent="0.35">
      <c r="A472">
        <v>5815710</v>
      </c>
      <c r="B472">
        <v>1170005815701</v>
      </c>
      <c r="D472">
        <v>20334653065</v>
      </c>
      <c r="E472" t="s">
        <v>873</v>
      </c>
      <c r="F472" t="s">
        <v>1</v>
      </c>
      <c r="G472" t="s">
        <v>504</v>
      </c>
      <c r="H472" t="s">
        <v>297</v>
      </c>
      <c r="I472">
        <v>2107</v>
      </c>
      <c r="J472">
        <v>12</v>
      </c>
      <c r="K472" t="s">
        <v>34</v>
      </c>
      <c r="L472">
        <v>10987</v>
      </c>
      <c r="M472" t="s">
        <v>298</v>
      </c>
      <c r="N472">
        <v>1</v>
      </c>
      <c r="O472" t="s">
        <v>125</v>
      </c>
      <c r="P472" t="s">
        <v>874</v>
      </c>
      <c r="Q472">
        <v>151.68</v>
      </c>
      <c r="R472">
        <v>4800</v>
      </c>
      <c r="S472">
        <v>16</v>
      </c>
      <c r="T472">
        <v>300</v>
      </c>
      <c r="U472">
        <v>26</v>
      </c>
      <c r="V472">
        <v>1438</v>
      </c>
      <c r="W472" t="s">
        <v>121</v>
      </c>
      <c r="X472" t="s">
        <v>1</v>
      </c>
      <c r="Y472">
        <v>218115.84</v>
      </c>
      <c r="Z472">
        <v>6902400</v>
      </c>
      <c r="AA472">
        <v>431400</v>
      </c>
      <c r="AB472">
        <v>106</v>
      </c>
      <c r="AC472" s="34">
        <v>45889</v>
      </c>
      <c r="AD472" s="34">
        <v>46022</v>
      </c>
      <c r="AE472" t="s">
        <v>161</v>
      </c>
      <c r="AF472">
        <v>1</v>
      </c>
      <c r="AG472">
        <v>151.68</v>
      </c>
      <c r="AH472">
        <v>0</v>
      </c>
      <c r="AI472">
        <v>218115.84</v>
      </c>
      <c r="AJ472">
        <v>0</v>
      </c>
      <c r="AK472">
        <v>0</v>
      </c>
      <c r="AL472">
        <v>55837.54</v>
      </c>
      <c r="AM472">
        <v>0</v>
      </c>
      <c r="AN472">
        <v>273953.38</v>
      </c>
      <c r="AO472" t="s">
        <v>122</v>
      </c>
      <c r="AP472">
        <v>14.999000000000001</v>
      </c>
      <c r="AQ472">
        <v>22.75</v>
      </c>
      <c r="AR472">
        <v>32714.5</v>
      </c>
      <c r="AT472">
        <v>2880</v>
      </c>
      <c r="AU472">
        <v>91.01</v>
      </c>
      <c r="AV472">
        <v>4141440</v>
      </c>
      <c r="AW472">
        <v>130872.38</v>
      </c>
    </row>
    <row r="473" spans="1:49" hidden="1" x14ac:dyDescent="0.35">
      <c r="A473">
        <v>5815810</v>
      </c>
      <c r="B473">
        <v>1170005815801</v>
      </c>
      <c r="D473">
        <v>20134099411</v>
      </c>
      <c r="E473" t="s">
        <v>875</v>
      </c>
      <c r="F473" t="s">
        <v>1</v>
      </c>
      <c r="G473" t="s">
        <v>504</v>
      </c>
      <c r="H473" t="s">
        <v>297</v>
      </c>
      <c r="I473">
        <v>2107</v>
      </c>
      <c r="J473">
        <v>12</v>
      </c>
      <c r="K473" t="s">
        <v>34</v>
      </c>
      <c r="L473">
        <v>10987</v>
      </c>
      <c r="M473" t="s">
        <v>298</v>
      </c>
      <c r="N473">
        <v>1</v>
      </c>
      <c r="O473" t="s">
        <v>125</v>
      </c>
      <c r="P473" t="s">
        <v>874</v>
      </c>
      <c r="Q473">
        <v>151.68</v>
      </c>
      <c r="R473">
        <v>4800</v>
      </c>
      <c r="S473">
        <v>16</v>
      </c>
      <c r="T473">
        <v>300</v>
      </c>
      <c r="U473">
        <v>26</v>
      </c>
      <c r="V473">
        <v>1438</v>
      </c>
      <c r="W473" t="s">
        <v>121</v>
      </c>
      <c r="X473" t="s">
        <v>1</v>
      </c>
      <c r="Y473">
        <v>218115.84</v>
      </c>
      <c r="Z473">
        <v>6902400</v>
      </c>
      <c r="AA473">
        <v>431400</v>
      </c>
      <c r="AB473">
        <v>106</v>
      </c>
      <c r="AC473" s="34">
        <v>45889</v>
      </c>
      <c r="AD473" s="34">
        <v>46022</v>
      </c>
      <c r="AE473" t="s">
        <v>161</v>
      </c>
      <c r="AF473">
        <v>1</v>
      </c>
      <c r="AG473">
        <v>151.68</v>
      </c>
      <c r="AH473">
        <v>0</v>
      </c>
      <c r="AI473">
        <v>218115.84</v>
      </c>
      <c r="AJ473">
        <v>0</v>
      </c>
      <c r="AK473">
        <v>0</v>
      </c>
      <c r="AL473">
        <v>55837.54</v>
      </c>
      <c r="AM473">
        <v>0</v>
      </c>
      <c r="AN473">
        <v>273953.38</v>
      </c>
      <c r="AO473" t="s">
        <v>122</v>
      </c>
      <c r="AP473">
        <v>14.999000000000001</v>
      </c>
      <c r="AQ473">
        <v>22.75</v>
      </c>
      <c r="AR473">
        <v>32714.5</v>
      </c>
      <c r="AT473">
        <v>2880</v>
      </c>
      <c r="AU473">
        <v>91.01</v>
      </c>
      <c r="AV473">
        <v>4141440</v>
      </c>
      <c r="AW473">
        <v>130872.38</v>
      </c>
    </row>
    <row r="474" spans="1:49" hidden="1" x14ac:dyDescent="0.35">
      <c r="A474">
        <v>5815910</v>
      </c>
      <c r="B474">
        <v>1170005815901</v>
      </c>
      <c r="D474">
        <v>20202637613</v>
      </c>
      <c r="E474" t="s">
        <v>876</v>
      </c>
      <c r="F474" t="s">
        <v>1</v>
      </c>
      <c r="G474" t="s">
        <v>877</v>
      </c>
      <c r="H474" t="s">
        <v>297</v>
      </c>
      <c r="I474">
        <v>2126</v>
      </c>
      <c r="J474">
        <v>12</v>
      </c>
      <c r="K474" t="s">
        <v>34</v>
      </c>
      <c r="L474">
        <v>10987</v>
      </c>
      <c r="M474" t="s">
        <v>298</v>
      </c>
      <c r="N474">
        <v>1</v>
      </c>
      <c r="O474" t="s">
        <v>125</v>
      </c>
      <c r="P474" t="s">
        <v>878</v>
      </c>
      <c r="Q474">
        <v>779009.4</v>
      </c>
      <c r="R474">
        <v>28852200</v>
      </c>
      <c r="S474">
        <v>39</v>
      </c>
      <c r="T474">
        <v>739800</v>
      </c>
      <c r="U474">
        <v>1</v>
      </c>
      <c r="V474">
        <v>1</v>
      </c>
      <c r="W474" t="s">
        <v>127</v>
      </c>
      <c r="X474">
        <v>24660</v>
      </c>
      <c r="Y474">
        <v>779009.4</v>
      </c>
      <c r="Z474">
        <v>28852200</v>
      </c>
      <c r="AA474">
        <v>739800</v>
      </c>
      <c r="AB474">
        <v>105</v>
      </c>
      <c r="AC474" s="34">
        <v>45889</v>
      </c>
      <c r="AD474" s="34">
        <v>46022</v>
      </c>
      <c r="AF474">
        <v>0</v>
      </c>
      <c r="AG474">
        <v>779009.4</v>
      </c>
      <c r="AH474">
        <v>0</v>
      </c>
      <c r="AI474">
        <v>779009.4</v>
      </c>
      <c r="AJ474">
        <v>0</v>
      </c>
      <c r="AK474">
        <v>0</v>
      </c>
      <c r="AL474">
        <v>199426.4</v>
      </c>
      <c r="AM474">
        <v>0</v>
      </c>
      <c r="AN474">
        <v>978435.8</v>
      </c>
      <c r="AO474" t="s">
        <v>122</v>
      </c>
      <c r="AP474">
        <v>15</v>
      </c>
      <c r="AQ474">
        <v>116851.41</v>
      </c>
      <c r="AR474">
        <v>116851.41</v>
      </c>
      <c r="AT474">
        <v>17311320</v>
      </c>
      <c r="AU474">
        <v>467405.64</v>
      </c>
      <c r="AV474">
        <v>17311320</v>
      </c>
      <c r="AW474">
        <v>467405.64</v>
      </c>
    </row>
    <row r="475" spans="1:49" hidden="1" x14ac:dyDescent="0.35">
      <c r="A475">
        <v>5816010</v>
      </c>
      <c r="B475">
        <v>1170005816001</v>
      </c>
      <c r="D475">
        <v>20272782874</v>
      </c>
      <c r="E475" t="s">
        <v>305</v>
      </c>
      <c r="F475" t="s">
        <v>1</v>
      </c>
      <c r="G475" t="s">
        <v>296</v>
      </c>
      <c r="H475" t="s">
        <v>297</v>
      </c>
      <c r="I475">
        <v>2107</v>
      </c>
      <c r="J475">
        <v>12</v>
      </c>
      <c r="K475" t="s">
        <v>34</v>
      </c>
      <c r="L475">
        <v>10987</v>
      </c>
      <c r="M475" t="s">
        <v>298</v>
      </c>
      <c r="N475">
        <v>1</v>
      </c>
      <c r="O475" t="s">
        <v>125</v>
      </c>
      <c r="P475" t="s">
        <v>879</v>
      </c>
      <c r="Q475">
        <v>538315.47</v>
      </c>
      <c r="R475">
        <v>18125100</v>
      </c>
      <c r="S475">
        <v>49</v>
      </c>
      <c r="T475">
        <v>369900</v>
      </c>
      <c r="U475">
        <v>1</v>
      </c>
      <c r="V475">
        <v>1</v>
      </c>
      <c r="W475" t="s">
        <v>127</v>
      </c>
      <c r="X475">
        <v>24660</v>
      </c>
      <c r="Y475">
        <v>538315.47</v>
      </c>
      <c r="Z475">
        <v>18125100</v>
      </c>
      <c r="AA475">
        <v>369900</v>
      </c>
      <c r="AB475">
        <v>214</v>
      </c>
      <c r="AC475" s="34">
        <v>45942</v>
      </c>
      <c r="AD475" s="34">
        <v>46022</v>
      </c>
      <c r="AF475">
        <v>0</v>
      </c>
      <c r="AG475">
        <v>538315.47</v>
      </c>
      <c r="AH475">
        <v>0</v>
      </c>
      <c r="AI475">
        <v>538315.47</v>
      </c>
      <c r="AJ475">
        <v>0</v>
      </c>
      <c r="AK475">
        <v>0</v>
      </c>
      <c r="AL475">
        <v>137808.78</v>
      </c>
      <c r="AM475">
        <v>0</v>
      </c>
      <c r="AN475">
        <v>676124.25</v>
      </c>
      <c r="AO475" t="s">
        <v>122</v>
      </c>
      <c r="AP475">
        <v>15</v>
      </c>
      <c r="AQ475">
        <v>80747.320000000007</v>
      </c>
      <c r="AR475">
        <v>80747.320000000007</v>
      </c>
      <c r="AT475">
        <v>10875060</v>
      </c>
      <c r="AU475">
        <v>322989.28000000003</v>
      </c>
      <c r="AV475">
        <v>10875060</v>
      </c>
      <c r="AW475">
        <v>322989.28000000003</v>
      </c>
    </row>
    <row r="476" spans="1:49" hidden="1" x14ac:dyDescent="0.35">
      <c r="A476">
        <v>5816110</v>
      </c>
      <c r="B476">
        <v>1170005816101</v>
      </c>
      <c r="D476">
        <v>20162456165</v>
      </c>
      <c r="E476" t="s">
        <v>333</v>
      </c>
      <c r="F476" t="s">
        <v>1</v>
      </c>
      <c r="G476" t="s">
        <v>877</v>
      </c>
      <c r="H476" t="s">
        <v>297</v>
      </c>
      <c r="I476">
        <v>2126</v>
      </c>
      <c r="J476">
        <v>12</v>
      </c>
      <c r="K476" t="s">
        <v>34</v>
      </c>
      <c r="L476">
        <v>10987</v>
      </c>
      <c r="M476" t="s">
        <v>298</v>
      </c>
      <c r="N476">
        <v>1</v>
      </c>
      <c r="O476" t="s">
        <v>125</v>
      </c>
      <c r="P476" t="s">
        <v>879</v>
      </c>
      <c r="Q476">
        <v>538315.47</v>
      </c>
      <c r="R476">
        <v>18125100</v>
      </c>
      <c r="S476">
        <v>49</v>
      </c>
      <c r="T476">
        <v>369900</v>
      </c>
      <c r="U476">
        <v>1</v>
      </c>
      <c r="V476">
        <v>1</v>
      </c>
      <c r="W476" t="s">
        <v>127</v>
      </c>
      <c r="X476">
        <v>24660</v>
      </c>
      <c r="Y476">
        <v>538315.47</v>
      </c>
      <c r="Z476">
        <v>18125100</v>
      </c>
      <c r="AA476">
        <v>369900</v>
      </c>
      <c r="AB476">
        <v>214</v>
      </c>
      <c r="AC476" s="34">
        <v>45942</v>
      </c>
      <c r="AD476" s="34">
        <v>46022</v>
      </c>
      <c r="AF476">
        <v>0</v>
      </c>
      <c r="AG476">
        <v>538315.47</v>
      </c>
      <c r="AH476">
        <v>0</v>
      </c>
      <c r="AI476">
        <v>538315.47</v>
      </c>
      <c r="AJ476">
        <v>0</v>
      </c>
      <c r="AK476">
        <v>0</v>
      </c>
      <c r="AL476">
        <v>137808.78</v>
      </c>
      <c r="AM476">
        <v>0</v>
      </c>
      <c r="AN476">
        <v>676124.25</v>
      </c>
      <c r="AO476" t="s">
        <v>122</v>
      </c>
      <c r="AP476">
        <v>15</v>
      </c>
      <c r="AQ476">
        <v>80747.320000000007</v>
      </c>
      <c r="AR476">
        <v>80747.320000000007</v>
      </c>
      <c r="AT476">
        <v>10875060</v>
      </c>
      <c r="AU476">
        <v>322989.28000000003</v>
      </c>
      <c r="AV476">
        <v>10875060</v>
      </c>
      <c r="AW476">
        <v>322989.28000000003</v>
      </c>
    </row>
    <row r="477" spans="1:49" hidden="1" x14ac:dyDescent="0.35">
      <c r="A477">
        <v>5816210</v>
      </c>
      <c r="B477">
        <v>5010005816201</v>
      </c>
      <c r="D477">
        <v>33718618199</v>
      </c>
      <c r="E477" t="s">
        <v>253</v>
      </c>
      <c r="F477" t="s">
        <v>1</v>
      </c>
      <c r="G477" t="s">
        <v>250</v>
      </c>
      <c r="H477" t="s">
        <v>67</v>
      </c>
      <c r="I477">
        <v>6050</v>
      </c>
      <c r="J477">
        <v>1</v>
      </c>
      <c r="K477" t="s">
        <v>16</v>
      </c>
      <c r="L477">
        <v>11014</v>
      </c>
      <c r="M477" t="s">
        <v>232</v>
      </c>
      <c r="N477">
        <v>1</v>
      </c>
      <c r="O477" t="s">
        <v>119</v>
      </c>
      <c r="P477" t="s">
        <v>880</v>
      </c>
      <c r="Q477">
        <v>1121.4000000000001</v>
      </c>
      <c r="R477">
        <v>42000</v>
      </c>
      <c r="S477">
        <v>42</v>
      </c>
      <c r="T477">
        <v>1000</v>
      </c>
      <c r="U477">
        <v>26</v>
      </c>
      <c r="V477">
        <v>1445</v>
      </c>
      <c r="W477" t="s">
        <v>121</v>
      </c>
      <c r="X477" t="s">
        <v>1</v>
      </c>
      <c r="Y477">
        <v>1620423</v>
      </c>
      <c r="Z477" s="60">
        <v>60690000</v>
      </c>
      <c r="AA477">
        <v>1445000</v>
      </c>
      <c r="AB477">
        <v>106</v>
      </c>
      <c r="AC477" s="34">
        <v>45964</v>
      </c>
      <c r="AD477" s="34">
        <v>46203</v>
      </c>
      <c r="AE477" t="s">
        <v>355</v>
      </c>
      <c r="AF477">
        <v>0</v>
      </c>
      <c r="AG477">
        <v>1121.4000000000001</v>
      </c>
      <c r="AH477">
        <v>0</v>
      </c>
      <c r="AI477">
        <v>1620423</v>
      </c>
      <c r="AJ477">
        <v>0</v>
      </c>
      <c r="AK477">
        <v>0</v>
      </c>
      <c r="AL477">
        <v>406724.15</v>
      </c>
      <c r="AM477">
        <v>0</v>
      </c>
      <c r="AN477">
        <v>2027147.15</v>
      </c>
      <c r="AO477" t="s">
        <v>122</v>
      </c>
      <c r="AP477">
        <v>15</v>
      </c>
      <c r="AQ477">
        <v>168.21</v>
      </c>
      <c r="AR477">
        <v>243063.45</v>
      </c>
      <c r="AT477">
        <v>25200</v>
      </c>
      <c r="AU477">
        <v>672.84</v>
      </c>
      <c r="AV477">
        <v>36414000</v>
      </c>
      <c r="AW477">
        <v>972253.8</v>
      </c>
    </row>
    <row r="478" spans="1:49" hidden="1" x14ac:dyDescent="0.35">
      <c r="A478">
        <v>5816310</v>
      </c>
      <c r="B478">
        <v>1090005816301</v>
      </c>
      <c r="D478">
        <v>30718923901</v>
      </c>
      <c r="E478" t="s">
        <v>881</v>
      </c>
      <c r="F478" t="s">
        <v>1</v>
      </c>
      <c r="G478" t="s">
        <v>370</v>
      </c>
      <c r="H478" t="s">
        <v>58</v>
      </c>
      <c r="I478">
        <v>6333</v>
      </c>
      <c r="J478">
        <v>21</v>
      </c>
      <c r="K478" t="s">
        <v>33</v>
      </c>
      <c r="L478">
        <v>6864</v>
      </c>
      <c r="M478" t="s">
        <v>371</v>
      </c>
      <c r="N478">
        <v>1</v>
      </c>
      <c r="O478" t="s">
        <v>119</v>
      </c>
      <c r="P478" t="s">
        <v>882</v>
      </c>
      <c r="Q478">
        <v>4986</v>
      </c>
      <c r="R478">
        <v>90000</v>
      </c>
      <c r="S478">
        <v>150</v>
      </c>
      <c r="T478">
        <v>600</v>
      </c>
      <c r="U478">
        <v>26</v>
      </c>
      <c r="V478">
        <v>1445</v>
      </c>
      <c r="W478" t="s">
        <v>121</v>
      </c>
      <c r="X478" t="s">
        <v>1</v>
      </c>
      <c r="Y478">
        <v>7204770</v>
      </c>
      <c r="Z478">
        <v>130050000</v>
      </c>
      <c r="AA478">
        <v>867000</v>
      </c>
      <c r="AB478">
        <v>106</v>
      </c>
      <c r="AC478" s="34">
        <v>45955</v>
      </c>
      <c r="AD478" s="34">
        <v>46142</v>
      </c>
      <c r="AE478" t="s">
        <v>355</v>
      </c>
      <c r="AF478">
        <v>1</v>
      </c>
      <c r="AG478">
        <v>4986</v>
      </c>
      <c r="AH478">
        <v>0</v>
      </c>
      <c r="AI478">
        <v>7204770</v>
      </c>
      <c r="AJ478">
        <v>0</v>
      </c>
      <c r="AK478">
        <v>0</v>
      </c>
      <c r="AL478">
        <v>1808403.05</v>
      </c>
      <c r="AM478">
        <v>0</v>
      </c>
      <c r="AN478">
        <v>9013173.0500000007</v>
      </c>
      <c r="AO478" t="s">
        <v>122</v>
      </c>
      <c r="AP478">
        <v>15</v>
      </c>
      <c r="AQ478">
        <v>747.9</v>
      </c>
      <c r="AR478">
        <v>1080715.5</v>
      </c>
      <c r="AT478">
        <v>54000</v>
      </c>
      <c r="AU478">
        <v>2991.6</v>
      </c>
      <c r="AV478">
        <v>78030000</v>
      </c>
      <c r="AW478">
        <v>4322862</v>
      </c>
    </row>
    <row r="479" spans="1:49" hidden="1" x14ac:dyDescent="0.35">
      <c r="A479">
        <v>5816610</v>
      </c>
      <c r="B479">
        <v>1170005816601</v>
      </c>
      <c r="D479">
        <v>20272782874</v>
      </c>
      <c r="E479" t="s">
        <v>305</v>
      </c>
      <c r="F479" t="s">
        <v>1</v>
      </c>
      <c r="G479" t="s">
        <v>877</v>
      </c>
      <c r="H479" t="s">
        <v>297</v>
      </c>
      <c r="I479">
        <v>2126</v>
      </c>
      <c r="J479">
        <v>12</v>
      </c>
      <c r="K479" t="s">
        <v>34</v>
      </c>
      <c r="L479">
        <v>10987</v>
      </c>
      <c r="M479" t="s">
        <v>298</v>
      </c>
      <c r="N479">
        <v>1</v>
      </c>
      <c r="O479" t="s">
        <v>119</v>
      </c>
      <c r="P479" t="s">
        <v>883</v>
      </c>
      <c r="Q479">
        <v>663616.80000000005</v>
      </c>
      <c r="R479">
        <v>21829500</v>
      </c>
      <c r="S479">
        <v>49</v>
      </c>
      <c r="T479">
        <v>445500</v>
      </c>
      <c r="U479">
        <v>1</v>
      </c>
      <c r="V479">
        <v>1</v>
      </c>
      <c r="W479" t="s">
        <v>127</v>
      </c>
      <c r="X479">
        <v>29700</v>
      </c>
      <c r="Y479">
        <v>663616.80000000005</v>
      </c>
      <c r="Z479">
        <v>21829500</v>
      </c>
      <c r="AA479">
        <v>445500</v>
      </c>
      <c r="AB479">
        <v>105</v>
      </c>
      <c r="AC479" s="34">
        <v>45942</v>
      </c>
      <c r="AD479" s="34">
        <v>46188</v>
      </c>
      <c r="AF479">
        <v>0</v>
      </c>
      <c r="AG479">
        <v>663616.80000000005</v>
      </c>
      <c r="AH479">
        <v>0</v>
      </c>
      <c r="AI479">
        <v>663616.80000000005</v>
      </c>
      <c r="AJ479">
        <v>0</v>
      </c>
      <c r="AK479">
        <v>0</v>
      </c>
      <c r="AL479">
        <v>169885.89</v>
      </c>
      <c r="AM479">
        <v>0</v>
      </c>
      <c r="AN479">
        <v>833502.69</v>
      </c>
      <c r="AO479" t="s">
        <v>122</v>
      </c>
      <c r="AP479">
        <v>15</v>
      </c>
      <c r="AQ479">
        <v>99542.52</v>
      </c>
      <c r="AR479">
        <v>99542.52</v>
      </c>
      <c r="AT479">
        <v>13097700</v>
      </c>
      <c r="AU479">
        <v>398170.08</v>
      </c>
      <c r="AV479">
        <v>13097700</v>
      </c>
      <c r="AW479">
        <v>398170.08</v>
      </c>
    </row>
    <row r="480" spans="1:49" hidden="1" x14ac:dyDescent="0.35">
      <c r="A480">
        <v>5816710</v>
      </c>
      <c r="B480">
        <v>1170005816701</v>
      </c>
      <c r="D480">
        <v>20162456165</v>
      </c>
      <c r="E480" t="s">
        <v>333</v>
      </c>
      <c r="F480" t="s">
        <v>1</v>
      </c>
      <c r="G480" t="s">
        <v>877</v>
      </c>
      <c r="H480" t="s">
        <v>297</v>
      </c>
      <c r="I480">
        <v>2126</v>
      </c>
      <c r="J480">
        <v>12</v>
      </c>
      <c r="K480" t="s">
        <v>34</v>
      </c>
      <c r="L480">
        <v>10987</v>
      </c>
      <c r="M480" t="s">
        <v>298</v>
      </c>
      <c r="N480">
        <v>1</v>
      </c>
      <c r="O480" t="s">
        <v>119</v>
      </c>
      <c r="P480" t="s">
        <v>883</v>
      </c>
      <c r="Q480">
        <v>663616.80000000005</v>
      </c>
      <c r="R480">
        <v>21829500</v>
      </c>
      <c r="S480">
        <v>49</v>
      </c>
      <c r="T480">
        <v>445500</v>
      </c>
      <c r="U480">
        <v>1</v>
      </c>
      <c r="V480">
        <v>1</v>
      </c>
      <c r="W480" t="s">
        <v>127</v>
      </c>
      <c r="X480">
        <v>29700</v>
      </c>
      <c r="Y480">
        <v>663616.80000000005</v>
      </c>
      <c r="Z480">
        <v>21829500</v>
      </c>
      <c r="AA480">
        <v>445500</v>
      </c>
      <c r="AB480">
        <v>105</v>
      </c>
      <c r="AC480" s="34">
        <v>45942</v>
      </c>
      <c r="AD480" s="34">
        <v>46188</v>
      </c>
      <c r="AF480">
        <v>0</v>
      </c>
      <c r="AG480">
        <v>663616.80000000005</v>
      </c>
      <c r="AH480">
        <v>0</v>
      </c>
      <c r="AI480">
        <v>663616.80000000005</v>
      </c>
      <c r="AJ480">
        <v>0</v>
      </c>
      <c r="AK480">
        <v>0</v>
      </c>
      <c r="AL480">
        <v>169885.89</v>
      </c>
      <c r="AM480">
        <v>0</v>
      </c>
      <c r="AN480">
        <v>833502.69</v>
      </c>
      <c r="AO480" t="s">
        <v>122</v>
      </c>
      <c r="AP480">
        <v>15</v>
      </c>
      <c r="AQ480">
        <v>99542.52</v>
      </c>
      <c r="AR480">
        <v>99542.52</v>
      </c>
      <c r="AT480">
        <v>13097700</v>
      </c>
      <c r="AU480">
        <v>398170.08</v>
      </c>
      <c r="AV480">
        <v>13097700</v>
      </c>
      <c r="AW480">
        <v>398170.08</v>
      </c>
    </row>
    <row r="481" spans="1:49" hidden="1" x14ac:dyDescent="0.35">
      <c r="A481">
        <v>5816810</v>
      </c>
      <c r="B481">
        <v>1170005816801</v>
      </c>
      <c r="D481">
        <v>20272782874</v>
      </c>
      <c r="E481" t="s">
        <v>305</v>
      </c>
      <c r="F481" t="s">
        <v>1</v>
      </c>
      <c r="G481" t="s">
        <v>877</v>
      </c>
      <c r="H481" t="s">
        <v>297</v>
      </c>
      <c r="I481">
        <v>2126</v>
      </c>
      <c r="J481">
        <v>12</v>
      </c>
      <c r="K481" t="s">
        <v>34</v>
      </c>
      <c r="L481">
        <v>10987</v>
      </c>
      <c r="M481" t="s">
        <v>298</v>
      </c>
      <c r="N481">
        <v>1</v>
      </c>
      <c r="O481" t="s">
        <v>119</v>
      </c>
      <c r="P481" t="s">
        <v>884</v>
      </c>
      <c r="Q481">
        <v>812592</v>
      </c>
      <c r="R481">
        <v>26730000</v>
      </c>
      <c r="S481">
        <v>60</v>
      </c>
      <c r="T481">
        <v>445500</v>
      </c>
      <c r="U481">
        <v>1</v>
      </c>
      <c r="V481">
        <v>1</v>
      </c>
      <c r="W481" t="s">
        <v>127</v>
      </c>
      <c r="X481">
        <v>29700</v>
      </c>
      <c r="Y481">
        <v>812592</v>
      </c>
      <c r="Z481">
        <v>26730000</v>
      </c>
      <c r="AA481">
        <v>445500</v>
      </c>
      <c r="AB481">
        <v>105</v>
      </c>
      <c r="AC481" s="34">
        <v>45941</v>
      </c>
      <c r="AD481" s="34">
        <v>46188</v>
      </c>
      <c r="AF481">
        <v>1</v>
      </c>
      <c r="AG481">
        <v>812592</v>
      </c>
      <c r="AH481">
        <v>0</v>
      </c>
      <c r="AI481">
        <v>812592</v>
      </c>
      <c r="AJ481">
        <v>0</v>
      </c>
      <c r="AK481">
        <v>0</v>
      </c>
      <c r="AL481">
        <v>208023.55</v>
      </c>
      <c r="AM481">
        <v>0</v>
      </c>
      <c r="AN481">
        <v>1020615.55</v>
      </c>
      <c r="AO481" t="s">
        <v>122</v>
      </c>
      <c r="AP481">
        <v>15</v>
      </c>
      <c r="AQ481">
        <v>121888.8</v>
      </c>
      <c r="AR481">
        <v>121888.8</v>
      </c>
      <c r="AT481">
        <v>16038000</v>
      </c>
      <c r="AU481">
        <v>487555.2</v>
      </c>
      <c r="AV481">
        <v>16038000</v>
      </c>
      <c r="AW481">
        <v>487555.2</v>
      </c>
    </row>
    <row r="482" spans="1:49" hidden="1" x14ac:dyDescent="0.35">
      <c r="A482">
        <v>5816910</v>
      </c>
      <c r="B482">
        <v>1170005816901</v>
      </c>
      <c r="D482">
        <v>20162456165</v>
      </c>
      <c r="E482" t="s">
        <v>333</v>
      </c>
      <c r="F482" t="s">
        <v>1</v>
      </c>
      <c r="G482" t="s">
        <v>877</v>
      </c>
      <c r="H482" t="s">
        <v>297</v>
      </c>
      <c r="I482">
        <v>2126</v>
      </c>
      <c r="J482">
        <v>12</v>
      </c>
      <c r="K482" t="s">
        <v>34</v>
      </c>
      <c r="L482">
        <v>10987</v>
      </c>
      <c r="M482" t="s">
        <v>298</v>
      </c>
      <c r="N482">
        <v>1</v>
      </c>
      <c r="O482" t="s">
        <v>119</v>
      </c>
      <c r="P482" t="s">
        <v>884</v>
      </c>
      <c r="Q482">
        <v>812592</v>
      </c>
      <c r="R482">
        <v>26730000</v>
      </c>
      <c r="S482">
        <v>60</v>
      </c>
      <c r="T482">
        <v>445500</v>
      </c>
      <c r="U482">
        <v>1</v>
      </c>
      <c r="V482">
        <v>1</v>
      </c>
      <c r="W482" t="s">
        <v>127</v>
      </c>
      <c r="X482">
        <v>29700</v>
      </c>
      <c r="Y482">
        <v>812592</v>
      </c>
      <c r="Z482">
        <v>26730000</v>
      </c>
      <c r="AA482">
        <v>445500</v>
      </c>
      <c r="AB482">
        <v>105</v>
      </c>
      <c r="AC482" s="34">
        <v>45941</v>
      </c>
      <c r="AD482" s="34">
        <v>46188</v>
      </c>
      <c r="AF482">
        <v>1</v>
      </c>
      <c r="AG482">
        <v>812592</v>
      </c>
      <c r="AH482">
        <v>0</v>
      </c>
      <c r="AI482">
        <v>812592</v>
      </c>
      <c r="AJ482">
        <v>0</v>
      </c>
      <c r="AK482">
        <v>0</v>
      </c>
      <c r="AL482">
        <v>208023.55</v>
      </c>
      <c r="AM482">
        <v>0</v>
      </c>
      <c r="AN482">
        <v>1020615.55</v>
      </c>
      <c r="AO482" t="s">
        <v>122</v>
      </c>
      <c r="AP482">
        <v>15</v>
      </c>
      <c r="AQ482">
        <v>121888.8</v>
      </c>
      <c r="AR482">
        <v>121888.8</v>
      </c>
      <c r="AT482">
        <v>16038000</v>
      </c>
      <c r="AU482">
        <v>487555.2</v>
      </c>
      <c r="AV482">
        <v>16038000</v>
      </c>
      <c r="AW482">
        <v>487555.2</v>
      </c>
    </row>
    <row r="483" spans="1:49" hidden="1" x14ac:dyDescent="0.35">
      <c r="A483">
        <v>5817010</v>
      </c>
      <c r="B483">
        <v>1170005817001</v>
      </c>
      <c r="D483">
        <v>20162456165</v>
      </c>
      <c r="E483" t="s">
        <v>333</v>
      </c>
      <c r="F483" t="s">
        <v>1</v>
      </c>
      <c r="G483" t="s">
        <v>877</v>
      </c>
      <c r="H483" t="s">
        <v>297</v>
      </c>
      <c r="I483">
        <v>2126</v>
      </c>
      <c r="J483">
        <v>12</v>
      </c>
      <c r="K483" t="s">
        <v>34</v>
      </c>
      <c r="L483">
        <v>10987</v>
      </c>
      <c r="M483" t="s">
        <v>298</v>
      </c>
      <c r="N483">
        <v>1</v>
      </c>
      <c r="O483" t="s">
        <v>125</v>
      </c>
      <c r="P483" t="s">
        <v>885</v>
      </c>
      <c r="Q483">
        <v>274650.75</v>
      </c>
      <c r="R483">
        <v>9247500</v>
      </c>
      <c r="S483">
        <v>25</v>
      </c>
      <c r="T483">
        <v>369900</v>
      </c>
      <c r="U483">
        <v>1</v>
      </c>
      <c r="V483">
        <v>1</v>
      </c>
      <c r="W483" t="s">
        <v>127</v>
      </c>
      <c r="X483">
        <v>24660</v>
      </c>
      <c r="Y483">
        <v>274650.75</v>
      </c>
      <c r="Z483">
        <v>9247500</v>
      </c>
      <c r="AA483">
        <v>369900</v>
      </c>
      <c r="AB483">
        <v>214</v>
      </c>
      <c r="AC483" s="34">
        <v>45943</v>
      </c>
      <c r="AD483" s="34">
        <v>46022</v>
      </c>
      <c r="AF483">
        <v>0</v>
      </c>
      <c r="AG483">
        <v>274650.75</v>
      </c>
      <c r="AH483">
        <v>0</v>
      </c>
      <c r="AI483">
        <v>274650.75</v>
      </c>
      <c r="AJ483">
        <v>0</v>
      </c>
      <c r="AK483">
        <v>0</v>
      </c>
      <c r="AL483">
        <v>70310.600000000006</v>
      </c>
      <c r="AM483">
        <v>0</v>
      </c>
      <c r="AN483">
        <v>344961.35</v>
      </c>
      <c r="AO483" t="s">
        <v>122</v>
      </c>
      <c r="AP483">
        <v>15</v>
      </c>
      <c r="AQ483">
        <v>41197.620000000003</v>
      </c>
      <c r="AR483">
        <v>41197.620000000003</v>
      </c>
      <c r="AT483">
        <v>5548500</v>
      </c>
      <c r="AU483">
        <v>164790.45000000001</v>
      </c>
      <c r="AV483">
        <v>5548500</v>
      </c>
      <c r="AW483">
        <v>164790.45000000001</v>
      </c>
    </row>
    <row r="484" spans="1:49" hidden="1" x14ac:dyDescent="0.35">
      <c r="A484">
        <v>5817110</v>
      </c>
      <c r="B484">
        <v>1170005817101</v>
      </c>
      <c r="D484">
        <v>20162456165</v>
      </c>
      <c r="E484" t="s">
        <v>333</v>
      </c>
      <c r="F484" t="s">
        <v>1</v>
      </c>
      <c r="G484" t="s">
        <v>877</v>
      </c>
      <c r="H484" t="s">
        <v>297</v>
      </c>
      <c r="I484">
        <v>2126</v>
      </c>
      <c r="J484">
        <v>12</v>
      </c>
      <c r="K484" t="s">
        <v>34</v>
      </c>
      <c r="L484">
        <v>10987</v>
      </c>
      <c r="M484" t="s">
        <v>298</v>
      </c>
      <c r="N484">
        <v>1</v>
      </c>
      <c r="O484" t="s">
        <v>119</v>
      </c>
      <c r="P484" t="s">
        <v>886</v>
      </c>
      <c r="Q484">
        <v>338580</v>
      </c>
      <c r="R484">
        <v>11137500</v>
      </c>
      <c r="S484">
        <v>25</v>
      </c>
      <c r="T484">
        <v>445500</v>
      </c>
      <c r="U484">
        <v>1</v>
      </c>
      <c r="V484">
        <v>1</v>
      </c>
      <c r="W484" t="s">
        <v>127</v>
      </c>
      <c r="X484">
        <v>29700</v>
      </c>
      <c r="Y484">
        <v>338580</v>
      </c>
      <c r="Z484">
        <v>11137500</v>
      </c>
      <c r="AA484">
        <v>445500</v>
      </c>
      <c r="AB484">
        <v>105</v>
      </c>
      <c r="AC484" s="34">
        <v>45943</v>
      </c>
      <c r="AD484" s="34">
        <v>46188</v>
      </c>
      <c r="AF484">
        <v>0</v>
      </c>
      <c r="AG484">
        <v>338580</v>
      </c>
      <c r="AH484">
        <v>0</v>
      </c>
      <c r="AI484">
        <v>338580</v>
      </c>
      <c r="AJ484">
        <v>0</v>
      </c>
      <c r="AK484">
        <v>0</v>
      </c>
      <c r="AL484">
        <v>86676.479999999996</v>
      </c>
      <c r="AM484">
        <v>0</v>
      </c>
      <c r="AN484">
        <v>425256.48</v>
      </c>
      <c r="AO484" t="s">
        <v>122</v>
      </c>
      <c r="AP484">
        <v>15</v>
      </c>
      <c r="AQ484">
        <v>50787</v>
      </c>
      <c r="AR484">
        <v>50787</v>
      </c>
      <c r="AT484">
        <v>6682500</v>
      </c>
      <c r="AU484">
        <v>203148</v>
      </c>
      <c r="AV484">
        <v>6682500</v>
      </c>
      <c r="AW484">
        <v>203148</v>
      </c>
    </row>
    <row r="485" spans="1:49" hidden="1" x14ac:dyDescent="0.35">
      <c r="A485">
        <v>5817210</v>
      </c>
      <c r="B485">
        <v>1170005817201</v>
      </c>
      <c r="D485">
        <v>20272782874</v>
      </c>
      <c r="E485" t="s">
        <v>305</v>
      </c>
      <c r="F485" t="s">
        <v>1</v>
      </c>
      <c r="G485" t="s">
        <v>877</v>
      </c>
      <c r="H485" t="s">
        <v>297</v>
      </c>
      <c r="I485">
        <v>2126</v>
      </c>
      <c r="J485">
        <v>12</v>
      </c>
      <c r="K485" t="s">
        <v>34</v>
      </c>
      <c r="L485">
        <v>10987</v>
      </c>
      <c r="M485" t="s">
        <v>298</v>
      </c>
      <c r="N485">
        <v>1</v>
      </c>
      <c r="O485" t="s">
        <v>125</v>
      </c>
      <c r="P485" t="s">
        <v>885</v>
      </c>
      <c r="Q485">
        <v>274650.75</v>
      </c>
      <c r="R485">
        <v>9247500</v>
      </c>
      <c r="S485">
        <v>25</v>
      </c>
      <c r="T485">
        <v>369900</v>
      </c>
      <c r="U485">
        <v>1</v>
      </c>
      <c r="V485">
        <v>1</v>
      </c>
      <c r="W485" t="s">
        <v>127</v>
      </c>
      <c r="X485">
        <v>24660</v>
      </c>
      <c r="Y485">
        <v>274650.75</v>
      </c>
      <c r="Z485">
        <v>9247500</v>
      </c>
      <c r="AA485">
        <v>369900</v>
      </c>
      <c r="AB485">
        <v>214</v>
      </c>
      <c r="AC485" s="34">
        <v>45943</v>
      </c>
      <c r="AD485" s="34">
        <v>46022</v>
      </c>
      <c r="AF485">
        <v>0</v>
      </c>
      <c r="AG485">
        <v>274650.75</v>
      </c>
      <c r="AH485">
        <v>0</v>
      </c>
      <c r="AI485">
        <v>274650.75</v>
      </c>
      <c r="AJ485">
        <v>0</v>
      </c>
      <c r="AK485">
        <v>0</v>
      </c>
      <c r="AL485">
        <v>70310.600000000006</v>
      </c>
      <c r="AM485">
        <v>0</v>
      </c>
      <c r="AN485">
        <v>344961.35</v>
      </c>
      <c r="AO485" t="s">
        <v>122</v>
      </c>
      <c r="AP485">
        <v>15</v>
      </c>
      <c r="AQ485">
        <v>41197.620000000003</v>
      </c>
      <c r="AR485">
        <v>41197.620000000003</v>
      </c>
      <c r="AT485">
        <v>5548500</v>
      </c>
      <c r="AU485">
        <v>164790.45000000001</v>
      </c>
      <c r="AV485">
        <v>5548500</v>
      </c>
      <c r="AW485">
        <v>164790.45000000001</v>
      </c>
    </row>
    <row r="486" spans="1:49" hidden="1" x14ac:dyDescent="0.35">
      <c r="A486">
        <v>5817310</v>
      </c>
      <c r="B486">
        <v>1170005817301</v>
      </c>
      <c r="D486">
        <v>20272782874</v>
      </c>
      <c r="E486" t="s">
        <v>305</v>
      </c>
      <c r="F486" t="s">
        <v>1</v>
      </c>
      <c r="G486" t="s">
        <v>877</v>
      </c>
      <c r="H486" t="s">
        <v>297</v>
      </c>
      <c r="I486">
        <v>2126</v>
      </c>
      <c r="J486">
        <v>12</v>
      </c>
      <c r="K486" t="s">
        <v>34</v>
      </c>
      <c r="L486">
        <v>10987</v>
      </c>
      <c r="M486" t="s">
        <v>298</v>
      </c>
      <c r="N486">
        <v>1</v>
      </c>
      <c r="O486" t="s">
        <v>119</v>
      </c>
      <c r="P486" t="s">
        <v>887</v>
      </c>
      <c r="Q486">
        <v>338580</v>
      </c>
      <c r="R486">
        <v>11137500</v>
      </c>
      <c r="S486">
        <v>25</v>
      </c>
      <c r="T486">
        <v>445500</v>
      </c>
      <c r="U486">
        <v>1</v>
      </c>
      <c r="V486">
        <v>1</v>
      </c>
      <c r="W486" t="s">
        <v>127</v>
      </c>
      <c r="X486">
        <v>29700</v>
      </c>
      <c r="Y486">
        <v>338580</v>
      </c>
      <c r="Z486">
        <v>11137500</v>
      </c>
      <c r="AA486">
        <v>445500</v>
      </c>
      <c r="AB486">
        <v>105</v>
      </c>
      <c r="AC486" s="34">
        <v>45943</v>
      </c>
      <c r="AD486" s="34">
        <v>46188</v>
      </c>
      <c r="AF486">
        <v>0</v>
      </c>
      <c r="AG486">
        <v>338580</v>
      </c>
      <c r="AH486">
        <v>0</v>
      </c>
      <c r="AI486">
        <v>338580</v>
      </c>
      <c r="AJ486">
        <v>0</v>
      </c>
      <c r="AK486">
        <v>0</v>
      </c>
      <c r="AL486">
        <v>86676.479999999996</v>
      </c>
      <c r="AM486">
        <v>0</v>
      </c>
      <c r="AN486">
        <v>425256.48</v>
      </c>
      <c r="AO486" t="s">
        <v>122</v>
      </c>
      <c r="AP486">
        <v>15</v>
      </c>
      <c r="AQ486">
        <v>50787</v>
      </c>
      <c r="AR486">
        <v>50787</v>
      </c>
      <c r="AT486">
        <v>6682500</v>
      </c>
      <c r="AU486">
        <v>203148</v>
      </c>
      <c r="AV486">
        <v>6682500</v>
      </c>
      <c r="AW486">
        <v>203148</v>
      </c>
    </row>
    <row r="487" spans="1:49" hidden="1" x14ac:dyDescent="0.35">
      <c r="A487">
        <v>5817410</v>
      </c>
      <c r="B487">
        <v>1170005817401</v>
      </c>
      <c r="D487">
        <v>20239737774</v>
      </c>
      <c r="E487" t="s">
        <v>888</v>
      </c>
      <c r="F487" t="s">
        <v>1</v>
      </c>
      <c r="G487" t="s">
        <v>889</v>
      </c>
      <c r="H487" t="s">
        <v>297</v>
      </c>
      <c r="I487">
        <v>2126</v>
      </c>
      <c r="J487">
        <v>12</v>
      </c>
      <c r="K487" t="s">
        <v>34</v>
      </c>
      <c r="L487">
        <v>10987</v>
      </c>
      <c r="M487" t="s">
        <v>298</v>
      </c>
      <c r="N487">
        <v>1</v>
      </c>
      <c r="O487" t="s">
        <v>125</v>
      </c>
      <c r="P487" t="s">
        <v>890</v>
      </c>
      <c r="Q487">
        <v>93.9</v>
      </c>
      <c r="R487">
        <v>3000</v>
      </c>
      <c r="S487">
        <v>5</v>
      </c>
      <c r="T487">
        <v>600</v>
      </c>
      <c r="U487">
        <v>26</v>
      </c>
      <c r="V487">
        <v>1445</v>
      </c>
      <c r="W487" t="s">
        <v>121</v>
      </c>
      <c r="X487" t="s">
        <v>1</v>
      </c>
      <c r="Y487">
        <v>135685.5</v>
      </c>
      <c r="Z487">
        <v>4335000</v>
      </c>
      <c r="AA487">
        <v>867000</v>
      </c>
      <c r="AB487">
        <v>106</v>
      </c>
      <c r="AC487" s="34">
        <v>45938</v>
      </c>
      <c r="AD487" s="34">
        <v>46022</v>
      </c>
      <c r="AE487" t="s">
        <v>161</v>
      </c>
      <c r="AF487">
        <v>0</v>
      </c>
      <c r="AG487">
        <v>93.9</v>
      </c>
      <c r="AH487">
        <v>0</v>
      </c>
      <c r="AI487">
        <v>135685.5</v>
      </c>
      <c r="AJ487">
        <v>0</v>
      </c>
      <c r="AK487">
        <v>0</v>
      </c>
      <c r="AL487">
        <v>34737.800000000003</v>
      </c>
      <c r="AM487">
        <v>0</v>
      </c>
      <c r="AN487">
        <v>170423.3</v>
      </c>
      <c r="AO487" t="s">
        <v>122</v>
      </c>
      <c r="AP487">
        <v>15.005000000000001</v>
      </c>
      <c r="AQ487">
        <v>14.09</v>
      </c>
      <c r="AR487">
        <v>20360.05</v>
      </c>
      <c r="AT487">
        <v>1800</v>
      </c>
      <c r="AU487">
        <v>56.34</v>
      </c>
      <c r="AV487">
        <v>2601000</v>
      </c>
      <c r="AW487">
        <v>81411.3</v>
      </c>
    </row>
    <row r="488" spans="1:49" hidden="1" x14ac:dyDescent="0.35">
      <c r="A488">
        <v>5817510</v>
      </c>
      <c r="B488">
        <v>1170005817501</v>
      </c>
      <c r="D488">
        <v>20239737774</v>
      </c>
      <c r="E488" t="s">
        <v>888</v>
      </c>
      <c r="F488" t="s">
        <v>1</v>
      </c>
      <c r="G488" t="s">
        <v>889</v>
      </c>
      <c r="H488" t="s">
        <v>297</v>
      </c>
      <c r="I488">
        <v>2126</v>
      </c>
      <c r="J488">
        <v>12</v>
      </c>
      <c r="K488" t="s">
        <v>34</v>
      </c>
      <c r="L488">
        <v>10987</v>
      </c>
      <c r="M488" t="s">
        <v>298</v>
      </c>
      <c r="N488">
        <v>1</v>
      </c>
      <c r="O488" t="s">
        <v>125</v>
      </c>
      <c r="P488" t="s">
        <v>891</v>
      </c>
      <c r="Q488">
        <v>1142547.1200000001</v>
      </c>
      <c r="R488">
        <v>38469600</v>
      </c>
      <c r="S488">
        <v>52</v>
      </c>
      <c r="T488">
        <v>739800</v>
      </c>
      <c r="U488">
        <v>1</v>
      </c>
      <c r="V488">
        <v>1</v>
      </c>
      <c r="W488" t="s">
        <v>127</v>
      </c>
      <c r="X488">
        <v>24660</v>
      </c>
      <c r="Y488">
        <v>1142547.1200000001</v>
      </c>
      <c r="Z488">
        <v>38469600</v>
      </c>
      <c r="AA488">
        <v>739800</v>
      </c>
      <c r="AB488">
        <v>105</v>
      </c>
      <c r="AC488" s="34">
        <v>45937</v>
      </c>
      <c r="AD488" s="34">
        <v>46022</v>
      </c>
      <c r="AF488">
        <v>0</v>
      </c>
      <c r="AG488">
        <v>1142547.1200000001</v>
      </c>
      <c r="AH488">
        <v>0</v>
      </c>
      <c r="AI488">
        <v>1142547.1200000001</v>
      </c>
      <c r="AJ488">
        <v>0</v>
      </c>
      <c r="AK488">
        <v>0</v>
      </c>
      <c r="AL488">
        <v>292492.08</v>
      </c>
      <c r="AM488">
        <v>0</v>
      </c>
      <c r="AN488">
        <v>1435039.2</v>
      </c>
      <c r="AO488" t="s">
        <v>122</v>
      </c>
      <c r="AP488">
        <v>15</v>
      </c>
      <c r="AQ488">
        <v>171382.07</v>
      </c>
      <c r="AR488">
        <v>171382.07</v>
      </c>
      <c r="AT488">
        <v>23081760</v>
      </c>
      <c r="AU488">
        <v>685528.27</v>
      </c>
      <c r="AV488">
        <v>23081760</v>
      </c>
      <c r="AW488">
        <v>685528.27</v>
      </c>
    </row>
    <row r="489" spans="1:49" hidden="1" x14ac:dyDescent="0.35">
      <c r="A489">
        <v>5817610</v>
      </c>
      <c r="B489">
        <v>1170005817601</v>
      </c>
      <c r="D489">
        <v>30681955999</v>
      </c>
      <c r="E489" t="s">
        <v>334</v>
      </c>
      <c r="F489" t="s">
        <v>1</v>
      </c>
      <c r="G489" t="s">
        <v>226</v>
      </c>
      <c r="H489" t="s">
        <v>63</v>
      </c>
      <c r="I489">
        <v>2535</v>
      </c>
      <c r="J489">
        <v>12</v>
      </c>
      <c r="K489" t="s">
        <v>34</v>
      </c>
      <c r="L489">
        <v>83429</v>
      </c>
      <c r="M489" t="s">
        <v>140</v>
      </c>
      <c r="N489">
        <v>1</v>
      </c>
      <c r="O489" t="s">
        <v>119</v>
      </c>
      <c r="P489" t="s">
        <v>892</v>
      </c>
      <c r="Q489">
        <v>3202038</v>
      </c>
      <c r="R489">
        <v>177300000</v>
      </c>
      <c r="S489">
        <v>150</v>
      </c>
      <c r="T489">
        <v>1182000</v>
      </c>
      <c r="U489">
        <v>1</v>
      </c>
      <c r="V489">
        <v>1</v>
      </c>
      <c r="W489" t="s">
        <v>127</v>
      </c>
      <c r="X489">
        <v>19700</v>
      </c>
      <c r="Y489">
        <v>3202038</v>
      </c>
      <c r="Z489">
        <v>177300000</v>
      </c>
      <c r="AA489">
        <v>1182000</v>
      </c>
      <c r="AB489">
        <v>212</v>
      </c>
      <c r="AC489" s="34">
        <v>45962</v>
      </c>
      <c r="AD489" s="34">
        <v>46142</v>
      </c>
      <c r="AF489">
        <v>0</v>
      </c>
      <c r="AG489">
        <v>3202038</v>
      </c>
      <c r="AH489">
        <v>0</v>
      </c>
      <c r="AI489">
        <v>3202038</v>
      </c>
      <c r="AJ489">
        <v>0</v>
      </c>
      <c r="AK489">
        <v>0</v>
      </c>
      <c r="AL489">
        <v>819721.73</v>
      </c>
      <c r="AM489">
        <v>0</v>
      </c>
      <c r="AN489">
        <v>4021759.73</v>
      </c>
      <c r="AO489" t="s">
        <v>122</v>
      </c>
      <c r="AP489">
        <v>15</v>
      </c>
      <c r="AQ489">
        <v>480305.7</v>
      </c>
      <c r="AR489">
        <v>480305.7</v>
      </c>
      <c r="AT489">
        <v>106380000</v>
      </c>
      <c r="AU489">
        <v>1921222.8</v>
      </c>
      <c r="AV489">
        <v>106380000</v>
      </c>
      <c r="AW489">
        <v>1921222.8</v>
      </c>
    </row>
    <row r="490" spans="1:49" hidden="1" x14ac:dyDescent="0.35">
      <c r="A490">
        <v>5817710</v>
      </c>
      <c r="B490">
        <v>1170005817701</v>
      </c>
      <c r="D490">
        <v>20215392873</v>
      </c>
      <c r="E490" t="s">
        <v>893</v>
      </c>
      <c r="F490" t="s">
        <v>1</v>
      </c>
      <c r="G490" t="s">
        <v>877</v>
      </c>
      <c r="H490" t="s">
        <v>297</v>
      </c>
      <c r="I490">
        <v>2126</v>
      </c>
      <c r="J490">
        <v>12</v>
      </c>
      <c r="K490" t="s">
        <v>34</v>
      </c>
      <c r="L490">
        <v>10987</v>
      </c>
      <c r="M490" t="s">
        <v>298</v>
      </c>
      <c r="N490">
        <v>1</v>
      </c>
      <c r="O490" t="s">
        <v>125</v>
      </c>
      <c r="P490" t="s">
        <v>894</v>
      </c>
      <c r="Q490">
        <v>1201.92</v>
      </c>
      <c r="R490">
        <v>38400</v>
      </c>
      <c r="S490">
        <v>64</v>
      </c>
      <c r="T490">
        <v>600</v>
      </c>
      <c r="U490">
        <v>26</v>
      </c>
      <c r="V490">
        <v>1482</v>
      </c>
      <c r="W490" t="s">
        <v>121</v>
      </c>
      <c r="X490" t="s">
        <v>1</v>
      </c>
      <c r="Y490">
        <v>1781245.44</v>
      </c>
      <c r="Z490">
        <v>56908800</v>
      </c>
      <c r="AA490">
        <v>889200</v>
      </c>
      <c r="AB490">
        <v>106</v>
      </c>
      <c r="AC490" s="34">
        <v>45942</v>
      </c>
      <c r="AD490" s="34">
        <v>46022</v>
      </c>
      <c r="AE490" t="s">
        <v>161</v>
      </c>
      <c r="AF490">
        <v>0</v>
      </c>
      <c r="AG490">
        <v>1201.92</v>
      </c>
      <c r="AH490">
        <v>0</v>
      </c>
      <c r="AI490">
        <v>1781245.44</v>
      </c>
      <c r="AJ490">
        <v>0</v>
      </c>
      <c r="AK490">
        <v>0</v>
      </c>
      <c r="AL490">
        <v>455996.58</v>
      </c>
      <c r="AM490">
        <v>0</v>
      </c>
      <c r="AN490">
        <v>2237242.02</v>
      </c>
      <c r="AO490" t="s">
        <v>122</v>
      </c>
      <c r="AP490">
        <v>15</v>
      </c>
      <c r="AQ490">
        <v>180.29</v>
      </c>
      <c r="AR490">
        <v>267189.78000000003</v>
      </c>
      <c r="AT490">
        <v>23040</v>
      </c>
      <c r="AU490">
        <v>721.15</v>
      </c>
      <c r="AV490">
        <v>34145280</v>
      </c>
      <c r="AW490">
        <v>1068744.3</v>
      </c>
    </row>
    <row r="491" spans="1:49" hidden="1" x14ac:dyDescent="0.35">
      <c r="A491">
        <v>5817810</v>
      </c>
      <c r="B491">
        <v>1170005817801</v>
      </c>
      <c r="D491">
        <v>20342105263</v>
      </c>
      <c r="E491" t="s">
        <v>895</v>
      </c>
      <c r="F491" t="s">
        <v>1</v>
      </c>
      <c r="G491" t="s">
        <v>889</v>
      </c>
      <c r="H491" t="s">
        <v>297</v>
      </c>
      <c r="I491">
        <v>2126</v>
      </c>
      <c r="J491">
        <v>12</v>
      </c>
      <c r="K491" t="s">
        <v>34</v>
      </c>
      <c r="L491">
        <v>10987</v>
      </c>
      <c r="M491" t="s">
        <v>298</v>
      </c>
      <c r="N491">
        <v>1</v>
      </c>
      <c r="O491" t="s">
        <v>125</v>
      </c>
      <c r="P491" t="s">
        <v>896</v>
      </c>
      <c r="Q491">
        <v>78.25</v>
      </c>
      <c r="R491">
        <v>2500</v>
      </c>
      <c r="S491">
        <v>10</v>
      </c>
      <c r="T491">
        <v>250</v>
      </c>
      <c r="U491">
        <v>26</v>
      </c>
      <c r="V491">
        <v>1482</v>
      </c>
      <c r="W491" t="s">
        <v>121</v>
      </c>
      <c r="X491" t="s">
        <v>1</v>
      </c>
      <c r="Y491">
        <v>115966.5</v>
      </c>
      <c r="Z491">
        <v>3705000</v>
      </c>
      <c r="AA491">
        <v>370500</v>
      </c>
      <c r="AB491">
        <v>106</v>
      </c>
      <c r="AC491" s="34">
        <v>45941</v>
      </c>
      <c r="AD491" s="34">
        <v>46022</v>
      </c>
      <c r="AE491" t="s">
        <v>161</v>
      </c>
      <c r="AF491">
        <v>0</v>
      </c>
      <c r="AG491">
        <v>78.25</v>
      </c>
      <c r="AH491">
        <v>0</v>
      </c>
      <c r="AI491">
        <v>115966.5</v>
      </c>
      <c r="AJ491">
        <v>0</v>
      </c>
      <c r="AK491">
        <v>0</v>
      </c>
      <c r="AL491">
        <v>26201.759999999998</v>
      </c>
      <c r="AM491">
        <v>0</v>
      </c>
      <c r="AN491">
        <v>142168.26</v>
      </c>
      <c r="AO491" t="s">
        <v>122</v>
      </c>
      <c r="AP491">
        <v>15.003</v>
      </c>
      <c r="AQ491">
        <v>11.74</v>
      </c>
      <c r="AR491">
        <v>17398.68</v>
      </c>
      <c r="AT491">
        <v>1500</v>
      </c>
      <c r="AU491">
        <v>46.95</v>
      </c>
      <c r="AV491">
        <v>2223000</v>
      </c>
      <c r="AW491">
        <v>69579.899999999994</v>
      </c>
    </row>
    <row r="492" spans="1:49" hidden="1" x14ac:dyDescent="0.35">
      <c r="A492">
        <v>5817910</v>
      </c>
      <c r="B492">
        <v>1170005817901</v>
      </c>
      <c r="D492">
        <v>30621166685</v>
      </c>
      <c r="E492" t="s">
        <v>483</v>
      </c>
      <c r="F492" t="s">
        <v>1</v>
      </c>
      <c r="G492" t="s">
        <v>889</v>
      </c>
      <c r="H492" t="s">
        <v>297</v>
      </c>
      <c r="I492">
        <v>2126</v>
      </c>
      <c r="J492">
        <v>12</v>
      </c>
      <c r="K492" t="s">
        <v>34</v>
      </c>
      <c r="L492">
        <v>10987</v>
      </c>
      <c r="M492" t="s">
        <v>298</v>
      </c>
      <c r="N492">
        <v>1</v>
      </c>
      <c r="O492" t="s">
        <v>125</v>
      </c>
      <c r="P492" t="s">
        <v>897</v>
      </c>
      <c r="Q492">
        <v>594.70000000000005</v>
      </c>
      <c r="R492">
        <v>19000</v>
      </c>
      <c r="S492">
        <v>38</v>
      </c>
      <c r="T492">
        <v>500</v>
      </c>
      <c r="U492">
        <v>26</v>
      </c>
      <c r="V492">
        <v>1482</v>
      </c>
      <c r="W492" t="s">
        <v>121</v>
      </c>
      <c r="X492" t="s">
        <v>1</v>
      </c>
      <c r="Y492">
        <v>881345.4</v>
      </c>
      <c r="Z492">
        <v>28158000</v>
      </c>
      <c r="AA492">
        <v>741000</v>
      </c>
      <c r="AB492">
        <v>106</v>
      </c>
      <c r="AC492" s="34">
        <v>45941</v>
      </c>
      <c r="AD492" s="34">
        <v>46022</v>
      </c>
      <c r="AE492" t="s">
        <v>161</v>
      </c>
      <c r="AF492">
        <v>0</v>
      </c>
      <c r="AG492">
        <v>1236.3499999999999</v>
      </c>
      <c r="AH492">
        <v>0</v>
      </c>
      <c r="AI492">
        <v>1832270.7</v>
      </c>
      <c r="AJ492">
        <v>0</v>
      </c>
      <c r="AK492">
        <v>0</v>
      </c>
      <c r="AL492">
        <v>469053</v>
      </c>
      <c r="AM492">
        <v>0</v>
      </c>
      <c r="AN492">
        <v>2301323.7000000002</v>
      </c>
      <c r="AO492" t="s">
        <v>122</v>
      </c>
      <c r="AP492">
        <v>15</v>
      </c>
      <c r="AQ492">
        <v>185.45</v>
      </c>
      <c r="AR492">
        <v>274836.90000000002</v>
      </c>
      <c r="AT492">
        <v>11400</v>
      </c>
      <c r="AU492">
        <v>356.82</v>
      </c>
      <c r="AV492">
        <v>16894800</v>
      </c>
      <c r="AW492">
        <v>528807.24</v>
      </c>
    </row>
    <row r="493" spans="1:49" hidden="1" x14ac:dyDescent="0.35">
      <c r="A493">
        <v>5817910</v>
      </c>
      <c r="B493">
        <v>1170005817901</v>
      </c>
      <c r="D493">
        <v>30621166685</v>
      </c>
      <c r="E493" t="s">
        <v>483</v>
      </c>
      <c r="F493" t="s">
        <v>1</v>
      </c>
      <c r="G493" t="s">
        <v>889</v>
      </c>
      <c r="H493" t="s">
        <v>297</v>
      </c>
      <c r="I493">
        <v>2126</v>
      </c>
      <c r="J493">
        <v>12</v>
      </c>
      <c r="K493" t="s">
        <v>34</v>
      </c>
      <c r="L493">
        <v>10987</v>
      </c>
      <c r="M493" t="s">
        <v>298</v>
      </c>
      <c r="N493">
        <v>2</v>
      </c>
      <c r="O493" t="s">
        <v>125</v>
      </c>
      <c r="P493" t="s">
        <v>898</v>
      </c>
      <c r="Q493">
        <v>641.65</v>
      </c>
      <c r="R493">
        <v>20500</v>
      </c>
      <c r="S493">
        <v>41</v>
      </c>
      <c r="T493">
        <v>500</v>
      </c>
      <c r="U493">
        <v>26</v>
      </c>
      <c r="V493">
        <v>1482</v>
      </c>
      <c r="W493" t="s">
        <v>121</v>
      </c>
      <c r="X493" t="s">
        <v>1</v>
      </c>
      <c r="Y493">
        <v>950925.3</v>
      </c>
      <c r="Z493">
        <v>30381000</v>
      </c>
      <c r="AA493">
        <v>741000</v>
      </c>
      <c r="AB493">
        <v>106</v>
      </c>
      <c r="AC493" s="34">
        <v>45941</v>
      </c>
      <c r="AD493" s="34">
        <v>46022</v>
      </c>
      <c r="AE493" t="s">
        <v>161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 t="s">
        <v>122</v>
      </c>
      <c r="AT493">
        <v>12300</v>
      </c>
      <c r="AU493">
        <v>384.99</v>
      </c>
      <c r="AV493">
        <v>18228600</v>
      </c>
      <c r="AW493">
        <v>570555.18000000005</v>
      </c>
    </row>
    <row r="494" spans="1:49" hidden="1" x14ac:dyDescent="0.35">
      <c r="A494">
        <v>5818010</v>
      </c>
      <c r="B494">
        <v>1170005818001</v>
      </c>
      <c r="D494">
        <v>23319452869</v>
      </c>
      <c r="E494" t="s">
        <v>899</v>
      </c>
      <c r="F494" t="s">
        <v>1</v>
      </c>
      <c r="G494" t="s">
        <v>889</v>
      </c>
      <c r="H494" t="s">
        <v>297</v>
      </c>
      <c r="I494">
        <v>2126</v>
      </c>
      <c r="J494">
        <v>12</v>
      </c>
      <c r="K494" t="s">
        <v>34</v>
      </c>
      <c r="L494">
        <v>10987</v>
      </c>
      <c r="M494" t="s">
        <v>298</v>
      </c>
      <c r="N494">
        <v>1</v>
      </c>
      <c r="O494" t="s">
        <v>125</v>
      </c>
      <c r="P494" t="s">
        <v>900</v>
      </c>
      <c r="Q494">
        <v>78.25</v>
      </c>
      <c r="R494">
        <v>2500</v>
      </c>
      <c r="S494">
        <v>10</v>
      </c>
      <c r="T494">
        <v>250</v>
      </c>
      <c r="U494">
        <v>26</v>
      </c>
      <c r="V494">
        <v>1482</v>
      </c>
      <c r="W494" t="s">
        <v>121</v>
      </c>
      <c r="X494" t="s">
        <v>1</v>
      </c>
      <c r="Y494">
        <v>115966.5</v>
      </c>
      <c r="Z494">
        <v>3705000</v>
      </c>
      <c r="AA494">
        <v>370500</v>
      </c>
      <c r="AB494">
        <v>106</v>
      </c>
      <c r="AC494" s="34">
        <v>45941</v>
      </c>
      <c r="AD494" s="34">
        <v>46022</v>
      </c>
      <c r="AE494" t="s">
        <v>161</v>
      </c>
      <c r="AF494">
        <v>0</v>
      </c>
      <c r="AG494">
        <v>78.25</v>
      </c>
      <c r="AH494">
        <v>0</v>
      </c>
      <c r="AI494">
        <v>115966.5</v>
      </c>
      <c r="AJ494">
        <v>0</v>
      </c>
      <c r="AK494">
        <v>0</v>
      </c>
      <c r="AL494">
        <v>26201.759999999998</v>
      </c>
      <c r="AM494">
        <v>0</v>
      </c>
      <c r="AN494">
        <v>142168.26</v>
      </c>
      <c r="AO494" t="s">
        <v>122</v>
      </c>
      <c r="AP494">
        <v>15.003</v>
      </c>
      <c r="AQ494">
        <v>11.74</v>
      </c>
      <c r="AR494">
        <v>17398.68</v>
      </c>
      <c r="AT494">
        <v>1500</v>
      </c>
      <c r="AU494">
        <v>46.95</v>
      </c>
      <c r="AV494">
        <v>2223000</v>
      </c>
      <c r="AW494">
        <v>69579.899999999994</v>
      </c>
    </row>
    <row r="495" spans="1:49" hidden="1" x14ac:dyDescent="0.35">
      <c r="A495">
        <v>5818210</v>
      </c>
      <c r="B495">
        <v>1150005818201</v>
      </c>
      <c r="D495">
        <v>23162285904</v>
      </c>
      <c r="E495" t="s">
        <v>188</v>
      </c>
      <c r="F495" t="s">
        <v>1</v>
      </c>
      <c r="G495" t="s">
        <v>901</v>
      </c>
      <c r="H495" t="s">
        <v>50</v>
      </c>
      <c r="I495">
        <v>5949</v>
      </c>
      <c r="J495">
        <v>3</v>
      </c>
      <c r="K495" t="s">
        <v>32</v>
      </c>
      <c r="L495">
        <v>9262</v>
      </c>
      <c r="M495" t="s">
        <v>183</v>
      </c>
      <c r="N495">
        <v>1</v>
      </c>
      <c r="O495" t="s">
        <v>119</v>
      </c>
      <c r="P495" t="s">
        <v>902</v>
      </c>
      <c r="Q495">
        <v>166606.44</v>
      </c>
      <c r="R495">
        <v>5950230</v>
      </c>
      <c r="S495">
        <v>22</v>
      </c>
      <c r="T495">
        <v>270465</v>
      </c>
      <c r="U495">
        <v>1</v>
      </c>
      <c r="V495">
        <v>1</v>
      </c>
      <c r="W495" t="s">
        <v>127</v>
      </c>
      <c r="X495">
        <v>54093</v>
      </c>
      <c r="Y495">
        <v>166606.44</v>
      </c>
      <c r="Z495">
        <v>5950230</v>
      </c>
      <c r="AA495">
        <v>270465</v>
      </c>
      <c r="AB495">
        <v>105</v>
      </c>
      <c r="AC495" s="34">
        <v>45965</v>
      </c>
      <c r="AD495" s="34">
        <v>46112</v>
      </c>
      <c r="AF495">
        <v>0</v>
      </c>
      <c r="AG495">
        <v>166606.44</v>
      </c>
      <c r="AH495">
        <v>0</v>
      </c>
      <c r="AI495">
        <v>166606.44</v>
      </c>
      <c r="AJ495">
        <v>0</v>
      </c>
      <c r="AK495">
        <v>0</v>
      </c>
      <c r="AL495">
        <v>43484.27</v>
      </c>
      <c r="AM495">
        <v>0</v>
      </c>
      <c r="AN495">
        <v>210090.71</v>
      </c>
      <c r="AO495" t="s">
        <v>122</v>
      </c>
      <c r="AP495">
        <v>10</v>
      </c>
      <c r="AQ495">
        <v>16660.64</v>
      </c>
      <c r="AR495">
        <v>16660.64</v>
      </c>
      <c r="AT495">
        <v>3570138</v>
      </c>
      <c r="AU495">
        <v>99963.86</v>
      </c>
      <c r="AV495">
        <v>3570138</v>
      </c>
      <c r="AW495">
        <v>99963.86</v>
      </c>
    </row>
    <row r="496" spans="1:49" hidden="1" x14ac:dyDescent="0.35">
      <c r="A496">
        <v>5818310</v>
      </c>
      <c r="B496">
        <v>1150005818301</v>
      </c>
      <c r="D496">
        <v>20184082072</v>
      </c>
      <c r="E496" t="s">
        <v>216</v>
      </c>
      <c r="F496" t="s">
        <v>1</v>
      </c>
      <c r="G496" t="s">
        <v>901</v>
      </c>
      <c r="H496" t="s">
        <v>50</v>
      </c>
      <c r="I496">
        <v>5949</v>
      </c>
      <c r="J496">
        <v>3</v>
      </c>
      <c r="K496" t="s">
        <v>32</v>
      </c>
      <c r="L496">
        <v>9262</v>
      </c>
      <c r="M496" t="s">
        <v>183</v>
      </c>
      <c r="N496">
        <v>1</v>
      </c>
      <c r="O496" t="s">
        <v>119</v>
      </c>
      <c r="P496" t="s">
        <v>902</v>
      </c>
      <c r="Q496">
        <v>166606.44</v>
      </c>
      <c r="R496">
        <v>5950230</v>
      </c>
      <c r="S496">
        <v>22</v>
      </c>
      <c r="T496">
        <v>270465</v>
      </c>
      <c r="U496">
        <v>1</v>
      </c>
      <c r="V496">
        <v>1</v>
      </c>
      <c r="W496" t="s">
        <v>127</v>
      </c>
      <c r="X496">
        <v>54093</v>
      </c>
      <c r="Y496">
        <v>166606.44</v>
      </c>
      <c r="Z496">
        <v>5950230</v>
      </c>
      <c r="AA496">
        <v>270465</v>
      </c>
      <c r="AB496">
        <v>105</v>
      </c>
      <c r="AC496" s="34">
        <v>45965</v>
      </c>
      <c r="AD496" s="34">
        <v>46112</v>
      </c>
      <c r="AF496">
        <v>0</v>
      </c>
      <c r="AG496">
        <v>166606.44</v>
      </c>
      <c r="AH496">
        <v>0</v>
      </c>
      <c r="AI496">
        <v>166606.44</v>
      </c>
      <c r="AJ496">
        <v>0</v>
      </c>
      <c r="AK496">
        <v>0</v>
      </c>
      <c r="AL496">
        <v>43484.27</v>
      </c>
      <c r="AM496">
        <v>0</v>
      </c>
      <c r="AN496">
        <v>210090.71</v>
      </c>
      <c r="AO496" t="s">
        <v>122</v>
      </c>
      <c r="AP496">
        <v>10</v>
      </c>
      <c r="AQ496">
        <v>16660.64</v>
      </c>
      <c r="AR496">
        <v>16660.64</v>
      </c>
      <c r="AT496">
        <v>3570138</v>
      </c>
      <c r="AU496">
        <v>99963.86</v>
      </c>
      <c r="AV496">
        <v>3570138</v>
      </c>
      <c r="AW496">
        <v>99963.86</v>
      </c>
    </row>
    <row r="497" spans="1:49" hidden="1" x14ac:dyDescent="0.35">
      <c r="A497">
        <v>5818410</v>
      </c>
      <c r="B497">
        <v>1090005818401</v>
      </c>
      <c r="D497">
        <v>20103177767</v>
      </c>
      <c r="E497" t="s">
        <v>903</v>
      </c>
      <c r="F497" t="s">
        <v>1</v>
      </c>
      <c r="G497" t="s">
        <v>44</v>
      </c>
      <c r="H497" t="s">
        <v>44</v>
      </c>
      <c r="I497">
        <v>6339</v>
      </c>
      <c r="J497">
        <v>1</v>
      </c>
      <c r="K497" t="s">
        <v>16</v>
      </c>
      <c r="L497">
        <v>9371</v>
      </c>
      <c r="M497" t="s">
        <v>581</v>
      </c>
      <c r="N497">
        <v>1</v>
      </c>
      <c r="O497" t="s">
        <v>119</v>
      </c>
      <c r="P497" t="s">
        <v>904</v>
      </c>
      <c r="Q497">
        <v>637.5</v>
      </c>
      <c r="R497">
        <v>25000</v>
      </c>
      <c r="S497">
        <v>25</v>
      </c>
      <c r="T497">
        <v>1000</v>
      </c>
      <c r="U497">
        <v>26</v>
      </c>
      <c r="V497">
        <v>1482</v>
      </c>
      <c r="W497" t="s">
        <v>121</v>
      </c>
      <c r="X497" t="s">
        <v>1</v>
      </c>
      <c r="Y497">
        <v>944775</v>
      </c>
      <c r="Z497">
        <v>37050000</v>
      </c>
      <c r="AA497">
        <v>1482000</v>
      </c>
      <c r="AB497">
        <v>106</v>
      </c>
      <c r="AC497" s="34">
        <v>45966</v>
      </c>
      <c r="AD497" s="34">
        <v>46142</v>
      </c>
      <c r="AF497">
        <v>0</v>
      </c>
      <c r="AG497">
        <v>637.5</v>
      </c>
      <c r="AH497">
        <v>0</v>
      </c>
      <c r="AI497">
        <v>944775</v>
      </c>
      <c r="AJ497">
        <v>0</v>
      </c>
      <c r="AK497">
        <v>0</v>
      </c>
      <c r="AL497">
        <v>237164.46</v>
      </c>
      <c r="AM497">
        <v>0</v>
      </c>
      <c r="AN497">
        <v>1181939.46</v>
      </c>
      <c r="AO497" t="s">
        <v>122</v>
      </c>
      <c r="AP497">
        <v>10</v>
      </c>
      <c r="AQ497">
        <v>63.75</v>
      </c>
      <c r="AR497">
        <v>94477.5</v>
      </c>
      <c r="AT497">
        <v>15000</v>
      </c>
      <c r="AU497">
        <v>382.5</v>
      </c>
      <c r="AV497">
        <v>22230000</v>
      </c>
      <c r="AW497">
        <v>566865</v>
      </c>
    </row>
    <row r="498" spans="1:49" hidden="1" x14ac:dyDescent="0.35">
      <c r="A498">
        <v>5818510</v>
      </c>
      <c r="B498">
        <v>1090005818501</v>
      </c>
      <c r="D498">
        <v>20259906963</v>
      </c>
      <c r="E498" t="s">
        <v>905</v>
      </c>
      <c r="F498" t="s">
        <v>1</v>
      </c>
      <c r="G498" t="s">
        <v>906</v>
      </c>
      <c r="H498" t="s">
        <v>66</v>
      </c>
      <c r="I498">
        <v>7540</v>
      </c>
      <c r="J498">
        <v>1</v>
      </c>
      <c r="K498" t="s">
        <v>16</v>
      </c>
      <c r="L498">
        <v>9371</v>
      </c>
      <c r="M498" t="s">
        <v>581</v>
      </c>
      <c r="N498">
        <v>1</v>
      </c>
      <c r="O498" t="s">
        <v>125</v>
      </c>
      <c r="P498" t="s">
        <v>907</v>
      </c>
      <c r="Q498">
        <v>941.36</v>
      </c>
      <c r="R498">
        <v>32800</v>
      </c>
      <c r="S498">
        <v>82</v>
      </c>
      <c r="T498">
        <v>400</v>
      </c>
      <c r="U498">
        <v>26</v>
      </c>
      <c r="V498">
        <v>1482</v>
      </c>
      <c r="W498" t="s">
        <v>121</v>
      </c>
      <c r="X498" t="s">
        <v>1</v>
      </c>
      <c r="Y498">
        <v>1395095.52</v>
      </c>
      <c r="Z498">
        <v>48609600</v>
      </c>
      <c r="AA498">
        <v>592800</v>
      </c>
      <c r="AB498">
        <v>106</v>
      </c>
      <c r="AC498" s="34">
        <v>45952</v>
      </c>
      <c r="AD498" s="34">
        <v>46022</v>
      </c>
      <c r="AF498">
        <v>1</v>
      </c>
      <c r="AG498">
        <v>941.36</v>
      </c>
      <c r="AH498">
        <v>0</v>
      </c>
      <c r="AI498">
        <v>1395095.52</v>
      </c>
      <c r="AJ498">
        <v>0</v>
      </c>
      <c r="AK498">
        <v>0</v>
      </c>
      <c r="AL498">
        <v>350181.78</v>
      </c>
      <c r="AM498">
        <v>0</v>
      </c>
      <c r="AN498">
        <v>1745277.3</v>
      </c>
      <c r="AO498" t="s">
        <v>122</v>
      </c>
      <c r="AP498">
        <v>10</v>
      </c>
      <c r="AQ498">
        <v>94.14</v>
      </c>
      <c r="AR498">
        <v>139515.48000000001</v>
      </c>
      <c r="AT498">
        <v>19680</v>
      </c>
      <c r="AU498">
        <v>564.82000000000005</v>
      </c>
      <c r="AV498">
        <v>29165760</v>
      </c>
      <c r="AW498">
        <v>837063.24</v>
      </c>
    </row>
    <row r="499" spans="1:49" hidden="1" x14ac:dyDescent="0.35">
      <c r="A499">
        <v>5818610</v>
      </c>
      <c r="B499">
        <v>1170005818601</v>
      </c>
      <c r="D499">
        <v>20272782874</v>
      </c>
      <c r="E499" t="s">
        <v>305</v>
      </c>
      <c r="F499" t="s">
        <v>1</v>
      </c>
      <c r="G499" t="s">
        <v>877</v>
      </c>
      <c r="H499" t="s">
        <v>297</v>
      </c>
      <c r="I499">
        <v>2126</v>
      </c>
      <c r="J499">
        <v>12</v>
      </c>
      <c r="K499" t="s">
        <v>34</v>
      </c>
      <c r="L499">
        <v>10987</v>
      </c>
      <c r="M499" t="s">
        <v>298</v>
      </c>
      <c r="N499">
        <v>1</v>
      </c>
      <c r="O499" t="s">
        <v>125</v>
      </c>
      <c r="P499" t="s">
        <v>908</v>
      </c>
      <c r="Q499">
        <v>563.4</v>
      </c>
      <c r="R499">
        <v>18000</v>
      </c>
      <c r="S499">
        <v>60</v>
      </c>
      <c r="T499">
        <v>300</v>
      </c>
      <c r="U499">
        <v>26</v>
      </c>
      <c r="V499">
        <v>1482</v>
      </c>
      <c r="W499" t="s">
        <v>121</v>
      </c>
      <c r="X499" t="s">
        <v>1</v>
      </c>
      <c r="Y499">
        <v>834958.8</v>
      </c>
      <c r="Z499">
        <v>26676000</v>
      </c>
      <c r="AA499">
        <v>444600</v>
      </c>
      <c r="AB499">
        <v>214</v>
      </c>
      <c r="AC499" s="34">
        <v>45941</v>
      </c>
      <c r="AD499" s="34">
        <v>46022</v>
      </c>
      <c r="AE499" t="s">
        <v>161</v>
      </c>
      <c r="AF499">
        <v>0</v>
      </c>
      <c r="AG499">
        <v>563.4</v>
      </c>
      <c r="AH499">
        <v>0</v>
      </c>
      <c r="AI499">
        <v>834958.8</v>
      </c>
      <c r="AJ499">
        <v>0</v>
      </c>
      <c r="AK499">
        <v>0</v>
      </c>
      <c r="AL499">
        <v>213748.86</v>
      </c>
      <c r="AM499">
        <v>0</v>
      </c>
      <c r="AN499">
        <v>1048707.6599999999</v>
      </c>
      <c r="AO499" t="s">
        <v>122</v>
      </c>
      <c r="AP499">
        <v>15</v>
      </c>
      <c r="AQ499">
        <v>84.51</v>
      </c>
      <c r="AR499">
        <v>125243.82</v>
      </c>
      <c r="AT499">
        <v>10800</v>
      </c>
      <c r="AU499">
        <v>338.04</v>
      </c>
      <c r="AV499">
        <v>16005600</v>
      </c>
      <c r="AW499">
        <v>500975.28</v>
      </c>
    </row>
    <row r="500" spans="1:49" hidden="1" x14ac:dyDescent="0.35">
      <c r="A500">
        <v>5818710</v>
      </c>
      <c r="B500">
        <v>1170005818701</v>
      </c>
      <c r="D500">
        <v>20162456165</v>
      </c>
      <c r="E500" t="s">
        <v>333</v>
      </c>
      <c r="F500" t="s">
        <v>1</v>
      </c>
      <c r="G500" t="s">
        <v>877</v>
      </c>
      <c r="H500" t="s">
        <v>297</v>
      </c>
      <c r="I500">
        <v>2126</v>
      </c>
      <c r="J500">
        <v>12</v>
      </c>
      <c r="K500" t="s">
        <v>34</v>
      </c>
      <c r="L500">
        <v>10987</v>
      </c>
      <c r="M500" t="s">
        <v>298</v>
      </c>
      <c r="N500">
        <v>1</v>
      </c>
      <c r="O500" t="s">
        <v>125</v>
      </c>
      <c r="P500" t="s">
        <v>909</v>
      </c>
      <c r="Q500">
        <v>563.4</v>
      </c>
      <c r="R500">
        <v>18000</v>
      </c>
      <c r="S500">
        <v>60</v>
      </c>
      <c r="T500">
        <v>300</v>
      </c>
      <c r="U500">
        <v>26</v>
      </c>
      <c r="V500">
        <v>1482</v>
      </c>
      <c r="W500" t="s">
        <v>121</v>
      </c>
      <c r="X500" t="s">
        <v>1</v>
      </c>
      <c r="Y500">
        <v>834958.8</v>
      </c>
      <c r="Z500">
        <v>26676000</v>
      </c>
      <c r="AA500">
        <v>444600</v>
      </c>
      <c r="AB500">
        <v>214</v>
      </c>
      <c r="AC500" s="34">
        <v>45941</v>
      </c>
      <c r="AD500" s="34">
        <v>46022</v>
      </c>
      <c r="AE500" t="s">
        <v>161</v>
      </c>
      <c r="AF500">
        <v>0</v>
      </c>
      <c r="AG500">
        <v>563.4</v>
      </c>
      <c r="AH500">
        <v>0</v>
      </c>
      <c r="AI500">
        <v>834958.8</v>
      </c>
      <c r="AJ500">
        <v>0</v>
      </c>
      <c r="AK500">
        <v>0</v>
      </c>
      <c r="AL500">
        <v>213748.86</v>
      </c>
      <c r="AM500">
        <v>0</v>
      </c>
      <c r="AN500">
        <v>1048707.6599999999</v>
      </c>
      <c r="AO500" t="s">
        <v>122</v>
      </c>
      <c r="AP500">
        <v>15</v>
      </c>
      <c r="AQ500">
        <v>84.51</v>
      </c>
      <c r="AR500">
        <v>125243.82</v>
      </c>
      <c r="AT500">
        <v>10800</v>
      </c>
      <c r="AU500">
        <v>338.04</v>
      </c>
      <c r="AV500">
        <v>16005600</v>
      </c>
      <c r="AW500">
        <v>500975.28</v>
      </c>
    </row>
    <row r="501" spans="1:49" hidden="1" x14ac:dyDescent="0.35">
      <c r="A501">
        <v>5818810</v>
      </c>
      <c r="B501">
        <v>1170005818801</v>
      </c>
      <c r="D501">
        <v>30707778136</v>
      </c>
      <c r="E501" t="s">
        <v>486</v>
      </c>
      <c r="F501" t="s">
        <v>1</v>
      </c>
      <c r="G501" t="s">
        <v>226</v>
      </c>
      <c r="H501" t="s">
        <v>63</v>
      </c>
      <c r="I501">
        <v>2535</v>
      </c>
      <c r="J501">
        <v>12</v>
      </c>
      <c r="K501" t="s">
        <v>34</v>
      </c>
      <c r="L501">
        <v>83429</v>
      </c>
      <c r="M501" t="s">
        <v>140</v>
      </c>
      <c r="N501">
        <v>1</v>
      </c>
      <c r="O501" t="s">
        <v>119</v>
      </c>
      <c r="P501" t="s">
        <v>910</v>
      </c>
      <c r="Q501">
        <v>2392533.39</v>
      </c>
      <c r="R501">
        <v>87630660</v>
      </c>
      <c r="S501">
        <v>90</v>
      </c>
      <c r="T501">
        <v>973674</v>
      </c>
      <c r="U501">
        <v>1</v>
      </c>
      <c r="V501">
        <v>1</v>
      </c>
      <c r="W501" t="s">
        <v>127</v>
      </c>
      <c r="X501">
        <v>54093</v>
      </c>
      <c r="Y501">
        <v>2392533.39</v>
      </c>
      <c r="Z501">
        <v>87630660</v>
      </c>
      <c r="AA501">
        <v>973674</v>
      </c>
      <c r="AB501">
        <v>212</v>
      </c>
      <c r="AC501" s="34">
        <v>45966</v>
      </c>
      <c r="AD501" s="34">
        <v>46112</v>
      </c>
      <c r="AF501">
        <v>0</v>
      </c>
      <c r="AG501">
        <v>4465918.08</v>
      </c>
      <c r="AH501">
        <v>0</v>
      </c>
      <c r="AI501">
        <v>4465918.08</v>
      </c>
      <c r="AJ501">
        <v>0</v>
      </c>
      <c r="AK501">
        <v>0</v>
      </c>
      <c r="AL501">
        <v>1143275.03</v>
      </c>
      <c r="AM501">
        <v>0</v>
      </c>
      <c r="AN501">
        <v>5609193.1100000003</v>
      </c>
      <c r="AO501" t="s">
        <v>122</v>
      </c>
      <c r="AP501">
        <v>15</v>
      </c>
      <c r="AQ501">
        <v>669887.71</v>
      </c>
      <c r="AR501">
        <v>669887.71</v>
      </c>
      <c r="AT501">
        <v>52578396</v>
      </c>
      <c r="AU501">
        <v>1435520.03</v>
      </c>
      <c r="AV501">
        <v>52578396</v>
      </c>
      <c r="AW501">
        <v>1435520.03</v>
      </c>
    </row>
    <row r="502" spans="1:49" hidden="1" x14ac:dyDescent="0.35">
      <c r="A502">
        <v>5818810</v>
      </c>
      <c r="B502">
        <v>1170005818801</v>
      </c>
      <c r="D502">
        <v>30707778136</v>
      </c>
      <c r="E502" t="s">
        <v>486</v>
      </c>
      <c r="F502" t="s">
        <v>1</v>
      </c>
      <c r="G502" t="s">
        <v>226</v>
      </c>
      <c r="H502" t="s">
        <v>63</v>
      </c>
      <c r="I502">
        <v>2535</v>
      </c>
      <c r="J502">
        <v>12</v>
      </c>
      <c r="K502" t="s">
        <v>34</v>
      </c>
      <c r="L502">
        <v>83429</v>
      </c>
      <c r="M502" t="s">
        <v>140</v>
      </c>
      <c r="N502">
        <v>2</v>
      </c>
      <c r="O502" t="s">
        <v>119</v>
      </c>
      <c r="P502" t="s">
        <v>911</v>
      </c>
      <c r="Q502">
        <v>1063468.3799999999</v>
      </c>
      <c r="R502">
        <v>38946960</v>
      </c>
      <c r="S502">
        <v>40</v>
      </c>
      <c r="T502">
        <v>973674</v>
      </c>
      <c r="U502">
        <v>1</v>
      </c>
      <c r="V502">
        <v>1</v>
      </c>
      <c r="W502" t="s">
        <v>127</v>
      </c>
      <c r="X502">
        <v>54093</v>
      </c>
      <c r="Y502">
        <v>1063468.3799999999</v>
      </c>
      <c r="Z502">
        <v>38946960</v>
      </c>
      <c r="AA502">
        <v>973674</v>
      </c>
      <c r="AB502">
        <v>212</v>
      </c>
      <c r="AC502" s="34">
        <v>45966</v>
      </c>
      <c r="AD502" s="34">
        <v>46112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 t="s">
        <v>122</v>
      </c>
      <c r="AT502">
        <v>23368176</v>
      </c>
      <c r="AU502">
        <v>638081.03</v>
      </c>
      <c r="AV502">
        <v>23368176</v>
      </c>
      <c r="AW502">
        <v>638081.03</v>
      </c>
    </row>
    <row r="503" spans="1:49" hidden="1" x14ac:dyDescent="0.35">
      <c r="A503">
        <v>5818810</v>
      </c>
      <c r="B503">
        <v>1170005818801</v>
      </c>
      <c r="D503">
        <v>30707778136</v>
      </c>
      <c r="E503" t="s">
        <v>486</v>
      </c>
      <c r="F503" t="s">
        <v>1</v>
      </c>
      <c r="G503" t="s">
        <v>226</v>
      </c>
      <c r="H503" t="s">
        <v>63</v>
      </c>
      <c r="I503">
        <v>2535</v>
      </c>
      <c r="J503">
        <v>12</v>
      </c>
      <c r="K503" t="s">
        <v>34</v>
      </c>
      <c r="L503">
        <v>83429</v>
      </c>
      <c r="M503" t="s">
        <v>140</v>
      </c>
      <c r="N503">
        <v>3</v>
      </c>
      <c r="O503" t="s">
        <v>119</v>
      </c>
      <c r="P503" t="s">
        <v>912</v>
      </c>
      <c r="Q503">
        <v>1009916.31</v>
      </c>
      <c r="R503">
        <v>36999612</v>
      </c>
      <c r="S503">
        <v>38</v>
      </c>
      <c r="T503">
        <v>973674</v>
      </c>
      <c r="U503">
        <v>1</v>
      </c>
      <c r="V503">
        <v>1</v>
      </c>
      <c r="W503" t="s">
        <v>127</v>
      </c>
      <c r="X503">
        <v>54093</v>
      </c>
      <c r="Y503">
        <v>1009916.31</v>
      </c>
      <c r="Z503">
        <v>36999612</v>
      </c>
      <c r="AA503">
        <v>973674</v>
      </c>
      <c r="AB503">
        <v>212</v>
      </c>
      <c r="AC503" s="34">
        <v>45966</v>
      </c>
      <c r="AD503" s="34">
        <v>46112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 t="s">
        <v>122</v>
      </c>
      <c r="AT503">
        <v>22199767.199999999</v>
      </c>
      <c r="AU503">
        <v>605949.79</v>
      </c>
      <c r="AV503">
        <v>22199767.199999999</v>
      </c>
      <c r="AW503">
        <v>605949.79</v>
      </c>
    </row>
    <row r="504" spans="1:49" hidden="1" x14ac:dyDescent="0.35">
      <c r="A504">
        <v>5818910</v>
      </c>
      <c r="B504">
        <v>1250005818901</v>
      </c>
      <c r="D504">
        <v>20208465180</v>
      </c>
      <c r="E504" t="s">
        <v>702</v>
      </c>
      <c r="F504" t="s">
        <v>1</v>
      </c>
      <c r="G504" t="s">
        <v>703</v>
      </c>
      <c r="H504" t="s">
        <v>47</v>
      </c>
      <c r="I504">
        <v>2670</v>
      </c>
      <c r="J504">
        <v>3</v>
      </c>
      <c r="K504" t="s">
        <v>32</v>
      </c>
      <c r="L504">
        <v>10067</v>
      </c>
      <c r="M504" t="s">
        <v>704</v>
      </c>
      <c r="N504">
        <v>1</v>
      </c>
      <c r="O504" t="s">
        <v>119</v>
      </c>
      <c r="P504" t="s">
        <v>913</v>
      </c>
      <c r="Q504">
        <v>5054400</v>
      </c>
      <c r="R504">
        <v>144000000</v>
      </c>
      <c r="S504">
        <v>150</v>
      </c>
      <c r="T504">
        <v>960000</v>
      </c>
      <c r="U504">
        <v>1</v>
      </c>
      <c r="V504">
        <v>1</v>
      </c>
      <c r="W504" t="s">
        <v>127</v>
      </c>
      <c r="X504">
        <v>48000</v>
      </c>
      <c r="Y504">
        <v>5054400</v>
      </c>
      <c r="Z504">
        <v>144000000</v>
      </c>
      <c r="AA504">
        <v>960000</v>
      </c>
      <c r="AB504">
        <v>105</v>
      </c>
      <c r="AC504" s="34">
        <v>45962</v>
      </c>
      <c r="AD504" s="34">
        <v>46173</v>
      </c>
      <c r="AF504">
        <v>0</v>
      </c>
      <c r="AG504">
        <v>5054400</v>
      </c>
      <c r="AH504">
        <v>0</v>
      </c>
      <c r="AI504">
        <v>5054400</v>
      </c>
      <c r="AJ504">
        <v>0</v>
      </c>
      <c r="AK504">
        <v>0</v>
      </c>
      <c r="AL504">
        <v>1319198.3999999999</v>
      </c>
      <c r="AM504">
        <v>0</v>
      </c>
      <c r="AN504">
        <v>6373598.4000000004</v>
      </c>
      <c r="AO504" t="s">
        <v>122</v>
      </c>
      <c r="AP504">
        <v>10</v>
      </c>
      <c r="AQ504">
        <v>505440</v>
      </c>
      <c r="AR504">
        <v>505440</v>
      </c>
      <c r="AT504">
        <v>86400000</v>
      </c>
      <c r="AU504">
        <v>3032640</v>
      </c>
      <c r="AV504">
        <v>86400000</v>
      </c>
      <c r="AW504">
        <v>3032640</v>
      </c>
    </row>
    <row r="505" spans="1:49" hidden="1" x14ac:dyDescent="0.35">
      <c r="A505">
        <v>5819010</v>
      </c>
      <c r="B505">
        <v>1250005819001</v>
      </c>
      <c r="D505">
        <v>24250143377</v>
      </c>
      <c r="E505" t="s">
        <v>706</v>
      </c>
      <c r="F505" t="s">
        <v>1</v>
      </c>
      <c r="G505" t="s">
        <v>914</v>
      </c>
      <c r="H505" t="s">
        <v>52</v>
      </c>
      <c r="I505">
        <v>2550</v>
      </c>
      <c r="J505">
        <v>3</v>
      </c>
      <c r="K505" t="s">
        <v>32</v>
      </c>
      <c r="L505">
        <v>10067</v>
      </c>
      <c r="M505" t="s">
        <v>704</v>
      </c>
      <c r="N505">
        <v>1</v>
      </c>
      <c r="O505" t="s">
        <v>119</v>
      </c>
      <c r="P505" t="s">
        <v>915</v>
      </c>
      <c r="Q505">
        <v>2595186</v>
      </c>
      <c r="R505">
        <v>100980000</v>
      </c>
      <c r="S505">
        <v>170</v>
      </c>
      <c r="T505">
        <v>594000</v>
      </c>
      <c r="U505">
        <v>1</v>
      </c>
      <c r="V505">
        <v>1</v>
      </c>
      <c r="W505" t="s">
        <v>127</v>
      </c>
      <c r="X505">
        <v>29700</v>
      </c>
      <c r="Y505">
        <v>2595186</v>
      </c>
      <c r="Z505">
        <v>100980000</v>
      </c>
      <c r="AA505">
        <v>594000</v>
      </c>
      <c r="AB505">
        <v>105</v>
      </c>
      <c r="AC505" s="34">
        <v>45962</v>
      </c>
      <c r="AD505" s="34">
        <v>46173</v>
      </c>
      <c r="AE505" t="s">
        <v>161</v>
      </c>
      <c r="AF505">
        <v>0</v>
      </c>
      <c r="AG505">
        <v>2595186</v>
      </c>
      <c r="AH505">
        <v>0</v>
      </c>
      <c r="AI505">
        <v>2595186</v>
      </c>
      <c r="AJ505">
        <v>0</v>
      </c>
      <c r="AK505">
        <v>0</v>
      </c>
      <c r="AL505">
        <v>677343.55</v>
      </c>
      <c r="AM505">
        <v>0</v>
      </c>
      <c r="AN505">
        <v>3272529.55</v>
      </c>
      <c r="AO505" t="s">
        <v>122</v>
      </c>
      <c r="AP505">
        <v>10</v>
      </c>
      <c r="AQ505">
        <v>259518.6</v>
      </c>
      <c r="AR505">
        <v>259518.6</v>
      </c>
      <c r="AT505">
        <v>60588000</v>
      </c>
      <c r="AU505">
        <v>1557111.6</v>
      </c>
      <c r="AV505">
        <v>60588000</v>
      </c>
      <c r="AW505">
        <v>1557111.6</v>
      </c>
    </row>
    <row r="506" spans="1:49" hidden="1" x14ac:dyDescent="0.35">
      <c r="A506">
        <v>5819110</v>
      </c>
      <c r="B506">
        <v>5010005819101</v>
      </c>
      <c r="D506">
        <v>23163347474</v>
      </c>
      <c r="E506" t="s">
        <v>851</v>
      </c>
      <c r="F506" t="s">
        <v>1</v>
      </c>
      <c r="G506" t="s">
        <v>23</v>
      </c>
      <c r="H506" t="s">
        <v>23</v>
      </c>
      <c r="I506">
        <v>6230</v>
      </c>
      <c r="J506">
        <v>1</v>
      </c>
      <c r="K506" t="s">
        <v>16</v>
      </c>
      <c r="L506">
        <v>11014</v>
      </c>
      <c r="M506" t="s">
        <v>232</v>
      </c>
      <c r="N506">
        <v>1</v>
      </c>
      <c r="O506" t="s">
        <v>119</v>
      </c>
      <c r="P506" t="s">
        <v>916</v>
      </c>
      <c r="Q506">
        <v>1253.04</v>
      </c>
      <c r="R506">
        <v>55200</v>
      </c>
      <c r="S506">
        <v>92</v>
      </c>
      <c r="T506">
        <v>600</v>
      </c>
      <c r="U506">
        <v>26</v>
      </c>
      <c r="V506">
        <v>1454</v>
      </c>
      <c r="W506" t="s">
        <v>121</v>
      </c>
      <c r="X506" t="s">
        <v>1</v>
      </c>
      <c r="Y506">
        <v>1821920.16</v>
      </c>
      <c r="Z506">
        <v>80260800</v>
      </c>
      <c r="AA506">
        <v>872400</v>
      </c>
      <c r="AB506">
        <v>106</v>
      </c>
      <c r="AC506" s="34">
        <v>45959</v>
      </c>
      <c r="AD506" s="34">
        <v>46173</v>
      </c>
      <c r="AF506">
        <v>0</v>
      </c>
      <c r="AG506">
        <v>8129.52</v>
      </c>
      <c r="AH506">
        <v>0</v>
      </c>
      <c r="AI506">
        <v>11820322.08</v>
      </c>
      <c r="AJ506">
        <v>0</v>
      </c>
      <c r="AK506">
        <v>0</v>
      </c>
      <c r="AL506">
        <v>2966916.08</v>
      </c>
      <c r="AM506">
        <v>0</v>
      </c>
      <c r="AN506">
        <v>14787238.16</v>
      </c>
      <c r="AO506" t="s">
        <v>122</v>
      </c>
      <c r="AP506">
        <v>15</v>
      </c>
      <c r="AQ506">
        <v>1219.43</v>
      </c>
      <c r="AR506">
        <v>1773051.22</v>
      </c>
      <c r="AT506">
        <v>33120</v>
      </c>
      <c r="AU506">
        <v>751.82</v>
      </c>
      <c r="AV506">
        <v>48156480</v>
      </c>
      <c r="AW506">
        <v>1093146.28</v>
      </c>
    </row>
    <row r="507" spans="1:49" hidden="1" x14ac:dyDescent="0.35">
      <c r="A507">
        <v>5819110</v>
      </c>
      <c r="B507">
        <v>5010005819101</v>
      </c>
      <c r="D507">
        <v>23163347474</v>
      </c>
      <c r="E507" t="s">
        <v>851</v>
      </c>
      <c r="F507" t="s">
        <v>1</v>
      </c>
      <c r="G507" t="s">
        <v>23</v>
      </c>
      <c r="H507" t="s">
        <v>23</v>
      </c>
      <c r="I507">
        <v>6230</v>
      </c>
      <c r="J507">
        <v>1</v>
      </c>
      <c r="K507" t="s">
        <v>16</v>
      </c>
      <c r="L507">
        <v>11014</v>
      </c>
      <c r="M507" t="s">
        <v>232</v>
      </c>
      <c r="N507">
        <v>2</v>
      </c>
      <c r="O507" t="s">
        <v>119</v>
      </c>
      <c r="P507" t="s">
        <v>917</v>
      </c>
      <c r="Q507">
        <v>3299.92</v>
      </c>
      <c r="R507">
        <v>133600</v>
      </c>
      <c r="S507">
        <v>167</v>
      </c>
      <c r="T507">
        <v>800</v>
      </c>
      <c r="U507">
        <v>26</v>
      </c>
      <c r="V507">
        <v>1454</v>
      </c>
      <c r="W507" t="s">
        <v>121</v>
      </c>
      <c r="X507" t="s">
        <v>1</v>
      </c>
      <c r="Y507">
        <v>4798083.68</v>
      </c>
      <c r="Z507">
        <v>194254400</v>
      </c>
      <c r="AA507">
        <v>1163200</v>
      </c>
      <c r="AB507">
        <v>106</v>
      </c>
      <c r="AC507" s="34">
        <v>45959</v>
      </c>
      <c r="AD507" s="34">
        <v>46173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 t="s">
        <v>122</v>
      </c>
      <c r="AT507">
        <v>80160</v>
      </c>
      <c r="AU507">
        <v>1979.95</v>
      </c>
      <c r="AV507">
        <v>116552640</v>
      </c>
      <c r="AW507">
        <v>2878847.3</v>
      </c>
    </row>
    <row r="508" spans="1:49" hidden="1" x14ac:dyDescent="0.35">
      <c r="A508">
        <v>5819110</v>
      </c>
      <c r="B508">
        <v>5010005819101</v>
      </c>
      <c r="D508">
        <v>23163347474</v>
      </c>
      <c r="E508" t="s">
        <v>851</v>
      </c>
      <c r="F508" t="s">
        <v>1</v>
      </c>
      <c r="G508" t="s">
        <v>23</v>
      </c>
      <c r="H508" t="s">
        <v>23</v>
      </c>
      <c r="I508">
        <v>6230</v>
      </c>
      <c r="J508">
        <v>1</v>
      </c>
      <c r="K508" t="s">
        <v>16</v>
      </c>
      <c r="L508">
        <v>11014</v>
      </c>
      <c r="M508" t="s">
        <v>232</v>
      </c>
      <c r="N508">
        <v>3</v>
      </c>
      <c r="O508" t="s">
        <v>119</v>
      </c>
      <c r="P508" t="s">
        <v>918</v>
      </c>
      <c r="Q508">
        <v>3576.56</v>
      </c>
      <c r="R508">
        <v>144800</v>
      </c>
      <c r="S508">
        <v>181</v>
      </c>
      <c r="T508">
        <v>800</v>
      </c>
      <c r="U508">
        <v>26</v>
      </c>
      <c r="V508">
        <v>1454</v>
      </c>
      <c r="W508" t="s">
        <v>121</v>
      </c>
      <c r="X508" t="s">
        <v>1</v>
      </c>
      <c r="Y508">
        <v>5200318.24</v>
      </c>
      <c r="Z508">
        <v>210539200</v>
      </c>
      <c r="AA508">
        <v>1163200</v>
      </c>
      <c r="AB508">
        <v>106</v>
      </c>
      <c r="AC508" s="34">
        <v>45959</v>
      </c>
      <c r="AD508" s="34">
        <v>46173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 t="s">
        <v>122</v>
      </c>
      <c r="AT508">
        <v>86880</v>
      </c>
      <c r="AU508">
        <v>2145.94</v>
      </c>
      <c r="AV508">
        <v>126323520</v>
      </c>
      <c r="AW508">
        <v>3120196.76</v>
      </c>
    </row>
    <row r="509" spans="1:49" hidden="1" x14ac:dyDescent="0.35">
      <c r="A509">
        <v>5819210</v>
      </c>
      <c r="B509">
        <v>1250005819201</v>
      </c>
      <c r="D509">
        <v>20140057763</v>
      </c>
      <c r="E509" t="s">
        <v>919</v>
      </c>
      <c r="F509" t="s">
        <v>1</v>
      </c>
      <c r="G509" t="s">
        <v>920</v>
      </c>
      <c r="H509" t="s">
        <v>51</v>
      </c>
      <c r="I509">
        <v>5931</v>
      </c>
      <c r="J509">
        <v>3</v>
      </c>
      <c r="K509" t="s">
        <v>32</v>
      </c>
      <c r="L509">
        <v>6435</v>
      </c>
      <c r="M509" t="s">
        <v>175</v>
      </c>
      <c r="N509">
        <v>1</v>
      </c>
      <c r="O509" t="s">
        <v>119</v>
      </c>
      <c r="P509" t="s">
        <v>921</v>
      </c>
      <c r="Q509">
        <v>2926935</v>
      </c>
      <c r="R509">
        <v>54202500</v>
      </c>
      <c r="S509">
        <v>73</v>
      </c>
      <c r="T509">
        <v>742500</v>
      </c>
      <c r="U509">
        <v>1</v>
      </c>
      <c r="V509">
        <v>1</v>
      </c>
      <c r="W509" t="s">
        <v>127</v>
      </c>
      <c r="X509">
        <v>29700</v>
      </c>
      <c r="Y509">
        <v>2926935</v>
      </c>
      <c r="Z509">
        <v>54202500</v>
      </c>
      <c r="AA509">
        <v>742500</v>
      </c>
      <c r="AB509">
        <v>105</v>
      </c>
      <c r="AC509" s="34">
        <v>45957</v>
      </c>
      <c r="AD509" s="34">
        <v>46173</v>
      </c>
      <c r="AF509">
        <v>0</v>
      </c>
      <c r="AG509">
        <v>4831447.5</v>
      </c>
      <c r="AH509">
        <v>0</v>
      </c>
      <c r="AI509">
        <v>4831447.5</v>
      </c>
      <c r="AJ509">
        <v>0</v>
      </c>
      <c r="AK509">
        <v>0</v>
      </c>
      <c r="AL509">
        <v>1261007.82</v>
      </c>
      <c r="AM509">
        <v>0</v>
      </c>
      <c r="AN509">
        <v>6092455.3200000003</v>
      </c>
      <c r="AO509" t="s">
        <v>122</v>
      </c>
      <c r="AP509">
        <v>15</v>
      </c>
      <c r="AQ509">
        <v>724717.13</v>
      </c>
      <c r="AR509">
        <v>724717.13</v>
      </c>
      <c r="AT509">
        <v>32521500</v>
      </c>
      <c r="AU509">
        <v>1756161</v>
      </c>
      <c r="AV509">
        <v>32521500</v>
      </c>
      <c r="AW509">
        <v>1756161</v>
      </c>
    </row>
    <row r="510" spans="1:49" hidden="1" x14ac:dyDescent="0.35">
      <c r="A510">
        <v>5819210</v>
      </c>
      <c r="B510">
        <v>1250005819201</v>
      </c>
      <c r="D510">
        <v>20140057763</v>
      </c>
      <c r="E510" t="s">
        <v>919</v>
      </c>
      <c r="F510" t="s">
        <v>1</v>
      </c>
      <c r="G510" t="s">
        <v>174</v>
      </c>
      <c r="H510" t="s">
        <v>51</v>
      </c>
      <c r="I510">
        <v>5929</v>
      </c>
      <c r="J510">
        <v>3</v>
      </c>
      <c r="K510" t="s">
        <v>32</v>
      </c>
      <c r="L510">
        <v>6435</v>
      </c>
      <c r="M510" t="s">
        <v>175</v>
      </c>
      <c r="N510">
        <v>2</v>
      </c>
      <c r="O510" t="s">
        <v>119</v>
      </c>
      <c r="P510" t="s">
        <v>922</v>
      </c>
      <c r="Q510">
        <v>1403325</v>
      </c>
      <c r="R510">
        <v>25987500</v>
      </c>
      <c r="S510">
        <v>70</v>
      </c>
      <c r="T510">
        <v>371250</v>
      </c>
      <c r="U510">
        <v>1</v>
      </c>
      <c r="V510">
        <v>1</v>
      </c>
      <c r="W510" t="s">
        <v>127</v>
      </c>
      <c r="X510">
        <v>29700</v>
      </c>
      <c r="Y510">
        <v>1403325</v>
      </c>
      <c r="Z510">
        <v>25987500</v>
      </c>
      <c r="AA510">
        <v>371250</v>
      </c>
      <c r="AB510">
        <v>105</v>
      </c>
      <c r="AC510" s="34">
        <v>45957</v>
      </c>
      <c r="AD510" s="34">
        <v>46173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 t="s">
        <v>122</v>
      </c>
      <c r="AT510">
        <v>15592500</v>
      </c>
      <c r="AU510">
        <v>841995</v>
      </c>
      <c r="AV510">
        <v>15592500</v>
      </c>
      <c r="AW510">
        <v>841995</v>
      </c>
    </row>
    <row r="511" spans="1:49" hidden="1" x14ac:dyDescent="0.35">
      <c r="A511">
        <v>5819210</v>
      </c>
      <c r="B511">
        <v>1250005819201</v>
      </c>
      <c r="D511">
        <v>20140057763</v>
      </c>
      <c r="E511" t="s">
        <v>919</v>
      </c>
      <c r="F511" t="s">
        <v>1</v>
      </c>
      <c r="G511" t="s">
        <v>174</v>
      </c>
      <c r="H511" t="s">
        <v>51</v>
      </c>
      <c r="I511">
        <v>5929</v>
      </c>
      <c r="J511">
        <v>3</v>
      </c>
      <c r="K511" t="s">
        <v>32</v>
      </c>
      <c r="L511">
        <v>6435</v>
      </c>
      <c r="M511" t="s">
        <v>175</v>
      </c>
      <c r="N511">
        <v>3</v>
      </c>
      <c r="O511" t="s">
        <v>119</v>
      </c>
      <c r="P511" t="s">
        <v>923</v>
      </c>
      <c r="Q511">
        <v>501187.5</v>
      </c>
      <c r="R511">
        <v>9296100</v>
      </c>
      <c r="S511">
        <v>25</v>
      </c>
      <c r="T511">
        <v>371844</v>
      </c>
      <c r="U511">
        <v>1</v>
      </c>
      <c r="V511">
        <v>1</v>
      </c>
      <c r="W511" t="s">
        <v>127</v>
      </c>
      <c r="X511">
        <v>29700</v>
      </c>
      <c r="Y511">
        <v>501187.5</v>
      </c>
      <c r="Z511">
        <v>9296100</v>
      </c>
      <c r="AA511">
        <v>371844</v>
      </c>
      <c r="AB511">
        <v>105</v>
      </c>
      <c r="AC511" s="34">
        <v>45957</v>
      </c>
      <c r="AD511" s="34">
        <v>46173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 t="s">
        <v>122</v>
      </c>
      <c r="AT511">
        <v>5577660</v>
      </c>
      <c r="AU511">
        <v>300712.5</v>
      </c>
      <c r="AV511">
        <v>5577660</v>
      </c>
      <c r="AW511">
        <v>300712.5</v>
      </c>
    </row>
    <row r="512" spans="1:49" hidden="1" x14ac:dyDescent="0.35">
      <c r="A512">
        <v>5819310</v>
      </c>
      <c r="B512">
        <v>1250005819301</v>
      </c>
      <c r="D512">
        <v>20065956935</v>
      </c>
      <c r="E512" t="s">
        <v>924</v>
      </c>
      <c r="F512" t="s">
        <v>1</v>
      </c>
      <c r="G512" t="s">
        <v>925</v>
      </c>
      <c r="H512" t="s">
        <v>51</v>
      </c>
      <c r="I512">
        <v>5931</v>
      </c>
      <c r="J512">
        <v>3</v>
      </c>
      <c r="K512" t="s">
        <v>32</v>
      </c>
      <c r="L512">
        <v>6435</v>
      </c>
      <c r="M512" t="s">
        <v>175</v>
      </c>
      <c r="N512">
        <v>1</v>
      </c>
      <c r="O512" t="s">
        <v>119</v>
      </c>
      <c r="P512" t="s">
        <v>922</v>
      </c>
      <c r="Q512">
        <v>1403325</v>
      </c>
      <c r="R512">
        <v>25987500</v>
      </c>
      <c r="S512">
        <v>70</v>
      </c>
      <c r="T512">
        <v>371250</v>
      </c>
      <c r="U512">
        <v>1</v>
      </c>
      <c r="V512">
        <v>1</v>
      </c>
      <c r="W512" t="s">
        <v>127</v>
      </c>
      <c r="X512">
        <v>29700</v>
      </c>
      <c r="Y512">
        <v>1403325</v>
      </c>
      <c r="Z512">
        <v>25987500</v>
      </c>
      <c r="AA512">
        <v>371250</v>
      </c>
      <c r="AB512">
        <v>105</v>
      </c>
      <c r="AC512" s="34">
        <v>45957</v>
      </c>
      <c r="AD512" s="34">
        <v>46173</v>
      </c>
      <c r="AF512">
        <v>0</v>
      </c>
      <c r="AG512">
        <v>1904512.5</v>
      </c>
      <c r="AH512">
        <v>0</v>
      </c>
      <c r="AI512">
        <v>1904512.5</v>
      </c>
      <c r="AJ512">
        <v>0</v>
      </c>
      <c r="AK512">
        <v>0</v>
      </c>
      <c r="AL512">
        <v>497077.78</v>
      </c>
      <c r="AM512">
        <v>0</v>
      </c>
      <c r="AN512">
        <v>2401590.2799999998</v>
      </c>
      <c r="AO512" t="s">
        <v>122</v>
      </c>
      <c r="AP512">
        <v>15</v>
      </c>
      <c r="AQ512">
        <v>285676.88</v>
      </c>
      <c r="AR512">
        <v>285676.88</v>
      </c>
      <c r="AT512">
        <v>15592500</v>
      </c>
      <c r="AU512">
        <v>841995</v>
      </c>
      <c r="AV512">
        <v>15592500</v>
      </c>
      <c r="AW512">
        <v>841995</v>
      </c>
    </row>
    <row r="513" spans="1:49" hidden="1" x14ac:dyDescent="0.35">
      <c r="A513">
        <v>5819310</v>
      </c>
      <c r="B513">
        <v>1250005819301</v>
      </c>
      <c r="D513">
        <v>20065956935</v>
      </c>
      <c r="E513" t="s">
        <v>924</v>
      </c>
      <c r="F513" t="s">
        <v>1</v>
      </c>
      <c r="G513" t="s">
        <v>925</v>
      </c>
      <c r="H513" t="s">
        <v>51</v>
      </c>
      <c r="I513">
        <v>5931</v>
      </c>
      <c r="J513">
        <v>3</v>
      </c>
      <c r="K513" t="s">
        <v>32</v>
      </c>
      <c r="L513">
        <v>6435</v>
      </c>
      <c r="M513" t="s">
        <v>175</v>
      </c>
      <c r="N513">
        <v>2</v>
      </c>
      <c r="O513" t="s">
        <v>119</v>
      </c>
      <c r="P513" t="s">
        <v>923</v>
      </c>
      <c r="Q513">
        <v>501187.5</v>
      </c>
      <c r="R513">
        <v>9281250</v>
      </c>
      <c r="S513">
        <v>25</v>
      </c>
      <c r="T513">
        <v>371250</v>
      </c>
      <c r="U513">
        <v>1</v>
      </c>
      <c r="V513">
        <v>1</v>
      </c>
      <c r="W513" t="s">
        <v>127</v>
      </c>
      <c r="X513">
        <v>29700</v>
      </c>
      <c r="Y513">
        <v>501187.5</v>
      </c>
      <c r="Z513">
        <v>9281250</v>
      </c>
      <c r="AA513">
        <v>371250</v>
      </c>
      <c r="AB513">
        <v>105</v>
      </c>
      <c r="AC513" s="34">
        <v>45957</v>
      </c>
      <c r="AD513" s="34">
        <v>46173</v>
      </c>
      <c r="AF513">
        <v>1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 t="s">
        <v>122</v>
      </c>
      <c r="AT513">
        <v>5568750</v>
      </c>
      <c r="AU513">
        <v>300712.5</v>
      </c>
      <c r="AV513">
        <v>5568750</v>
      </c>
      <c r="AW513">
        <v>300712.5</v>
      </c>
    </row>
    <row r="514" spans="1:49" hidden="1" x14ac:dyDescent="0.35">
      <c r="A514">
        <v>5819410</v>
      </c>
      <c r="B514">
        <v>1250005819401</v>
      </c>
      <c r="D514">
        <v>30668639972</v>
      </c>
      <c r="E514" t="s">
        <v>926</v>
      </c>
      <c r="F514" t="s">
        <v>1</v>
      </c>
      <c r="G514" t="s">
        <v>174</v>
      </c>
      <c r="H514" t="s">
        <v>51</v>
      </c>
      <c r="I514">
        <v>5929</v>
      </c>
      <c r="J514">
        <v>3</v>
      </c>
      <c r="K514" t="s">
        <v>32</v>
      </c>
      <c r="L514">
        <v>6435</v>
      </c>
      <c r="M514" t="s">
        <v>175</v>
      </c>
      <c r="N514">
        <v>1</v>
      </c>
      <c r="O514" t="s">
        <v>119</v>
      </c>
      <c r="P514" t="s">
        <v>927</v>
      </c>
      <c r="Q514">
        <v>2806650</v>
      </c>
      <c r="R514">
        <v>51975000</v>
      </c>
      <c r="S514">
        <v>70</v>
      </c>
      <c r="T514">
        <v>742500</v>
      </c>
      <c r="U514">
        <v>1</v>
      </c>
      <c r="V514">
        <v>1</v>
      </c>
      <c r="W514" t="s">
        <v>127</v>
      </c>
      <c r="X514">
        <v>29700</v>
      </c>
      <c r="Y514">
        <v>2806650</v>
      </c>
      <c r="Z514">
        <v>51975000</v>
      </c>
      <c r="AA514">
        <v>742500</v>
      </c>
      <c r="AB514">
        <v>105</v>
      </c>
      <c r="AC514" s="34">
        <v>45961</v>
      </c>
      <c r="AD514" s="34">
        <v>46173</v>
      </c>
      <c r="AF514">
        <v>0</v>
      </c>
      <c r="AG514">
        <v>5372730</v>
      </c>
      <c r="AH514">
        <v>0</v>
      </c>
      <c r="AI514">
        <v>5372730</v>
      </c>
      <c r="AJ514">
        <v>0</v>
      </c>
      <c r="AK514">
        <v>0</v>
      </c>
      <c r="AL514">
        <v>1402282.53</v>
      </c>
      <c r="AM514">
        <v>0</v>
      </c>
      <c r="AN514">
        <v>6775012.5300000003</v>
      </c>
      <c r="AO514" t="s">
        <v>122</v>
      </c>
      <c r="AP514">
        <v>15</v>
      </c>
      <c r="AQ514">
        <v>805909.5</v>
      </c>
      <c r="AR514">
        <v>805909.5</v>
      </c>
      <c r="AT514">
        <v>31185000</v>
      </c>
      <c r="AU514">
        <v>1683990</v>
      </c>
      <c r="AV514">
        <v>31185000</v>
      </c>
      <c r="AW514">
        <v>1683990</v>
      </c>
    </row>
    <row r="515" spans="1:49" hidden="1" x14ac:dyDescent="0.35">
      <c r="A515">
        <v>5819410</v>
      </c>
      <c r="B515">
        <v>1250005819401</v>
      </c>
      <c r="D515">
        <v>30668639972</v>
      </c>
      <c r="E515" t="s">
        <v>926</v>
      </c>
      <c r="F515" t="s">
        <v>1</v>
      </c>
      <c r="G515" t="s">
        <v>174</v>
      </c>
      <c r="H515" t="s">
        <v>51</v>
      </c>
      <c r="I515">
        <v>5929</v>
      </c>
      <c r="J515">
        <v>3</v>
      </c>
      <c r="K515" t="s">
        <v>32</v>
      </c>
      <c r="L515">
        <v>6435</v>
      </c>
      <c r="M515" t="s">
        <v>175</v>
      </c>
      <c r="N515">
        <v>2</v>
      </c>
      <c r="O515" t="s">
        <v>119</v>
      </c>
      <c r="P515" t="s">
        <v>928</v>
      </c>
      <c r="Q515">
        <v>1844370</v>
      </c>
      <c r="R515">
        <v>34155000</v>
      </c>
      <c r="S515">
        <v>46</v>
      </c>
      <c r="T515">
        <v>742500</v>
      </c>
      <c r="U515">
        <v>1</v>
      </c>
      <c r="V515">
        <v>1</v>
      </c>
      <c r="W515" t="s">
        <v>127</v>
      </c>
      <c r="X515">
        <v>29700</v>
      </c>
      <c r="Y515">
        <v>1844370</v>
      </c>
      <c r="Z515">
        <v>34155000</v>
      </c>
      <c r="AA515">
        <v>742500</v>
      </c>
      <c r="AB515">
        <v>105</v>
      </c>
      <c r="AC515" s="34">
        <v>45961</v>
      </c>
      <c r="AD515" s="34">
        <v>46173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 t="s">
        <v>122</v>
      </c>
      <c r="AT515">
        <v>20493000</v>
      </c>
      <c r="AU515">
        <v>1106622</v>
      </c>
      <c r="AV515">
        <v>20493000</v>
      </c>
      <c r="AW515">
        <v>1106622</v>
      </c>
    </row>
    <row r="516" spans="1:49" hidden="1" x14ac:dyDescent="0.35">
      <c r="A516">
        <v>5819410</v>
      </c>
      <c r="B516">
        <v>1250005819401</v>
      </c>
      <c r="D516">
        <v>30668639972</v>
      </c>
      <c r="E516" t="s">
        <v>926</v>
      </c>
      <c r="F516" t="s">
        <v>1</v>
      </c>
      <c r="G516" t="s">
        <v>174</v>
      </c>
      <c r="H516" t="s">
        <v>51</v>
      </c>
      <c r="I516">
        <v>5929</v>
      </c>
      <c r="J516">
        <v>3</v>
      </c>
      <c r="K516" t="s">
        <v>32</v>
      </c>
      <c r="L516">
        <v>6435</v>
      </c>
      <c r="M516" t="s">
        <v>175</v>
      </c>
      <c r="N516">
        <v>3</v>
      </c>
      <c r="O516" t="s">
        <v>119</v>
      </c>
      <c r="P516" t="s">
        <v>929</v>
      </c>
      <c r="Q516">
        <v>721710</v>
      </c>
      <c r="R516">
        <v>13365000</v>
      </c>
      <c r="S516">
        <v>18</v>
      </c>
      <c r="T516">
        <v>742500</v>
      </c>
      <c r="U516">
        <v>1</v>
      </c>
      <c r="V516">
        <v>1</v>
      </c>
      <c r="W516" t="s">
        <v>127</v>
      </c>
      <c r="X516">
        <v>29700</v>
      </c>
      <c r="Y516">
        <v>721710</v>
      </c>
      <c r="Z516">
        <v>13365000</v>
      </c>
      <c r="AA516">
        <v>742500</v>
      </c>
      <c r="AB516">
        <v>105</v>
      </c>
      <c r="AC516" s="34">
        <v>45961</v>
      </c>
      <c r="AD516" s="34">
        <v>46173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 t="s">
        <v>122</v>
      </c>
      <c r="AT516">
        <v>8019000</v>
      </c>
      <c r="AU516">
        <v>433026</v>
      </c>
      <c r="AV516">
        <v>8019000</v>
      </c>
      <c r="AW516">
        <v>433026</v>
      </c>
    </row>
    <row r="517" spans="1:49" hidden="1" x14ac:dyDescent="0.35">
      <c r="A517">
        <v>5819510</v>
      </c>
      <c r="B517">
        <v>1250005819501</v>
      </c>
      <c r="D517">
        <v>20135493644</v>
      </c>
      <c r="E517" t="s">
        <v>930</v>
      </c>
      <c r="F517" t="s">
        <v>1</v>
      </c>
      <c r="G517" t="s">
        <v>174</v>
      </c>
      <c r="H517" t="s">
        <v>51</v>
      </c>
      <c r="I517">
        <v>5929</v>
      </c>
      <c r="J517">
        <v>3</v>
      </c>
      <c r="K517" t="s">
        <v>32</v>
      </c>
      <c r="L517">
        <v>6435</v>
      </c>
      <c r="M517" t="s">
        <v>175</v>
      </c>
      <c r="N517">
        <v>1</v>
      </c>
      <c r="O517" t="s">
        <v>119</v>
      </c>
      <c r="P517" t="s">
        <v>931</v>
      </c>
      <c r="Q517">
        <v>3378375</v>
      </c>
      <c r="R517">
        <v>74250000</v>
      </c>
      <c r="S517">
        <v>125</v>
      </c>
      <c r="T517">
        <v>594000</v>
      </c>
      <c r="U517">
        <v>1</v>
      </c>
      <c r="V517">
        <v>1</v>
      </c>
      <c r="W517" t="s">
        <v>127</v>
      </c>
      <c r="X517">
        <v>29700</v>
      </c>
      <c r="Y517">
        <v>3378375</v>
      </c>
      <c r="Z517">
        <v>74250000</v>
      </c>
      <c r="AA517">
        <v>594000</v>
      </c>
      <c r="AB517">
        <v>105</v>
      </c>
      <c r="AC517" s="34">
        <v>45963</v>
      </c>
      <c r="AD517" s="34">
        <v>46173</v>
      </c>
      <c r="AF517">
        <v>0</v>
      </c>
      <c r="AG517">
        <v>3378375</v>
      </c>
      <c r="AH517">
        <v>0</v>
      </c>
      <c r="AI517">
        <v>3378375</v>
      </c>
      <c r="AJ517">
        <v>0</v>
      </c>
      <c r="AK517">
        <v>0</v>
      </c>
      <c r="AL517">
        <v>881755.88</v>
      </c>
      <c r="AM517">
        <v>0</v>
      </c>
      <c r="AN517">
        <v>4260130.88</v>
      </c>
      <c r="AO517" t="s">
        <v>122</v>
      </c>
      <c r="AP517">
        <v>15</v>
      </c>
      <c r="AQ517">
        <v>506756.25</v>
      </c>
      <c r="AR517">
        <v>506756.25</v>
      </c>
      <c r="AT517">
        <v>44550000</v>
      </c>
      <c r="AU517">
        <v>2027025</v>
      </c>
      <c r="AV517">
        <v>44550000</v>
      </c>
      <c r="AW517">
        <v>2027025</v>
      </c>
    </row>
    <row r="518" spans="1:49" hidden="1" x14ac:dyDescent="0.35">
      <c r="A518">
        <v>5819610</v>
      </c>
      <c r="B518">
        <v>1090005819601</v>
      </c>
      <c r="D518">
        <v>23259033349</v>
      </c>
      <c r="E518" t="s">
        <v>932</v>
      </c>
      <c r="F518" t="s">
        <v>1</v>
      </c>
      <c r="G518" t="s">
        <v>56</v>
      </c>
      <c r="H518" t="s">
        <v>56</v>
      </c>
      <c r="I518">
        <v>6381</v>
      </c>
      <c r="J518">
        <v>21</v>
      </c>
      <c r="K518" t="s">
        <v>33</v>
      </c>
      <c r="L518">
        <v>92963</v>
      </c>
      <c r="M518" t="s">
        <v>396</v>
      </c>
      <c r="N518">
        <v>1</v>
      </c>
      <c r="O518" t="s">
        <v>119</v>
      </c>
      <c r="P518" t="s">
        <v>933</v>
      </c>
      <c r="Q518">
        <v>3262.75</v>
      </c>
      <c r="R518">
        <v>105250</v>
      </c>
      <c r="S518">
        <v>421</v>
      </c>
      <c r="T518">
        <v>250</v>
      </c>
      <c r="U518">
        <v>26</v>
      </c>
      <c r="V518">
        <v>1454</v>
      </c>
      <c r="W518" t="s">
        <v>121</v>
      </c>
      <c r="X518" t="s">
        <v>1</v>
      </c>
      <c r="Y518">
        <v>4744038.5</v>
      </c>
      <c r="Z518">
        <v>153033500</v>
      </c>
      <c r="AA518">
        <v>363500</v>
      </c>
      <c r="AB518">
        <v>106</v>
      </c>
      <c r="AC518" s="34">
        <v>45966</v>
      </c>
      <c r="AD518" s="34">
        <v>46112</v>
      </c>
      <c r="AE518" t="s">
        <v>161</v>
      </c>
      <c r="AF518">
        <v>0</v>
      </c>
      <c r="AG518">
        <v>3262.75</v>
      </c>
      <c r="AH518">
        <v>0</v>
      </c>
      <c r="AI518">
        <v>4744038.5</v>
      </c>
      <c r="AJ518">
        <v>0</v>
      </c>
      <c r="AK518">
        <v>0</v>
      </c>
      <c r="AL518">
        <v>1190753.3</v>
      </c>
      <c r="AM518">
        <v>0</v>
      </c>
      <c r="AN518">
        <v>5934791.7999999998</v>
      </c>
      <c r="AO518" t="s">
        <v>122</v>
      </c>
      <c r="AP518">
        <v>15</v>
      </c>
      <c r="AQ518">
        <v>489.41</v>
      </c>
      <c r="AR518">
        <v>711602.14</v>
      </c>
      <c r="AT518">
        <v>63150</v>
      </c>
      <c r="AU518">
        <v>1957.65</v>
      </c>
      <c r="AV518">
        <v>91820100</v>
      </c>
      <c r="AW518">
        <v>2846423.1</v>
      </c>
    </row>
    <row r="519" spans="1:49" hidden="1" x14ac:dyDescent="0.35">
      <c r="A519">
        <v>5819710</v>
      </c>
      <c r="B519">
        <v>1090005819701</v>
      </c>
      <c r="D519">
        <v>20184846447</v>
      </c>
      <c r="E519" t="s">
        <v>729</v>
      </c>
      <c r="F519" t="s">
        <v>1</v>
      </c>
      <c r="G519" t="s">
        <v>27</v>
      </c>
      <c r="H519" t="s">
        <v>27</v>
      </c>
      <c r="I519">
        <v>8180</v>
      </c>
      <c r="J519">
        <v>1</v>
      </c>
      <c r="K519" t="s">
        <v>16</v>
      </c>
      <c r="L519">
        <v>6039</v>
      </c>
      <c r="M519" t="s">
        <v>274</v>
      </c>
      <c r="N519">
        <v>1</v>
      </c>
      <c r="O519" t="s">
        <v>125</v>
      </c>
      <c r="P519" t="s">
        <v>934</v>
      </c>
      <c r="Q519">
        <v>475</v>
      </c>
      <c r="R519">
        <v>10000</v>
      </c>
      <c r="S519">
        <v>40</v>
      </c>
      <c r="T519">
        <v>250</v>
      </c>
      <c r="U519">
        <v>26</v>
      </c>
      <c r="V519">
        <v>1454</v>
      </c>
      <c r="W519" t="s">
        <v>121</v>
      </c>
      <c r="X519" t="s">
        <v>1</v>
      </c>
      <c r="Y519">
        <v>690650</v>
      </c>
      <c r="Z519">
        <v>14540000</v>
      </c>
      <c r="AA519">
        <v>363500</v>
      </c>
      <c r="AB519">
        <v>106</v>
      </c>
      <c r="AC519" s="34">
        <v>45958</v>
      </c>
      <c r="AD519" s="34">
        <v>46053</v>
      </c>
      <c r="AE519" t="s">
        <v>355</v>
      </c>
      <c r="AF519">
        <v>1</v>
      </c>
      <c r="AG519">
        <v>475</v>
      </c>
      <c r="AH519">
        <v>0</v>
      </c>
      <c r="AI519">
        <v>690650</v>
      </c>
      <c r="AJ519">
        <v>0</v>
      </c>
      <c r="AK519">
        <v>0</v>
      </c>
      <c r="AL519">
        <v>173360.42</v>
      </c>
      <c r="AM519">
        <v>0</v>
      </c>
      <c r="AN519">
        <v>864010.42</v>
      </c>
      <c r="AO519" t="s">
        <v>122</v>
      </c>
      <c r="AP519">
        <v>12</v>
      </c>
      <c r="AQ519">
        <v>57</v>
      </c>
      <c r="AR519">
        <v>82878</v>
      </c>
      <c r="AT519">
        <v>6000</v>
      </c>
      <c r="AU519">
        <v>285</v>
      </c>
      <c r="AV519">
        <v>8724000</v>
      </c>
      <c r="AW519">
        <v>414390</v>
      </c>
    </row>
    <row r="520" spans="1:49" hidden="1" x14ac:dyDescent="0.35">
      <c r="A520">
        <v>5819810</v>
      </c>
      <c r="B520">
        <v>1090005819801</v>
      </c>
      <c r="D520">
        <v>20146559523</v>
      </c>
      <c r="E520" t="s">
        <v>381</v>
      </c>
      <c r="F520" t="s">
        <v>1</v>
      </c>
      <c r="G520" t="s">
        <v>400</v>
      </c>
      <c r="H520" t="s">
        <v>400</v>
      </c>
      <c r="I520">
        <v>6311</v>
      </c>
      <c r="J520">
        <v>21</v>
      </c>
      <c r="K520" t="s">
        <v>33</v>
      </c>
      <c r="L520">
        <v>6039</v>
      </c>
      <c r="M520" t="s">
        <v>274</v>
      </c>
      <c r="N520">
        <v>1</v>
      </c>
      <c r="O520" t="s">
        <v>125</v>
      </c>
      <c r="P520" t="s">
        <v>935</v>
      </c>
      <c r="Q520">
        <v>2083.62</v>
      </c>
      <c r="R520">
        <v>72600</v>
      </c>
      <c r="S520">
        <v>121</v>
      </c>
      <c r="T520">
        <v>600</v>
      </c>
      <c r="U520">
        <v>26</v>
      </c>
      <c r="V520">
        <v>1454</v>
      </c>
      <c r="W520" t="s">
        <v>121</v>
      </c>
      <c r="X520" t="s">
        <v>1</v>
      </c>
      <c r="Y520">
        <v>3029583.48</v>
      </c>
      <c r="Z520">
        <v>105560400</v>
      </c>
      <c r="AA520">
        <v>872400</v>
      </c>
      <c r="AB520">
        <v>106</v>
      </c>
      <c r="AC520" s="34">
        <v>45956</v>
      </c>
      <c r="AD520" s="34">
        <v>46053</v>
      </c>
      <c r="AF520">
        <v>0</v>
      </c>
      <c r="AG520">
        <v>2083.62</v>
      </c>
      <c r="AH520">
        <v>0</v>
      </c>
      <c r="AI520">
        <v>3029583.48</v>
      </c>
      <c r="AJ520">
        <v>0</v>
      </c>
      <c r="AK520">
        <v>0</v>
      </c>
      <c r="AL520">
        <v>760427.46</v>
      </c>
      <c r="AM520">
        <v>0</v>
      </c>
      <c r="AN520">
        <v>3790010.94</v>
      </c>
      <c r="AO520" t="s">
        <v>122</v>
      </c>
      <c r="AP520">
        <v>12</v>
      </c>
      <c r="AQ520">
        <v>250.03</v>
      </c>
      <c r="AR520">
        <v>363543.62</v>
      </c>
      <c r="AT520">
        <v>43560</v>
      </c>
      <c r="AU520">
        <v>1250.17</v>
      </c>
      <c r="AV520">
        <v>63336240</v>
      </c>
      <c r="AW520">
        <v>1817747.18</v>
      </c>
    </row>
    <row r="521" spans="1:49" hidden="1" x14ac:dyDescent="0.35">
      <c r="A521">
        <v>5819910</v>
      </c>
      <c r="B521">
        <v>1090005819901</v>
      </c>
      <c r="D521">
        <v>23259033349</v>
      </c>
      <c r="E521" t="s">
        <v>932</v>
      </c>
      <c r="F521" t="s">
        <v>1</v>
      </c>
      <c r="G521" t="s">
        <v>56</v>
      </c>
      <c r="H521" t="s">
        <v>56</v>
      </c>
      <c r="I521">
        <v>6381</v>
      </c>
      <c r="J521">
        <v>21</v>
      </c>
      <c r="K521" t="s">
        <v>33</v>
      </c>
      <c r="L521">
        <v>82963</v>
      </c>
      <c r="M521" t="s">
        <v>396</v>
      </c>
      <c r="N521">
        <v>1</v>
      </c>
      <c r="O521" t="s">
        <v>119</v>
      </c>
      <c r="P521" t="s">
        <v>936</v>
      </c>
      <c r="Q521">
        <v>6339.5</v>
      </c>
      <c r="R521">
        <v>204500</v>
      </c>
      <c r="S521">
        <v>409</v>
      </c>
      <c r="T521">
        <v>500</v>
      </c>
      <c r="U521">
        <v>26</v>
      </c>
      <c r="V521">
        <v>1454</v>
      </c>
      <c r="W521" t="s">
        <v>121</v>
      </c>
      <c r="X521" t="s">
        <v>1</v>
      </c>
      <c r="Y521">
        <v>9217633</v>
      </c>
      <c r="Z521">
        <v>297343000</v>
      </c>
      <c r="AA521">
        <v>727000</v>
      </c>
      <c r="AB521">
        <v>106</v>
      </c>
      <c r="AC521" s="34">
        <v>45966</v>
      </c>
      <c r="AD521" s="34">
        <v>46112</v>
      </c>
      <c r="AE521" t="s">
        <v>161</v>
      </c>
      <c r="AF521">
        <v>0</v>
      </c>
      <c r="AG521">
        <v>6339.5</v>
      </c>
      <c r="AH521">
        <v>0</v>
      </c>
      <c r="AI521">
        <v>9217633</v>
      </c>
      <c r="AJ521">
        <v>0</v>
      </c>
      <c r="AK521">
        <v>0</v>
      </c>
      <c r="AL521">
        <v>2313648.42</v>
      </c>
      <c r="AM521">
        <v>0</v>
      </c>
      <c r="AN521">
        <v>11531281.42</v>
      </c>
      <c r="AO521" t="s">
        <v>122</v>
      </c>
      <c r="AP521">
        <v>10</v>
      </c>
      <c r="AQ521">
        <v>633.95000000000005</v>
      </c>
      <c r="AR521">
        <v>921763.3</v>
      </c>
      <c r="AT521">
        <v>122700</v>
      </c>
      <c r="AU521">
        <v>3803.7</v>
      </c>
      <c r="AV521">
        <v>178405800</v>
      </c>
      <c r="AW521">
        <v>5530579.7999999998</v>
      </c>
    </row>
    <row r="522" spans="1:49" hidden="1" x14ac:dyDescent="0.35">
      <c r="A522">
        <v>5820010</v>
      </c>
      <c r="B522">
        <v>1090005820001</v>
      </c>
      <c r="D522">
        <v>30716861186</v>
      </c>
      <c r="E522" t="s">
        <v>937</v>
      </c>
      <c r="F522" t="s">
        <v>1</v>
      </c>
      <c r="G522" t="s">
        <v>56</v>
      </c>
      <c r="H522" t="s">
        <v>56</v>
      </c>
      <c r="I522">
        <v>6381</v>
      </c>
      <c r="J522">
        <v>21</v>
      </c>
      <c r="K522" t="s">
        <v>33</v>
      </c>
      <c r="L522">
        <v>92963</v>
      </c>
      <c r="M522" t="s">
        <v>396</v>
      </c>
      <c r="N522">
        <v>1</v>
      </c>
      <c r="O522" t="s">
        <v>119</v>
      </c>
      <c r="P522" t="s">
        <v>938</v>
      </c>
      <c r="Q522">
        <v>4502.75</v>
      </c>
      <c r="R522">
        <v>145250</v>
      </c>
      <c r="S522">
        <v>581</v>
      </c>
      <c r="T522">
        <v>250</v>
      </c>
      <c r="U522">
        <v>26</v>
      </c>
      <c r="V522">
        <v>1454</v>
      </c>
      <c r="W522" t="s">
        <v>121</v>
      </c>
      <c r="X522" t="s">
        <v>1</v>
      </c>
      <c r="Y522">
        <v>6546998.5</v>
      </c>
      <c r="Z522">
        <v>211193500</v>
      </c>
      <c r="AA522">
        <v>363500</v>
      </c>
      <c r="AB522">
        <v>106</v>
      </c>
      <c r="AC522" s="34">
        <v>45966</v>
      </c>
      <c r="AD522" s="34">
        <v>46112</v>
      </c>
      <c r="AE522" t="s">
        <v>161</v>
      </c>
      <c r="AF522">
        <v>0</v>
      </c>
      <c r="AG522">
        <v>4502.75</v>
      </c>
      <c r="AH522">
        <v>0</v>
      </c>
      <c r="AI522">
        <v>6546998.5</v>
      </c>
      <c r="AJ522">
        <v>0</v>
      </c>
      <c r="AK522">
        <v>0</v>
      </c>
      <c r="AL522">
        <v>1643296.26</v>
      </c>
      <c r="AM522">
        <v>0</v>
      </c>
      <c r="AN522">
        <v>8190294.7599999998</v>
      </c>
      <c r="AO522" t="s">
        <v>122</v>
      </c>
      <c r="AP522">
        <v>10</v>
      </c>
      <c r="AQ522">
        <v>450.28</v>
      </c>
      <c r="AR522">
        <v>654707.12</v>
      </c>
      <c r="AT522">
        <v>87150</v>
      </c>
      <c r="AU522">
        <v>2701.65</v>
      </c>
      <c r="AV522">
        <v>126716100</v>
      </c>
      <c r="AW522">
        <v>3928199.1</v>
      </c>
    </row>
    <row r="523" spans="1:49" hidden="1" x14ac:dyDescent="0.35">
      <c r="A523">
        <v>5820110</v>
      </c>
      <c r="B523">
        <v>1090005820101</v>
      </c>
      <c r="D523">
        <v>30717389405</v>
      </c>
      <c r="E523" t="s">
        <v>572</v>
      </c>
      <c r="F523" t="s">
        <v>1</v>
      </c>
      <c r="G523" t="s">
        <v>370</v>
      </c>
      <c r="H523" t="s">
        <v>58</v>
      </c>
      <c r="I523">
        <v>6333</v>
      </c>
      <c r="J523">
        <v>21</v>
      </c>
      <c r="K523" t="s">
        <v>33</v>
      </c>
      <c r="L523">
        <v>6127</v>
      </c>
      <c r="M523" t="s">
        <v>118</v>
      </c>
      <c r="N523">
        <v>1</v>
      </c>
      <c r="O523" t="s">
        <v>119</v>
      </c>
      <c r="P523" t="s">
        <v>939</v>
      </c>
      <c r="Q523">
        <v>532</v>
      </c>
      <c r="R523">
        <v>17500</v>
      </c>
      <c r="S523">
        <v>70</v>
      </c>
      <c r="T523">
        <v>250</v>
      </c>
      <c r="U523">
        <v>26</v>
      </c>
      <c r="V523">
        <v>1454</v>
      </c>
      <c r="W523" t="s">
        <v>121</v>
      </c>
      <c r="X523" t="s">
        <v>1</v>
      </c>
      <c r="Y523">
        <v>773528</v>
      </c>
      <c r="Z523">
        <v>25445000</v>
      </c>
      <c r="AA523">
        <v>363500</v>
      </c>
      <c r="AB523">
        <v>106</v>
      </c>
      <c r="AC523" s="34">
        <v>45964</v>
      </c>
      <c r="AD523" s="34">
        <v>46112</v>
      </c>
      <c r="AF523">
        <v>0</v>
      </c>
      <c r="AG523">
        <v>532</v>
      </c>
      <c r="AH523">
        <v>0</v>
      </c>
      <c r="AI523">
        <v>773528</v>
      </c>
      <c r="AJ523">
        <v>0</v>
      </c>
      <c r="AK523">
        <v>0</v>
      </c>
      <c r="AL523">
        <v>194152.62</v>
      </c>
      <c r="AM523">
        <v>0</v>
      </c>
      <c r="AN523">
        <v>967680.62</v>
      </c>
      <c r="AO523" t="s">
        <v>122</v>
      </c>
      <c r="AP523">
        <v>12</v>
      </c>
      <c r="AQ523">
        <v>63.84</v>
      </c>
      <c r="AR523">
        <v>92823.360000000001</v>
      </c>
      <c r="AT523">
        <v>10500</v>
      </c>
      <c r="AU523">
        <v>319.2</v>
      </c>
      <c r="AV523">
        <v>15267000</v>
      </c>
      <c r="AW523">
        <v>464116.8</v>
      </c>
    </row>
    <row r="524" spans="1:49" hidden="1" x14ac:dyDescent="0.35">
      <c r="A524">
        <v>5820210</v>
      </c>
      <c r="B524">
        <v>1170005820201</v>
      </c>
      <c r="D524">
        <v>30717022447</v>
      </c>
      <c r="E524" t="s">
        <v>225</v>
      </c>
      <c r="F524" t="s">
        <v>1</v>
      </c>
      <c r="G524" t="s">
        <v>226</v>
      </c>
      <c r="H524" t="s">
        <v>63</v>
      </c>
      <c r="I524">
        <v>2535</v>
      </c>
      <c r="J524">
        <v>12</v>
      </c>
      <c r="K524" t="s">
        <v>34</v>
      </c>
      <c r="L524">
        <v>83429</v>
      </c>
      <c r="M524" t="s">
        <v>140</v>
      </c>
      <c r="N524">
        <v>1</v>
      </c>
      <c r="O524" t="s">
        <v>119</v>
      </c>
      <c r="P524" t="s">
        <v>940</v>
      </c>
      <c r="Q524">
        <v>6645325.0499999998</v>
      </c>
      <c r="R524">
        <v>243418500</v>
      </c>
      <c r="S524">
        <v>150</v>
      </c>
      <c r="T524">
        <v>1622790</v>
      </c>
      <c r="U524">
        <v>1</v>
      </c>
      <c r="V524">
        <v>1</v>
      </c>
      <c r="W524" t="s">
        <v>127</v>
      </c>
      <c r="X524">
        <v>54093</v>
      </c>
      <c r="Y524">
        <v>6645325.0499999998</v>
      </c>
      <c r="Z524">
        <v>243418500</v>
      </c>
      <c r="AA524">
        <v>1622790</v>
      </c>
      <c r="AB524">
        <v>212</v>
      </c>
      <c r="AC524" s="34">
        <v>45969</v>
      </c>
      <c r="AD524" s="34">
        <v>46112</v>
      </c>
      <c r="AF524">
        <v>0</v>
      </c>
      <c r="AG524">
        <v>6645325.0499999998</v>
      </c>
      <c r="AH524">
        <v>0</v>
      </c>
      <c r="AI524">
        <v>6645325.0499999998</v>
      </c>
      <c r="AJ524">
        <v>0</v>
      </c>
      <c r="AK524">
        <v>0</v>
      </c>
      <c r="AL524">
        <v>1701203.22</v>
      </c>
      <c r="AM524">
        <v>0</v>
      </c>
      <c r="AN524">
        <v>8346528.2699999996</v>
      </c>
      <c r="AO524" t="s">
        <v>122</v>
      </c>
      <c r="AP524">
        <v>15</v>
      </c>
      <c r="AQ524">
        <v>996798.76</v>
      </c>
      <c r="AR524">
        <v>996798.76</v>
      </c>
      <c r="AT524">
        <v>146051100</v>
      </c>
      <c r="AU524">
        <v>3987195.03</v>
      </c>
      <c r="AV524">
        <v>146051100</v>
      </c>
      <c r="AW524">
        <v>3987195.03</v>
      </c>
    </row>
    <row r="525" spans="1:49" hidden="1" x14ac:dyDescent="0.35">
      <c r="A525">
        <v>5820310</v>
      </c>
      <c r="B525">
        <v>1090005820301</v>
      </c>
      <c r="D525">
        <v>30715428845</v>
      </c>
      <c r="E525" t="s">
        <v>567</v>
      </c>
      <c r="F525" t="s">
        <v>1</v>
      </c>
      <c r="G525" t="s">
        <v>568</v>
      </c>
      <c r="H525" t="s">
        <v>57</v>
      </c>
      <c r="I525">
        <v>6360</v>
      </c>
      <c r="J525">
        <v>21</v>
      </c>
      <c r="K525" t="s">
        <v>33</v>
      </c>
      <c r="L525">
        <v>6127</v>
      </c>
      <c r="M525" t="s">
        <v>118</v>
      </c>
      <c r="N525">
        <v>1</v>
      </c>
      <c r="O525" t="s">
        <v>119</v>
      </c>
      <c r="P525" t="s">
        <v>941</v>
      </c>
      <c r="Q525">
        <v>5786.88</v>
      </c>
      <c r="R525">
        <v>211200</v>
      </c>
      <c r="S525">
        <v>264</v>
      </c>
      <c r="T525">
        <v>800</v>
      </c>
      <c r="U525">
        <v>26</v>
      </c>
      <c r="V525">
        <v>1454</v>
      </c>
      <c r="W525" t="s">
        <v>121</v>
      </c>
      <c r="X525" t="s">
        <v>1</v>
      </c>
      <c r="Y525">
        <v>8414123.5199999996</v>
      </c>
      <c r="Z525">
        <v>307084800</v>
      </c>
      <c r="AA525">
        <v>1163200</v>
      </c>
      <c r="AB525">
        <v>106</v>
      </c>
      <c r="AC525" s="34">
        <v>45963</v>
      </c>
      <c r="AD525" s="34">
        <v>46173</v>
      </c>
      <c r="AF525">
        <v>0</v>
      </c>
      <c r="AG525">
        <v>6948.64</v>
      </c>
      <c r="AH525">
        <v>0</v>
      </c>
      <c r="AI525">
        <v>10103322.560000001</v>
      </c>
      <c r="AJ525">
        <v>0</v>
      </c>
      <c r="AK525">
        <v>0</v>
      </c>
      <c r="AL525">
        <v>2535921.4</v>
      </c>
      <c r="AM525">
        <v>0</v>
      </c>
      <c r="AN525">
        <v>12639243.960000001</v>
      </c>
      <c r="AO525" t="s">
        <v>122</v>
      </c>
      <c r="AP525">
        <v>12</v>
      </c>
      <c r="AQ525">
        <v>833.84</v>
      </c>
      <c r="AR525">
        <v>1212403.3600000001</v>
      </c>
      <c r="AT525">
        <v>126720</v>
      </c>
      <c r="AU525">
        <v>3472.13</v>
      </c>
      <c r="AV525">
        <v>184250880</v>
      </c>
      <c r="AW525">
        <v>5048477.0199999996</v>
      </c>
    </row>
    <row r="526" spans="1:49" hidden="1" x14ac:dyDescent="0.35">
      <c r="A526">
        <v>5820310</v>
      </c>
      <c r="B526">
        <v>1090005820301</v>
      </c>
      <c r="D526">
        <v>30715428845</v>
      </c>
      <c r="E526" t="s">
        <v>567</v>
      </c>
      <c r="F526" t="s">
        <v>1</v>
      </c>
      <c r="G526" t="s">
        <v>568</v>
      </c>
      <c r="H526" t="s">
        <v>57</v>
      </c>
      <c r="I526">
        <v>6360</v>
      </c>
      <c r="J526">
        <v>21</v>
      </c>
      <c r="K526" t="s">
        <v>33</v>
      </c>
      <c r="L526">
        <v>6127</v>
      </c>
      <c r="M526" t="s">
        <v>118</v>
      </c>
      <c r="N526">
        <v>2</v>
      </c>
      <c r="O526" t="s">
        <v>119</v>
      </c>
      <c r="P526" t="s">
        <v>942</v>
      </c>
      <c r="Q526">
        <v>1161.76</v>
      </c>
      <c r="R526">
        <v>42400</v>
      </c>
      <c r="S526">
        <v>53</v>
      </c>
      <c r="T526">
        <v>800</v>
      </c>
      <c r="U526">
        <v>26</v>
      </c>
      <c r="V526">
        <v>1454</v>
      </c>
      <c r="W526" t="s">
        <v>121</v>
      </c>
      <c r="X526" t="s">
        <v>1</v>
      </c>
      <c r="Y526">
        <v>1689199.04</v>
      </c>
      <c r="Z526">
        <v>61649600</v>
      </c>
      <c r="AA526">
        <v>1163200</v>
      </c>
      <c r="AB526">
        <v>106</v>
      </c>
      <c r="AC526" s="34">
        <v>45963</v>
      </c>
      <c r="AD526" s="34">
        <v>46173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 t="s">
        <v>122</v>
      </c>
      <c r="AT526">
        <v>25440</v>
      </c>
      <c r="AU526">
        <v>697.06</v>
      </c>
      <c r="AV526">
        <v>36989760</v>
      </c>
      <c r="AW526">
        <v>1013525.24</v>
      </c>
    </row>
    <row r="527" spans="1:49" hidden="1" x14ac:dyDescent="0.35">
      <c r="A527">
        <v>5820410</v>
      </c>
      <c r="B527">
        <v>1090005820401</v>
      </c>
      <c r="D527">
        <v>30715428845</v>
      </c>
      <c r="E527" t="s">
        <v>567</v>
      </c>
      <c r="F527" t="s">
        <v>1</v>
      </c>
      <c r="G527" t="s">
        <v>568</v>
      </c>
      <c r="H527" t="s">
        <v>57</v>
      </c>
      <c r="I527">
        <v>6360</v>
      </c>
      <c r="J527">
        <v>21</v>
      </c>
      <c r="K527" t="s">
        <v>33</v>
      </c>
      <c r="L527">
        <v>6127</v>
      </c>
      <c r="M527" t="s">
        <v>118</v>
      </c>
      <c r="N527">
        <v>1</v>
      </c>
      <c r="O527" t="s">
        <v>119</v>
      </c>
      <c r="P527" t="s">
        <v>943</v>
      </c>
      <c r="Q527">
        <v>2832.9</v>
      </c>
      <c r="R527">
        <v>106500</v>
      </c>
      <c r="S527">
        <v>142</v>
      </c>
      <c r="T527">
        <v>750</v>
      </c>
      <c r="U527">
        <v>26</v>
      </c>
      <c r="V527">
        <v>1454</v>
      </c>
      <c r="W527" t="s">
        <v>121</v>
      </c>
      <c r="X527" t="s">
        <v>1</v>
      </c>
      <c r="Y527">
        <v>4119036.6</v>
      </c>
      <c r="Z527">
        <v>154851000</v>
      </c>
      <c r="AA527">
        <v>1090500</v>
      </c>
      <c r="AB527">
        <v>106</v>
      </c>
      <c r="AC527" s="34">
        <v>45963</v>
      </c>
      <c r="AD527" s="34">
        <v>46188</v>
      </c>
      <c r="AF527">
        <v>0</v>
      </c>
      <c r="AG527">
        <v>6862.8</v>
      </c>
      <c r="AH527">
        <v>0</v>
      </c>
      <c r="AI527">
        <v>9978511.1999999993</v>
      </c>
      <c r="AJ527">
        <v>0</v>
      </c>
      <c r="AK527">
        <v>0</v>
      </c>
      <c r="AL527">
        <v>2504602.2400000002</v>
      </c>
      <c r="AM527">
        <v>0</v>
      </c>
      <c r="AN527">
        <v>12483113.439999999</v>
      </c>
      <c r="AO527" t="s">
        <v>122</v>
      </c>
      <c r="AP527">
        <v>12</v>
      </c>
      <c r="AQ527">
        <v>823.54</v>
      </c>
      <c r="AR527">
        <v>1197427.1599999999</v>
      </c>
      <c r="AT527">
        <v>63900</v>
      </c>
      <c r="AU527">
        <v>1699.74</v>
      </c>
      <c r="AV527">
        <v>92910600</v>
      </c>
      <c r="AW527">
        <v>2471421.96</v>
      </c>
    </row>
    <row r="528" spans="1:49" hidden="1" x14ac:dyDescent="0.35">
      <c r="A528">
        <v>5820410</v>
      </c>
      <c r="B528">
        <v>1090005820401</v>
      </c>
      <c r="D528">
        <v>30715428845</v>
      </c>
      <c r="E528" t="s">
        <v>567</v>
      </c>
      <c r="F528" t="s">
        <v>1</v>
      </c>
      <c r="G528" t="s">
        <v>568</v>
      </c>
      <c r="H528" t="s">
        <v>57</v>
      </c>
      <c r="I528">
        <v>6360</v>
      </c>
      <c r="J528">
        <v>21</v>
      </c>
      <c r="K528" t="s">
        <v>33</v>
      </c>
      <c r="L528">
        <v>6127</v>
      </c>
      <c r="M528" t="s">
        <v>118</v>
      </c>
      <c r="N528">
        <v>2</v>
      </c>
      <c r="O528" t="s">
        <v>119</v>
      </c>
      <c r="P528" t="s">
        <v>944</v>
      </c>
      <c r="Q528">
        <v>4029.9</v>
      </c>
      <c r="R528">
        <v>151500</v>
      </c>
      <c r="S528">
        <v>202</v>
      </c>
      <c r="T528">
        <v>750</v>
      </c>
      <c r="U528">
        <v>26</v>
      </c>
      <c r="V528">
        <v>1454</v>
      </c>
      <c r="W528" t="s">
        <v>121</v>
      </c>
      <c r="X528" t="s">
        <v>1</v>
      </c>
      <c r="Y528">
        <v>5859474.5999999996</v>
      </c>
      <c r="Z528">
        <v>220281000</v>
      </c>
      <c r="AA528">
        <v>1090500</v>
      </c>
      <c r="AB528">
        <v>106</v>
      </c>
      <c r="AC528" s="34">
        <v>45963</v>
      </c>
      <c r="AD528" s="34">
        <v>46188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 t="s">
        <v>122</v>
      </c>
      <c r="AT528">
        <v>90900</v>
      </c>
      <c r="AU528">
        <v>2417.94</v>
      </c>
      <c r="AV528">
        <v>132168600</v>
      </c>
      <c r="AW528">
        <v>3515684.76</v>
      </c>
    </row>
    <row r="529" spans="1:49" hidden="1" x14ac:dyDescent="0.35">
      <c r="A529">
        <v>5820510</v>
      </c>
      <c r="B529">
        <v>1090005820501</v>
      </c>
      <c r="D529">
        <v>30715428845</v>
      </c>
      <c r="E529" t="s">
        <v>567</v>
      </c>
      <c r="F529" t="s">
        <v>1</v>
      </c>
      <c r="G529" t="s">
        <v>568</v>
      </c>
      <c r="H529" t="s">
        <v>57</v>
      </c>
      <c r="I529">
        <v>6360</v>
      </c>
      <c r="J529">
        <v>21</v>
      </c>
      <c r="K529" t="s">
        <v>33</v>
      </c>
      <c r="L529">
        <v>6127</v>
      </c>
      <c r="M529" t="s">
        <v>118</v>
      </c>
      <c r="N529">
        <v>1</v>
      </c>
      <c r="O529" t="s">
        <v>119</v>
      </c>
      <c r="P529" t="s">
        <v>945</v>
      </c>
      <c r="Q529">
        <v>3468.64</v>
      </c>
      <c r="R529">
        <v>114100</v>
      </c>
      <c r="S529">
        <v>163</v>
      </c>
      <c r="T529">
        <v>700</v>
      </c>
      <c r="U529">
        <v>26</v>
      </c>
      <c r="V529">
        <v>1454</v>
      </c>
      <c r="W529" t="s">
        <v>121</v>
      </c>
      <c r="X529" t="s">
        <v>1</v>
      </c>
      <c r="Y529">
        <v>5043402.5599999996</v>
      </c>
      <c r="Z529">
        <v>165901400</v>
      </c>
      <c r="AA529">
        <v>1017800</v>
      </c>
      <c r="AB529">
        <v>106</v>
      </c>
      <c r="AC529" s="34">
        <v>45963</v>
      </c>
      <c r="AD529" s="34">
        <v>46112</v>
      </c>
      <c r="AF529">
        <v>0</v>
      </c>
      <c r="AG529">
        <v>3468.64</v>
      </c>
      <c r="AH529">
        <v>0</v>
      </c>
      <c r="AI529">
        <v>5043402.5599999996</v>
      </c>
      <c r="AJ529">
        <v>0</v>
      </c>
      <c r="AK529">
        <v>0</v>
      </c>
      <c r="AL529">
        <v>1265881.48</v>
      </c>
      <c r="AM529">
        <v>0</v>
      </c>
      <c r="AN529">
        <v>6309284.04</v>
      </c>
      <c r="AO529" t="s">
        <v>122</v>
      </c>
      <c r="AP529">
        <v>12</v>
      </c>
      <c r="AQ529">
        <v>416.24</v>
      </c>
      <c r="AR529">
        <v>605212.96</v>
      </c>
      <c r="AT529">
        <v>68460</v>
      </c>
      <c r="AU529">
        <v>2081.1799999999998</v>
      </c>
      <c r="AV529">
        <v>99540840</v>
      </c>
      <c r="AW529">
        <v>3026035.72</v>
      </c>
    </row>
    <row r="530" spans="1:49" hidden="1" x14ac:dyDescent="0.35">
      <c r="A530">
        <v>5820610</v>
      </c>
      <c r="B530">
        <v>1090005820601</v>
      </c>
      <c r="D530">
        <v>30685141694</v>
      </c>
      <c r="E530" t="s">
        <v>946</v>
      </c>
      <c r="F530" t="s">
        <v>1</v>
      </c>
      <c r="G530" t="s">
        <v>680</v>
      </c>
      <c r="H530" t="s">
        <v>55</v>
      </c>
      <c r="I530">
        <v>6220</v>
      </c>
      <c r="J530">
        <v>21</v>
      </c>
      <c r="K530" t="s">
        <v>33</v>
      </c>
      <c r="L530">
        <v>6127</v>
      </c>
      <c r="M530" t="s">
        <v>118</v>
      </c>
      <c r="N530">
        <v>1</v>
      </c>
      <c r="O530" t="s">
        <v>119</v>
      </c>
      <c r="P530" t="s">
        <v>947</v>
      </c>
      <c r="Q530">
        <v>4370.1499999999996</v>
      </c>
      <c r="R530">
        <v>142350</v>
      </c>
      <c r="S530">
        <v>219</v>
      </c>
      <c r="T530">
        <v>650</v>
      </c>
      <c r="U530">
        <v>26</v>
      </c>
      <c r="V530">
        <v>1454</v>
      </c>
      <c r="W530" t="s">
        <v>121</v>
      </c>
      <c r="X530" t="s">
        <v>1</v>
      </c>
      <c r="Y530">
        <v>6354198.0999999996</v>
      </c>
      <c r="Z530">
        <v>206976900</v>
      </c>
      <c r="AA530">
        <v>945100</v>
      </c>
      <c r="AB530">
        <v>106</v>
      </c>
      <c r="AC530" s="34">
        <v>45969</v>
      </c>
      <c r="AD530" s="34">
        <v>46173</v>
      </c>
      <c r="AF530">
        <v>0</v>
      </c>
      <c r="AG530">
        <v>5607.36</v>
      </c>
      <c r="AH530">
        <v>0</v>
      </c>
      <c r="AI530">
        <v>8153101.4400000004</v>
      </c>
      <c r="AJ530">
        <v>0</v>
      </c>
      <c r="AK530">
        <v>0</v>
      </c>
      <c r="AL530">
        <v>1801840.42</v>
      </c>
      <c r="AM530">
        <v>0</v>
      </c>
      <c r="AN530">
        <v>9954941.8599999994</v>
      </c>
      <c r="AO530" t="s">
        <v>122</v>
      </c>
      <c r="AP530">
        <v>12</v>
      </c>
      <c r="AQ530">
        <v>672.88</v>
      </c>
      <c r="AR530">
        <v>978367.52</v>
      </c>
      <c r="AT530">
        <v>85410</v>
      </c>
      <c r="AU530">
        <v>2622.09</v>
      </c>
      <c r="AV530">
        <v>124186140</v>
      </c>
      <c r="AW530">
        <v>3812518.86</v>
      </c>
    </row>
    <row r="531" spans="1:49" hidden="1" x14ac:dyDescent="0.35">
      <c r="A531">
        <v>5820610</v>
      </c>
      <c r="B531">
        <v>1090005820601</v>
      </c>
      <c r="D531">
        <v>30685141694</v>
      </c>
      <c r="E531" t="s">
        <v>946</v>
      </c>
      <c r="F531" t="s">
        <v>1</v>
      </c>
      <c r="G531" t="s">
        <v>680</v>
      </c>
      <c r="H531" t="s">
        <v>55</v>
      </c>
      <c r="I531">
        <v>6220</v>
      </c>
      <c r="J531">
        <v>21</v>
      </c>
      <c r="K531" t="s">
        <v>33</v>
      </c>
      <c r="L531">
        <v>6127</v>
      </c>
      <c r="M531" t="s">
        <v>118</v>
      </c>
      <c r="N531">
        <v>2</v>
      </c>
      <c r="O531" t="s">
        <v>119</v>
      </c>
      <c r="P531" t="s">
        <v>948</v>
      </c>
      <c r="Q531">
        <v>1237.21</v>
      </c>
      <c r="R531">
        <v>40300</v>
      </c>
      <c r="S531">
        <v>62</v>
      </c>
      <c r="T531">
        <v>650</v>
      </c>
      <c r="U531">
        <v>26</v>
      </c>
      <c r="V531">
        <v>1454</v>
      </c>
      <c r="W531" t="s">
        <v>121</v>
      </c>
      <c r="X531" t="s">
        <v>1</v>
      </c>
      <c r="Y531">
        <v>1798903.34</v>
      </c>
      <c r="Z531">
        <v>58596200</v>
      </c>
      <c r="AA531">
        <v>945100</v>
      </c>
      <c r="AB531">
        <v>106</v>
      </c>
      <c r="AC531" s="34">
        <v>45969</v>
      </c>
      <c r="AD531" s="34">
        <v>46173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 t="s">
        <v>122</v>
      </c>
      <c r="AT531">
        <v>24180</v>
      </c>
      <c r="AU531">
        <v>742.33</v>
      </c>
      <c r="AV531">
        <v>35157720</v>
      </c>
      <c r="AW531">
        <v>1079347.82</v>
      </c>
    </row>
    <row r="532" spans="1:49" hidden="1" x14ac:dyDescent="0.35">
      <c r="A532">
        <v>5820710</v>
      </c>
      <c r="B532">
        <v>1090005820701</v>
      </c>
      <c r="D532">
        <v>20073631808</v>
      </c>
      <c r="E532" t="s">
        <v>949</v>
      </c>
      <c r="F532" t="s">
        <v>1</v>
      </c>
      <c r="G532" t="s">
        <v>370</v>
      </c>
      <c r="H532" t="s">
        <v>58</v>
      </c>
      <c r="I532">
        <v>6333</v>
      </c>
      <c r="J532">
        <v>21</v>
      </c>
      <c r="K532" t="s">
        <v>33</v>
      </c>
      <c r="L532">
        <v>6864</v>
      </c>
      <c r="M532" t="s">
        <v>371</v>
      </c>
      <c r="N532">
        <v>1</v>
      </c>
      <c r="O532" t="s">
        <v>119</v>
      </c>
      <c r="P532" t="s">
        <v>950</v>
      </c>
      <c r="Q532">
        <v>9964640</v>
      </c>
      <c r="R532">
        <v>173500000</v>
      </c>
      <c r="S532">
        <v>248</v>
      </c>
      <c r="T532">
        <v>699596.77</v>
      </c>
      <c r="U532">
        <v>1</v>
      </c>
      <c r="V532">
        <v>1</v>
      </c>
      <c r="W532" t="s">
        <v>121</v>
      </c>
      <c r="X532" t="s">
        <v>1</v>
      </c>
      <c r="Y532">
        <v>9964640</v>
      </c>
      <c r="Z532">
        <v>173500000</v>
      </c>
      <c r="AA532">
        <v>699596.77</v>
      </c>
      <c r="AB532">
        <v>105</v>
      </c>
      <c r="AC532" s="34">
        <v>45966</v>
      </c>
      <c r="AD532" s="34">
        <v>46112</v>
      </c>
      <c r="AE532" t="s">
        <v>355</v>
      </c>
      <c r="AF532">
        <v>0</v>
      </c>
      <c r="AG532">
        <v>9964640</v>
      </c>
      <c r="AH532">
        <v>0</v>
      </c>
      <c r="AI532">
        <v>9964640</v>
      </c>
      <c r="AJ532">
        <v>0</v>
      </c>
      <c r="AK532">
        <v>0</v>
      </c>
      <c r="AL532">
        <v>2501124.64</v>
      </c>
      <c r="AM532">
        <v>0</v>
      </c>
      <c r="AN532">
        <v>12465764.640000001</v>
      </c>
      <c r="AO532" t="s">
        <v>122</v>
      </c>
      <c r="AP532">
        <v>15</v>
      </c>
      <c r="AQ532">
        <v>1494696</v>
      </c>
      <c r="AR532">
        <v>1494696</v>
      </c>
      <c r="AT532">
        <v>104100000</v>
      </c>
      <c r="AU532">
        <v>5978784</v>
      </c>
      <c r="AV532">
        <v>104100000</v>
      </c>
      <c r="AW532">
        <v>5978784</v>
      </c>
    </row>
    <row r="533" spans="1:49" hidden="1" x14ac:dyDescent="0.35">
      <c r="A533">
        <v>5820810</v>
      </c>
      <c r="B533">
        <v>1090005820801</v>
      </c>
      <c r="D533">
        <v>33709819769</v>
      </c>
      <c r="E533" t="s">
        <v>830</v>
      </c>
      <c r="F533" t="s">
        <v>1</v>
      </c>
      <c r="G533" t="s">
        <v>56</v>
      </c>
      <c r="H533" t="s">
        <v>56</v>
      </c>
      <c r="I533">
        <v>6381</v>
      </c>
      <c r="J533">
        <v>21</v>
      </c>
      <c r="K533" t="s">
        <v>33</v>
      </c>
      <c r="L533">
        <v>6127</v>
      </c>
      <c r="M533" t="s">
        <v>118</v>
      </c>
      <c r="N533">
        <v>1</v>
      </c>
      <c r="O533" t="s">
        <v>119</v>
      </c>
      <c r="P533" t="s">
        <v>951</v>
      </c>
      <c r="Q533">
        <v>866.4</v>
      </c>
      <c r="R533">
        <v>28500</v>
      </c>
      <c r="S533">
        <v>95</v>
      </c>
      <c r="T533">
        <v>300</v>
      </c>
      <c r="U533">
        <v>26</v>
      </c>
      <c r="V533">
        <v>1452</v>
      </c>
      <c r="W533" t="s">
        <v>121</v>
      </c>
      <c r="X533" t="s">
        <v>1</v>
      </c>
      <c r="Y533">
        <v>1258012.8</v>
      </c>
      <c r="Z533">
        <v>41382000</v>
      </c>
      <c r="AA533">
        <v>435600</v>
      </c>
      <c r="AB533">
        <v>211</v>
      </c>
      <c r="AC533" s="34">
        <v>45969</v>
      </c>
      <c r="AD533" s="34">
        <v>46173</v>
      </c>
      <c r="AF533">
        <v>0</v>
      </c>
      <c r="AG533">
        <v>4415.3999999999996</v>
      </c>
      <c r="AH533">
        <v>0</v>
      </c>
      <c r="AI533">
        <v>6411160.7999999998</v>
      </c>
      <c r="AJ533">
        <v>0</v>
      </c>
      <c r="AK533">
        <v>0</v>
      </c>
      <c r="AL533">
        <v>1609193.52</v>
      </c>
      <c r="AM533">
        <v>0</v>
      </c>
      <c r="AN533">
        <v>8020354.3200000003</v>
      </c>
      <c r="AO533" t="s">
        <v>122</v>
      </c>
      <c r="AP533">
        <v>12</v>
      </c>
      <c r="AQ533">
        <v>529.85</v>
      </c>
      <c r="AR533">
        <v>769342.2</v>
      </c>
      <c r="AT533">
        <v>17100</v>
      </c>
      <c r="AU533">
        <v>519.84</v>
      </c>
      <c r="AV533">
        <v>24829200</v>
      </c>
      <c r="AW533">
        <v>754807.68</v>
      </c>
    </row>
    <row r="534" spans="1:49" hidden="1" x14ac:dyDescent="0.35">
      <c r="A534">
        <v>5820810</v>
      </c>
      <c r="B534">
        <v>1090005820801</v>
      </c>
      <c r="D534">
        <v>33709819769</v>
      </c>
      <c r="E534" t="s">
        <v>830</v>
      </c>
      <c r="F534" t="s">
        <v>1</v>
      </c>
      <c r="G534" t="s">
        <v>56</v>
      </c>
      <c r="H534" t="s">
        <v>56</v>
      </c>
      <c r="I534">
        <v>6381</v>
      </c>
      <c r="J534">
        <v>21</v>
      </c>
      <c r="K534" t="s">
        <v>33</v>
      </c>
      <c r="L534">
        <v>6127</v>
      </c>
      <c r="M534" t="s">
        <v>118</v>
      </c>
      <c r="N534">
        <v>2</v>
      </c>
      <c r="O534" t="s">
        <v>119</v>
      </c>
      <c r="P534" t="s">
        <v>952</v>
      </c>
      <c r="Q534">
        <v>729.6</v>
      </c>
      <c r="R534">
        <v>24000</v>
      </c>
      <c r="S534">
        <v>80</v>
      </c>
      <c r="T534">
        <v>300</v>
      </c>
      <c r="U534">
        <v>26</v>
      </c>
      <c r="V534">
        <v>1452</v>
      </c>
      <c r="W534" t="s">
        <v>121</v>
      </c>
      <c r="X534" t="s">
        <v>1</v>
      </c>
      <c r="Y534">
        <v>1059379.2</v>
      </c>
      <c r="Z534">
        <v>34848000</v>
      </c>
      <c r="AA534">
        <v>435600</v>
      </c>
      <c r="AB534">
        <v>211</v>
      </c>
      <c r="AC534" s="34">
        <v>45969</v>
      </c>
      <c r="AD534" s="34">
        <v>46173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 t="s">
        <v>122</v>
      </c>
      <c r="AT534">
        <v>14400</v>
      </c>
      <c r="AU534">
        <v>437.76</v>
      </c>
      <c r="AV534">
        <v>20908800</v>
      </c>
      <c r="AW534">
        <v>635627.52000000002</v>
      </c>
    </row>
    <row r="535" spans="1:49" hidden="1" x14ac:dyDescent="0.35">
      <c r="A535">
        <v>5820810</v>
      </c>
      <c r="B535">
        <v>1090005820801</v>
      </c>
      <c r="D535">
        <v>33709819769</v>
      </c>
      <c r="E535" t="s">
        <v>830</v>
      </c>
      <c r="F535" t="s">
        <v>1</v>
      </c>
      <c r="G535" t="s">
        <v>56</v>
      </c>
      <c r="H535" t="s">
        <v>56</v>
      </c>
      <c r="I535">
        <v>6381</v>
      </c>
      <c r="J535">
        <v>21</v>
      </c>
      <c r="K535" t="s">
        <v>33</v>
      </c>
      <c r="L535">
        <v>6127</v>
      </c>
      <c r="M535" t="s">
        <v>118</v>
      </c>
      <c r="N535">
        <v>3</v>
      </c>
      <c r="O535" t="s">
        <v>119</v>
      </c>
      <c r="P535" t="s">
        <v>953</v>
      </c>
      <c r="Q535">
        <v>665.76</v>
      </c>
      <c r="R535">
        <v>21900</v>
      </c>
      <c r="S535">
        <v>73</v>
      </c>
      <c r="T535">
        <v>300</v>
      </c>
      <c r="U535">
        <v>26</v>
      </c>
      <c r="V535">
        <v>1452</v>
      </c>
      <c r="W535" t="s">
        <v>121</v>
      </c>
      <c r="X535" t="s">
        <v>1</v>
      </c>
      <c r="Y535">
        <v>966683.52</v>
      </c>
      <c r="Z535">
        <v>31798800</v>
      </c>
      <c r="AA535">
        <v>435600</v>
      </c>
      <c r="AB535">
        <v>211</v>
      </c>
      <c r="AC535" s="34">
        <v>45969</v>
      </c>
      <c r="AD535" s="34">
        <v>46173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 t="s">
        <v>122</v>
      </c>
      <c r="AT535">
        <v>13140</v>
      </c>
      <c r="AU535">
        <v>399.46</v>
      </c>
      <c r="AV535">
        <v>19079280</v>
      </c>
      <c r="AW535">
        <v>580015.92000000004</v>
      </c>
    </row>
    <row r="536" spans="1:49" hidden="1" x14ac:dyDescent="0.35">
      <c r="A536">
        <v>5820810</v>
      </c>
      <c r="B536">
        <v>1090005820801</v>
      </c>
      <c r="D536">
        <v>33709819769</v>
      </c>
      <c r="E536" t="s">
        <v>830</v>
      </c>
      <c r="F536" t="s">
        <v>1</v>
      </c>
      <c r="G536" t="s">
        <v>370</v>
      </c>
      <c r="H536" t="s">
        <v>58</v>
      </c>
      <c r="I536">
        <v>6333</v>
      </c>
      <c r="J536">
        <v>21</v>
      </c>
      <c r="K536" t="s">
        <v>33</v>
      </c>
      <c r="L536">
        <v>6127</v>
      </c>
      <c r="M536" t="s">
        <v>118</v>
      </c>
      <c r="N536">
        <v>4</v>
      </c>
      <c r="O536" t="s">
        <v>119</v>
      </c>
      <c r="P536" t="s">
        <v>954</v>
      </c>
      <c r="Q536">
        <v>822</v>
      </c>
      <c r="R536">
        <v>30000</v>
      </c>
      <c r="S536">
        <v>100</v>
      </c>
      <c r="T536">
        <v>300</v>
      </c>
      <c r="U536">
        <v>26</v>
      </c>
      <c r="V536">
        <v>1452</v>
      </c>
      <c r="W536" t="s">
        <v>121</v>
      </c>
      <c r="X536" t="s">
        <v>1</v>
      </c>
      <c r="Y536">
        <v>1193544</v>
      </c>
      <c r="Z536">
        <v>43560000</v>
      </c>
      <c r="AA536">
        <v>435600</v>
      </c>
      <c r="AB536">
        <v>211</v>
      </c>
      <c r="AC536" s="34">
        <v>45969</v>
      </c>
      <c r="AD536" s="34">
        <v>46173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 t="s">
        <v>122</v>
      </c>
      <c r="AT536">
        <v>18000</v>
      </c>
      <c r="AU536">
        <v>493.2</v>
      </c>
      <c r="AV536">
        <v>26136000</v>
      </c>
      <c r="AW536">
        <v>716126.4</v>
      </c>
    </row>
    <row r="537" spans="1:49" hidden="1" x14ac:dyDescent="0.35">
      <c r="A537">
        <v>5820810</v>
      </c>
      <c r="B537">
        <v>1090005820801</v>
      </c>
      <c r="D537">
        <v>33709819769</v>
      </c>
      <c r="E537" t="s">
        <v>830</v>
      </c>
      <c r="F537" t="s">
        <v>1</v>
      </c>
      <c r="G537" t="s">
        <v>370</v>
      </c>
      <c r="H537" t="s">
        <v>58</v>
      </c>
      <c r="I537">
        <v>6333</v>
      </c>
      <c r="J537">
        <v>21</v>
      </c>
      <c r="K537" t="s">
        <v>33</v>
      </c>
      <c r="L537">
        <v>6127</v>
      </c>
      <c r="M537" t="s">
        <v>118</v>
      </c>
      <c r="N537">
        <v>5</v>
      </c>
      <c r="O537" t="s">
        <v>119</v>
      </c>
      <c r="P537" t="s">
        <v>955</v>
      </c>
      <c r="Q537">
        <v>1331.64</v>
      </c>
      <c r="R537">
        <v>48600</v>
      </c>
      <c r="S537">
        <v>162</v>
      </c>
      <c r="T537">
        <v>300</v>
      </c>
      <c r="U537">
        <v>26</v>
      </c>
      <c r="V537">
        <v>1452</v>
      </c>
      <c r="W537" t="s">
        <v>121</v>
      </c>
      <c r="X537" t="s">
        <v>1</v>
      </c>
      <c r="Y537">
        <v>1933541.28</v>
      </c>
      <c r="Z537">
        <v>70567200</v>
      </c>
      <c r="AA537">
        <v>435600</v>
      </c>
      <c r="AB537">
        <v>211</v>
      </c>
      <c r="AC537" s="34">
        <v>45969</v>
      </c>
      <c r="AD537" s="34">
        <v>46173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 t="s">
        <v>122</v>
      </c>
      <c r="AT537">
        <v>29160</v>
      </c>
      <c r="AU537">
        <v>798.98</v>
      </c>
      <c r="AV537">
        <v>42340320</v>
      </c>
      <c r="AW537">
        <v>1160118.96</v>
      </c>
    </row>
    <row r="538" spans="1:49" hidden="1" x14ac:dyDescent="0.35">
      <c r="A538">
        <v>5820910</v>
      </c>
      <c r="B538">
        <v>1090005820901</v>
      </c>
      <c r="D538">
        <v>30717389405</v>
      </c>
      <c r="E538" t="s">
        <v>572</v>
      </c>
      <c r="F538" t="s">
        <v>1</v>
      </c>
      <c r="G538" t="s">
        <v>370</v>
      </c>
      <c r="H538" t="s">
        <v>58</v>
      </c>
      <c r="I538">
        <v>6333</v>
      </c>
      <c r="J538">
        <v>21</v>
      </c>
      <c r="K538" t="s">
        <v>33</v>
      </c>
      <c r="L538">
        <v>6127</v>
      </c>
      <c r="M538" t="s">
        <v>118</v>
      </c>
      <c r="N538">
        <v>1</v>
      </c>
      <c r="O538" t="s">
        <v>119</v>
      </c>
      <c r="P538" t="s">
        <v>955</v>
      </c>
      <c r="Q538">
        <v>1331.64</v>
      </c>
      <c r="R538">
        <v>48600</v>
      </c>
      <c r="S538">
        <v>162</v>
      </c>
      <c r="T538">
        <v>300</v>
      </c>
      <c r="U538">
        <v>26</v>
      </c>
      <c r="V538">
        <v>1452</v>
      </c>
      <c r="W538" t="s">
        <v>121</v>
      </c>
      <c r="X538" t="s">
        <v>1</v>
      </c>
      <c r="Y538">
        <v>1933541.28</v>
      </c>
      <c r="Z538">
        <v>70567200</v>
      </c>
      <c r="AA538">
        <v>435600</v>
      </c>
      <c r="AB538">
        <v>106</v>
      </c>
      <c r="AC538" s="34">
        <v>45969</v>
      </c>
      <c r="AD538" s="34">
        <v>46173</v>
      </c>
      <c r="AF538">
        <v>0</v>
      </c>
      <c r="AG538">
        <v>1331.64</v>
      </c>
      <c r="AH538">
        <v>0</v>
      </c>
      <c r="AI538">
        <v>1933541.28</v>
      </c>
      <c r="AJ538">
        <v>0</v>
      </c>
      <c r="AK538">
        <v>0</v>
      </c>
      <c r="AL538">
        <v>485316.48</v>
      </c>
      <c r="AM538">
        <v>0</v>
      </c>
      <c r="AN538">
        <v>2418857.7599999998</v>
      </c>
      <c r="AO538" t="s">
        <v>122</v>
      </c>
      <c r="AP538">
        <v>12</v>
      </c>
      <c r="AQ538">
        <v>159.80000000000001</v>
      </c>
      <c r="AR538">
        <v>232029.6</v>
      </c>
      <c r="AT538">
        <v>29160</v>
      </c>
      <c r="AU538">
        <v>798.98</v>
      </c>
      <c r="AV538">
        <v>42340320</v>
      </c>
      <c r="AW538">
        <v>1160118.96</v>
      </c>
    </row>
    <row r="539" spans="1:49" hidden="1" x14ac:dyDescent="0.35">
      <c r="A539">
        <v>5821010</v>
      </c>
      <c r="B539">
        <v>5010005821001</v>
      </c>
      <c r="D539">
        <v>30710337892</v>
      </c>
      <c r="E539" t="s">
        <v>956</v>
      </c>
      <c r="F539" t="s">
        <v>1</v>
      </c>
      <c r="G539" t="s">
        <v>23</v>
      </c>
      <c r="H539" t="s">
        <v>23</v>
      </c>
      <c r="I539">
        <v>6230</v>
      </c>
      <c r="J539">
        <v>1</v>
      </c>
      <c r="K539" t="s">
        <v>16</v>
      </c>
      <c r="L539">
        <v>11014</v>
      </c>
      <c r="M539" t="s">
        <v>232</v>
      </c>
      <c r="N539">
        <v>1</v>
      </c>
      <c r="O539" t="s">
        <v>125</v>
      </c>
      <c r="P539" t="s">
        <v>957</v>
      </c>
      <c r="Q539">
        <v>17380.12</v>
      </c>
      <c r="R539">
        <v>550003.69999999995</v>
      </c>
      <c r="S539">
        <v>745</v>
      </c>
      <c r="T539">
        <v>738.26</v>
      </c>
      <c r="U539">
        <v>26</v>
      </c>
      <c r="V539">
        <v>1452</v>
      </c>
      <c r="W539" t="s">
        <v>121</v>
      </c>
      <c r="X539" t="s">
        <v>1</v>
      </c>
      <c r="Y539">
        <v>25235934.239999998</v>
      </c>
      <c r="Z539">
        <v>798605372.39999998</v>
      </c>
      <c r="AA539">
        <v>1071953.52</v>
      </c>
      <c r="AB539">
        <v>106</v>
      </c>
      <c r="AC539" s="34">
        <v>45969</v>
      </c>
      <c r="AD539" s="34">
        <v>46022</v>
      </c>
      <c r="AF539">
        <v>0</v>
      </c>
      <c r="AG539">
        <v>17380.12</v>
      </c>
      <c r="AH539">
        <v>0</v>
      </c>
      <c r="AI539">
        <v>25235934.239999998</v>
      </c>
      <c r="AJ539">
        <v>0</v>
      </c>
      <c r="AK539">
        <v>0</v>
      </c>
      <c r="AL539">
        <v>5577146.5199999996</v>
      </c>
      <c r="AM539">
        <v>0</v>
      </c>
      <c r="AN539">
        <v>30813080.760000002</v>
      </c>
      <c r="AO539" t="s">
        <v>122</v>
      </c>
      <c r="AP539">
        <v>15</v>
      </c>
      <c r="AQ539">
        <v>2607.02</v>
      </c>
      <c r="AR539">
        <v>3785393.04</v>
      </c>
      <c r="AT539">
        <v>330002.21999999997</v>
      </c>
      <c r="AU539">
        <v>10428.07</v>
      </c>
      <c r="AV539">
        <v>479163223.44</v>
      </c>
      <c r="AW539">
        <v>15141557.640000001</v>
      </c>
    </row>
    <row r="540" spans="1:49" hidden="1" x14ac:dyDescent="0.35">
      <c r="A540">
        <v>5821110</v>
      </c>
      <c r="B540">
        <v>5010005821101</v>
      </c>
      <c r="D540">
        <v>30710337892</v>
      </c>
      <c r="E540" t="s">
        <v>956</v>
      </c>
      <c r="F540" t="s">
        <v>1</v>
      </c>
      <c r="G540" t="s">
        <v>432</v>
      </c>
      <c r="H540" t="s">
        <v>48</v>
      </c>
      <c r="I540">
        <v>6128</v>
      </c>
      <c r="J540">
        <v>3</v>
      </c>
      <c r="K540" t="s">
        <v>32</v>
      </c>
      <c r="L540">
        <v>11014</v>
      </c>
      <c r="M540" t="s">
        <v>232</v>
      </c>
      <c r="N540">
        <v>1</v>
      </c>
      <c r="O540" t="s">
        <v>125</v>
      </c>
      <c r="P540" t="s">
        <v>958</v>
      </c>
      <c r="Q540">
        <v>4272</v>
      </c>
      <c r="R540">
        <v>120000</v>
      </c>
      <c r="S540">
        <v>200</v>
      </c>
      <c r="T540">
        <v>600</v>
      </c>
      <c r="U540">
        <v>26</v>
      </c>
      <c r="V540">
        <v>1452</v>
      </c>
      <c r="W540" t="s">
        <v>121</v>
      </c>
      <c r="X540" t="s">
        <v>1</v>
      </c>
      <c r="Y540">
        <v>6202944</v>
      </c>
      <c r="Z540">
        <v>174240000</v>
      </c>
      <c r="AA540">
        <v>871200</v>
      </c>
      <c r="AB540">
        <v>106</v>
      </c>
      <c r="AC540" s="34">
        <v>45969</v>
      </c>
      <c r="AD540" s="34">
        <v>46022</v>
      </c>
      <c r="AF540">
        <v>0</v>
      </c>
      <c r="AG540">
        <v>4272</v>
      </c>
      <c r="AH540">
        <v>0</v>
      </c>
      <c r="AI540">
        <v>6202944</v>
      </c>
      <c r="AJ540">
        <v>0</v>
      </c>
      <c r="AK540">
        <v>0</v>
      </c>
      <c r="AL540">
        <v>1432877.16</v>
      </c>
      <c r="AM540">
        <v>0</v>
      </c>
      <c r="AN540">
        <v>7635821.1600000001</v>
      </c>
      <c r="AO540" t="s">
        <v>122</v>
      </c>
      <c r="AP540">
        <v>15</v>
      </c>
      <c r="AQ540">
        <v>640.79999999999995</v>
      </c>
      <c r="AR540">
        <v>930441.6</v>
      </c>
      <c r="AT540">
        <v>72000</v>
      </c>
      <c r="AU540">
        <v>2563.1999999999998</v>
      </c>
      <c r="AV540">
        <v>104544000</v>
      </c>
      <c r="AW540">
        <v>3721766.4</v>
      </c>
    </row>
    <row r="541" spans="1:49" hidden="1" x14ac:dyDescent="0.35">
      <c r="A541">
        <v>5821310</v>
      </c>
      <c r="B541">
        <v>1250005821301</v>
      </c>
      <c r="D541">
        <v>20294635425</v>
      </c>
      <c r="E541" t="s">
        <v>959</v>
      </c>
      <c r="F541" t="s">
        <v>1</v>
      </c>
      <c r="G541" t="s">
        <v>960</v>
      </c>
      <c r="H541" t="s">
        <v>49</v>
      </c>
      <c r="I541">
        <v>5815</v>
      </c>
      <c r="J541">
        <v>3</v>
      </c>
      <c r="K541" t="s">
        <v>32</v>
      </c>
      <c r="L541">
        <v>12031</v>
      </c>
      <c r="M541" t="s">
        <v>721</v>
      </c>
      <c r="N541">
        <v>1</v>
      </c>
      <c r="O541" t="s">
        <v>119</v>
      </c>
      <c r="P541" t="s">
        <v>961</v>
      </c>
      <c r="Q541">
        <v>7591320</v>
      </c>
      <c r="R541">
        <v>118800000</v>
      </c>
      <c r="S541">
        <v>200</v>
      </c>
      <c r="T541">
        <v>594000</v>
      </c>
      <c r="U541">
        <v>1</v>
      </c>
      <c r="V541">
        <v>1</v>
      </c>
      <c r="W541" t="s">
        <v>127</v>
      </c>
      <c r="X541">
        <v>29700</v>
      </c>
      <c r="Y541">
        <v>7591320</v>
      </c>
      <c r="Z541">
        <v>118800000</v>
      </c>
      <c r="AA541">
        <v>594000</v>
      </c>
      <c r="AB541">
        <v>105</v>
      </c>
      <c r="AC541" s="34">
        <v>45966</v>
      </c>
      <c r="AD541" s="34">
        <v>46173</v>
      </c>
      <c r="AF541">
        <v>0</v>
      </c>
      <c r="AG541">
        <v>9868716</v>
      </c>
      <c r="AH541">
        <v>0</v>
      </c>
      <c r="AI541">
        <v>9868716</v>
      </c>
      <c r="AJ541">
        <v>0</v>
      </c>
      <c r="AK541">
        <v>0</v>
      </c>
      <c r="AL541">
        <v>2575734.88</v>
      </c>
      <c r="AM541">
        <v>0</v>
      </c>
      <c r="AN541">
        <v>12444450.880000001</v>
      </c>
      <c r="AO541" t="s">
        <v>122</v>
      </c>
      <c r="AP541">
        <v>10</v>
      </c>
      <c r="AQ541">
        <v>986871.6</v>
      </c>
      <c r="AR541">
        <v>986871.6</v>
      </c>
      <c r="AT541">
        <v>71280000</v>
      </c>
      <c r="AU541">
        <v>4554792</v>
      </c>
      <c r="AV541">
        <v>71280000</v>
      </c>
      <c r="AW541">
        <v>4554792</v>
      </c>
    </row>
    <row r="542" spans="1:49" hidden="1" x14ac:dyDescent="0.35">
      <c r="A542">
        <v>5821310</v>
      </c>
      <c r="B542">
        <v>1250005821301</v>
      </c>
      <c r="D542">
        <v>20294635425</v>
      </c>
      <c r="E542" t="s">
        <v>959</v>
      </c>
      <c r="F542" t="s">
        <v>1</v>
      </c>
      <c r="G542" t="s">
        <v>960</v>
      </c>
      <c r="H542" t="s">
        <v>49</v>
      </c>
      <c r="I542">
        <v>5815</v>
      </c>
      <c r="J542">
        <v>3</v>
      </c>
      <c r="K542" t="s">
        <v>32</v>
      </c>
      <c r="L542">
        <v>12031</v>
      </c>
      <c r="M542" t="s">
        <v>721</v>
      </c>
      <c r="N542">
        <v>2</v>
      </c>
      <c r="O542" t="s">
        <v>119</v>
      </c>
      <c r="P542" t="s">
        <v>962</v>
      </c>
      <c r="Q542">
        <v>1328481</v>
      </c>
      <c r="R542">
        <v>20790000</v>
      </c>
      <c r="S542">
        <v>35</v>
      </c>
      <c r="T542">
        <v>594000</v>
      </c>
      <c r="U542">
        <v>1</v>
      </c>
      <c r="V542">
        <v>1</v>
      </c>
      <c r="W542" t="s">
        <v>127</v>
      </c>
      <c r="X542">
        <v>29700</v>
      </c>
      <c r="Y542">
        <v>1328481</v>
      </c>
      <c r="Z542">
        <v>20790000</v>
      </c>
      <c r="AA542">
        <v>594000</v>
      </c>
      <c r="AB542">
        <v>105</v>
      </c>
      <c r="AC542" s="34">
        <v>45966</v>
      </c>
      <c r="AD542" s="34">
        <v>46173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 t="s">
        <v>122</v>
      </c>
      <c r="AT542">
        <v>12474000</v>
      </c>
      <c r="AU542">
        <v>797088.6</v>
      </c>
      <c r="AV542">
        <v>12474000</v>
      </c>
      <c r="AW542">
        <v>797088.6</v>
      </c>
    </row>
    <row r="543" spans="1:49" hidden="1" x14ac:dyDescent="0.35">
      <c r="A543">
        <v>5821310</v>
      </c>
      <c r="B543">
        <v>1250005821301</v>
      </c>
      <c r="D543">
        <v>20294635425</v>
      </c>
      <c r="E543" t="s">
        <v>959</v>
      </c>
      <c r="F543" t="s">
        <v>1</v>
      </c>
      <c r="G543" t="s">
        <v>960</v>
      </c>
      <c r="H543" t="s">
        <v>49</v>
      </c>
      <c r="I543">
        <v>5815</v>
      </c>
      <c r="J543">
        <v>3</v>
      </c>
      <c r="K543" t="s">
        <v>32</v>
      </c>
      <c r="L543">
        <v>12031</v>
      </c>
      <c r="M543" t="s">
        <v>721</v>
      </c>
      <c r="N543">
        <v>3</v>
      </c>
      <c r="O543" t="s">
        <v>119</v>
      </c>
      <c r="P543" t="s">
        <v>963</v>
      </c>
      <c r="Q543">
        <v>948915</v>
      </c>
      <c r="R543">
        <v>14850000</v>
      </c>
      <c r="S543">
        <v>25</v>
      </c>
      <c r="T543">
        <v>594000</v>
      </c>
      <c r="U543">
        <v>1</v>
      </c>
      <c r="V543">
        <v>1</v>
      </c>
      <c r="W543" t="s">
        <v>127</v>
      </c>
      <c r="X543">
        <v>29700</v>
      </c>
      <c r="Y543">
        <v>948915</v>
      </c>
      <c r="Z543">
        <v>14850000</v>
      </c>
      <c r="AA543">
        <v>594000</v>
      </c>
      <c r="AB543">
        <v>105</v>
      </c>
      <c r="AC543" s="34">
        <v>45966</v>
      </c>
      <c r="AD543" s="34">
        <v>46173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 t="s">
        <v>122</v>
      </c>
      <c r="AT543">
        <v>8910000</v>
      </c>
      <c r="AU543">
        <v>569349</v>
      </c>
      <c r="AV543">
        <v>8910000</v>
      </c>
      <c r="AW543">
        <v>569349</v>
      </c>
    </row>
    <row r="544" spans="1:49" hidden="1" x14ac:dyDescent="0.35">
      <c r="A544">
        <v>5821410</v>
      </c>
      <c r="B544">
        <v>1250005821401</v>
      </c>
      <c r="D544">
        <v>20320129533</v>
      </c>
      <c r="E544" t="s">
        <v>964</v>
      </c>
      <c r="F544" t="s">
        <v>1</v>
      </c>
      <c r="G544" t="s">
        <v>960</v>
      </c>
      <c r="H544" t="s">
        <v>49</v>
      </c>
      <c r="I544">
        <v>5815</v>
      </c>
      <c r="J544">
        <v>3</v>
      </c>
      <c r="K544" t="s">
        <v>32</v>
      </c>
      <c r="L544">
        <v>12031</v>
      </c>
      <c r="M544" t="s">
        <v>721</v>
      </c>
      <c r="N544">
        <v>1</v>
      </c>
      <c r="O544" t="s">
        <v>119</v>
      </c>
      <c r="P544" t="s">
        <v>965</v>
      </c>
      <c r="Q544">
        <v>4554792</v>
      </c>
      <c r="R544">
        <v>71280000</v>
      </c>
      <c r="S544">
        <v>120</v>
      </c>
      <c r="T544">
        <v>594000</v>
      </c>
      <c r="U544">
        <v>1</v>
      </c>
      <c r="V544">
        <v>1</v>
      </c>
      <c r="W544" t="s">
        <v>127</v>
      </c>
      <c r="X544">
        <v>29700</v>
      </c>
      <c r="Y544">
        <v>4554792</v>
      </c>
      <c r="Z544">
        <v>71280000</v>
      </c>
      <c r="AA544">
        <v>594000</v>
      </c>
      <c r="AB544">
        <v>105</v>
      </c>
      <c r="AC544" s="34">
        <v>45966</v>
      </c>
      <c r="AD544" s="34">
        <v>46173</v>
      </c>
      <c r="AF544">
        <v>1</v>
      </c>
      <c r="AG544">
        <v>4554792</v>
      </c>
      <c r="AH544">
        <v>0</v>
      </c>
      <c r="AI544">
        <v>4554792</v>
      </c>
      <c r="AJ544">
        <v>0</v>
      </c>
      <c r="AK544">
        <v>0</v>
      </c>
      <c r="AL544">
        <v>1188800.71</v>
      </c>
      <c r="AM544">
        <v>0</v>
      </c>
      <c r="AN544">
        <v>5743592.71</v>
      </c>
      <c r="AO544" t="s">
        <v>122</v>
      </c>
      <c r="AP544">
        <v>10</v>
      </c>
      <c r="AQ544">
        <v>455479.2</v>
      </c>
      <c r="AR544">
        <v>455479.2</v>
      </c>
      <c r="AT544">
        <v>42768000</v>
      </c>
      <c r="AU544">
        <v>2732875.2</v>
      </c>
      <c r="AV544">
        <v>42768000</v>
      </c>
      <c r="AW544">
        <v>2732875.2</v>
      </c>
    </row>
    <row r="545" spans="1:49" hidden="1" x14ac:dyDescent="0.35">
      <c r="A545">
        <v>5821610</v>
      </c>
      <c r="B545">
        <v>1250005821601</v>
      </c>
      <c r="D545">
        <v>20205669354</v>
      </c>
      <c r="E545" t="s">
        <v>966</v>
      </c>
      <c r="F545" t="s">
        <v>1</v>
      </c>
      <c r="G545" t="s">
        <v>49</v>
      </c>
      <c r="H545" t="s">
        <v>49</v>
      </c>
      <c r="I545">
        <v>5800</v>
      </c>
      <c r="J545">
        <v>3</v>
      </c>
      <c r="K545" t="s">
        <v>32</v>
      </c>
      <c r="L545">
        <v>12031</v>
      </c>
      <c r="M545" t="s">
        <v>721</v>
      </c>
      <c r="N545">
        <v>1</v>
      </c>
      <c r="O545" t="s">
        <v>119</v>
      </c>
      <c r="P545" t="s">
        <v>967</v>
      </c>
      <c r="Q545">
        <v>1850384.25</v>
      </c>
      <c r="R545">
        <v>28957500</v>
      </c>
      <c r="S545">
        <v>65</v>
      </c>
      <c r="T545">
        <v>445500</v>
      </c>
      <c r="U545">
        <v>1</v>
      </c>
      <c r="V545">
        <v>1</v>
      </c>
      <c r="W545" t="s">
        <v>127</v>
      </c>
      <c r="X545">
        <v>29700</v>
      </c>
      <c r="Y545">
        <v>1850384.25</v>
      </c>
      <c r="Z545">
        <v>28957500</v>
      </c>
      <c r="AA545">
        <v>445500</v>
      </c>
      <c r="AB545">
        <v>105</v>
      </c>
      <c r="AC545" s="34">
        <v>45967</v>
      </c>
      <c r="AD545" s="34">
        <v>46173</v>
      </c>
      <c r="AF545">
        <v>0</v>
      </c>
      <c r="AG545">
        <v>6262839</v>
      </c>
      <c r="AH545">
        <v>0</v>
      </c>
      <c r="AI545">
        <v>6262839</v>
      </c>
      <c r="AJ545">
        <v>0</v>
      </c>
      <c r="AK545">
        <v>0</v>
      </c>
      <c r="AL545">
        <v>1634600.98</v>
      </c>
      <c r="AM545">
        <v>0</v>
      </c>
      <c r="AN545">
        <v>7897439.9800000004</v>
      </c>
      <c r="AO545" t="s">
        <v>122</v>
      </c>
      <c r="AP545">
        <v>10</v>
      </c>
      <c r="AQ545">
        <v>626283.9</v>
      </c>
      <c r="AR545">
        <v>626283.9</v>
      </c>
      <c r="AT545">
        <v>17374500</v>
      </c>
      <c r="AU545">
        <v>1110230.55</v>
      </c>
      <c r="AV545">
        <v>17374500</v>
      </c>
      <c r="AW545">
        <v>1110230.55</v>
      </c>
    </row>
    <row r="546" spans="1:49" hidden="1" x14ac:dyDescent="0.35">
      <c r="A546">
        <v>5821610</v>
      </c>
      <c r="B546">
        <v>1250005821601</v>
      </c>
      <c r="D546">
        <v>20205669354</v>
      </c>
      <c r="E546" t="s">
        <v>966</v>
      </c>
      <c r="F546" t="s">
        <v>1</v>
      </c>
      <c r="G546" t="s">
        <v>49</v>
      </c>
      <c r="H546" t="s">
        <v>49</v>
      </c>
      <c r="I546">
        <v>5800</v>
      </c>
      <c r="J546">
        <v>3</v>
      </c>
      <c r="K546" t="s">
        <v>32</v>
      </c>
      <c r="L546">
        <v>12031</v>
      </c>
      <c r="M546" t="s">
        <v>721</v>
      </c>
      <c r="N546">
        <v>2</v>
      </c>
      <c r="O546" t="s">
        <v>119</v>
      </c>
      <c r="P546" t="s">
        <v>968</v>
      </c>
      <c r="Q546">
        <v>683218.8</v>
      </c>
      <c r="R546">
        <v>10692000</v>
      </c>
      <c r="S546">
        <v>24</v>
      </c>
      <c r="T546">
        <v>445500</v>
      </c>
      <c r="U546">
        <v>1</v>
      </c>
      <c r="V546">
        <v>1</v>
      </c>
      <c r="W546" t="s">
        <v>127</v>
      </c>
      <c r="X546">
        <v>29700</v>
      </c>
      <c r="Y546">
        <v>683218.8</v>
      </c>
      <c r="Z546">
        <v>10692000</v>
      </c>
      <c r="AA546">
        <v>445500</v>
      </c>
      <c r="AB546">
        <v>105</v>
      </c>
      <c r="AC546" s="34">
        <v>45967</v>
      </c>
      <c r="AD546" s="34">
        <v>46173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 t="s">
        <v>122</v>
      </c>
      <c r="AT546">
        <v>6415200</v>
      </c>
      <c r="AU546">
        <v>409931.28</v>
      </c>
      <c r="AV546">
        <v>6415200</v>
      </c>
      <c r="AW546">
        <v>409931.28</v>
      </c>
    </row>
    <row r="547" spans="1:49" hidden="1" x14ac:dyDescent="0.35">
      <c r="A547">
        <v>5821610</v>
      </c>
      <c r="B547">
        <v>1250005821601</v>
      </c>
      <c r="D547">
        <v>20205669354</v>
      </c>
      <c r="E547" t="s">
        <v>966</v>
      </c>
      <c r="F547" t="s">
        <v>1</v>
      </c>
      <c r="G547" t="s">
        <v>49</v>
      </c>
      <c r="H547" t="s">
        <v>49</v>
      </c>
      <c r="I547">
        <v>5800</v>
      </c>
      <c r="J547">
        <v>3</v>
      </c>
      <c r="K547" t="s">
        <v>32</v>
      </c>
      <c r="L547">
        <v>12031</v>
      </c>
      <c r="M547" t="s">
        <v>721</v>
      </c>
      <c r="N547">
        <v>3</v>
      </c>
      <c r="O547" t="s">
        <v>119</v>
      </c>
      <c r="P547" t="s">
        <v>969</v>
      </c>
      <c r="Q547">
        <v>768621.15</v>
      </c>
      <c r="R547">
        <v>12028500</v>
      </c>
      <c r="S547">
        <v>27</v>
      </c>
      <c r="T547">
        <v>445500</v>
      </c>
      <c r="U547">
        <v>1</v>
      </c>
      <c r="V547">
        <v>1</v>
      </c>
      <c r="W547" t="s">
        <v>127</v>
      </c>
      <c r="X547">
        <v>29700</v>
      </c>
      <c r="Y547">
        <v>768621.15</v>
      </c>
      <c r="Z547">
        <v>12028500</v>
      </c>
      <c r="AA547">
        <v>445500</v>
      </c>
      <c r="AB547">
        <v>105</v>
      </c>
      <c r="AC547" s="34">
        <v>45967</v>
      </c>
      <c r="AD547" s="34">
        <v>46173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 t="s">
        <v>122</v>
      </c>
      <c r="AT547">
        <v>7217100</v>
      </c>
      <c r="AU547">
        <v>461172.69</v>
      </c>
      <c r="AV547">
        <v>7217100</v>
      </c>
      <c r="AW547">
        <v>461172.69</v>
      </c>
    </row>
    <row r="548" spans="1:49" hidden="1" x14ac:dyDescent="0.35">
      <c r="A548">
        <v>5821610</v>
      </c>
      <c r="B548">
        <v>1250005821601</v>
      </c>
      <c r="D548">
        <v>20205669354</v>
      </c>
      <c r="E548" t="s">
        <v>966</v>
      </c>
      <c r="F548" t="s">
        <v>1</v>
      </c>
      <c r="G548" t="s">
        <v>49</v>
      </c>
      <c r="H548" t="s">
        <v>49</v>
      </c>
      <c r="I548">
        <v>5800</v>
      </c>
      <c r="J548">
        <v>3</v>
      </c>
      <c r="K548" t="s">
        <v>32</v>
      </c>
      <c r="L548">
        <v>12031</v>
      </c>
      <c r="M548" t="s">
        <v>721</v>
      </c>
      <c r="N548">
        <v>4</v>
      </c>
      <c r="O548" t="s">
        <v>119</v>
      </c>
      <c r="P548" t="s">
        <v>970</v>
      </c>
      <c r="Q548">
        <v>1821916.8</v>
      </c>
      <c r="R548">
        <v>28512000</v>
      </c>
      <c r="S548">
        <v>64</v>
      </c>
      <c r="T548">
        <v>445500</v>
      </c>
      <c r="U548">
        <v>1</v>
      </c>
      <c r="V548">
        <v>1</v>
      </c>
      <c r="W548" t="s">
        <v>127</v>
      </c>
      <c r="X548">
        <v>29700</v>
      </c>
      <c r="Y548">
        <v>1821916.8</v>
      </c>
      <c r="Z548">
        <v>28512000</v>
      </c>
      <c r="AA548">
        <v>445500</v>
      </c>
      <c r="AB548">
        <v>105</v>
      </c>
      <c r="AC548" s="34">
        <v>45967</v>
      </c>
      <c r="AD548" s="34">
        <v>46173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 t="s">
        <v>122</v>
      </c>
      <c r="AT548">
        <v>17107200</v>
      </c>
      <c r="AU548">
        <v>1093150.08</v>
      </c>
      <c r="AV548">
        <v>17107200</v>
      </c>
      <c r="AW548">
        <v>1093150.08</v>
      </c>
    </row>
    <row r="549" spans="1:49" hidden="1" x14ac:dyDescent="0.35">
      <c r="A549">
        <v>5821610</v>
      </c>
      <c r="B549">
        <v>1250005821601</v>
      </c>
      <c r="D549">
        <v>20205669354</v>
      </c>
      <c r="E549" t="s">
        <v>966</v>
      </c>
      <c r="F549" t="s">
        <v>1</v>
      </c>
      <c r="G549" t="s">
        <v>49</v>
      </c>
      <c r="H549" t="s">
        <v>49</v>
      </c>
      <c r="I549">
        <v>5800</v>
      </c>
      <c r="J549">
        <v>3</v>
      </c>
      <c r="K549" t="s">
        <v>32</v>
      </c>
      <c r="L549">
        <v>12031</v>
      </c>
      <c r="M549" t="s">
        <v>721</v>
      </c>
      <c r="N549">
        <v>5</v>
      </c>
      <c r="O549" t="s">
        <v>119</v>
      </c>
      <c r="P549" t="s">
        <v>971</v>
      </c>
      <c r="Q549">
        <v>569349</v>
      </c>
      <c r="R549">
        <v>8910000</v>
      </c>
      <c r="S549">
        <v>20</v>
      </c>
      <c r="T549">
        <v>445500</v>
      </c>
      <c r="U549">
        <v>1</v>
      </c>
      <c r="V549">
        <v>1</v>
      </c>
      <c r="W549" t="s">
        <v>127</v>
      </c>
      <c r="X549">
        <v>29700</v>
      </c>
      <c r="Y549">
        <v>569349</v>
      </c>
      <c r="Z549">
        <v>8910000</v>
      </c>
      <c r="AA549">
        <v>445500</v>
      </c>
      <c r="AB549">
        <v>105</v>
      </c>
      <c r="AC549" s="34">
        <v>45967</v>
      </c>
      <c r="AD549" s="34">
        <v>46173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 t="s">
        <v>122</v>
      </c>
      <c r="AT549">
        <v>5346000</v>
      </c>
      <c r="AU549">
        <v>341609.4</v>
      </c>
      <c r="AV549">
        <v>5346000</v>
      </c>
      <c r="AW549">
        <v>341609.4</v>
      </c>
    </row>
    <row r="550" spans="1:49" hidden="1" x14ac:dyDescent="0.35">
      <c r="A550">
        <v>5821610</v>
      </c>
      <c r="B550">
        <v>1250005821601</v>
      </c>
      <c r="D550">
        <v>20205669354</v>
      </c>
      <c r="E550" t="s">
        <v>966</v>
      </c>
      <c r="F550" t="s">
        <v>1</v>
      </c>
      <c r="G550" t="s">
        <v>49</v>
      </c>
      <c r="H550" t="s">
        <v>49</v>
      </c>
      <c r="I550">
        <v>5800</v>
      </c>
      <c r="J550">
        <v>3</v>
      </c>
      <c r="K550" t="s">
        <v>32</v>
      </c>
      <c r="L550">
        <v>12031</v>
      </c>
      <c r="M550" t="s">
        <v>721</v>
      </c>
      <c r="N550">
        <v>6</v>
      </c>
      <c r="O550" t="s">
        <v>119</v>
      </c>
      <c r="P550" t="s">
        <v>972</v>
      </c>
      <c r="Q550">
        <v>569349</v>
      </c>
      <c r="R550">
        <v>8910000</v>
      </c>
      <c r="S550">
        <v>20</v>
      </c>
      <c r="T550">
        <v>445500</v>
      </c>
      <c r="U550">
        <v>1</v>
      </c>
      <c r="V550">
        <v>1</v>
      </c>
      <c r="W550" t="s">
        <v>127</v>
      </c>
      <c r="X550">
        <v>29700</v>
      </c>
      <c r="Y550">
        <v>569349</v>
      </c>
      <c r="Z550">
        <v>8910000</v>
      </c>
      <c r="AA550">
        <v>445500</v>
      </c>
      <c r="AB550">
        <v>105</v>
      </c>
      <c r="AC550" s="34">
        <v>45967</v>
      </c>
      <c r="AD550" s="34">
        <v>46173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 t="s">
        <v>122</v>
      </c>
      <c r="AT550">
        <v>5346000</v>
      </c>
      <c r="AU550">
        <v>341609.4</v>
      </c>
      <c r="AV550">
        <v>5346000</v>
      </c>
      <c r="AW550">
        <v>341609.4</v>
      </c>
    </row>
    <row r="551" spans="1:49" hidden="1" x14ac:dyDescent="0.35">
      <c r="A551">
        <v>5821910</v>
      </c>
      <c r="B551">
        <v>1090005821901</v>
      </c>
      <c r="D551">
        <v>20243320403</v>
      </c>
      <c r="E551" t="s">
        <v>973</v>
      </c>
      <c r="F551" t="s">
        <v>1</v>
      </c>
      <c r="G551" t="s">
        <v>19</v>
      </c>
      <c r="H551" t="s">
        <v>19</v>
      </c>
      <c r="I551">
        <v>6430</v>
      </c>
      <c r="J551">
        <v>1</v>
      </c>
      <c r="K551" t="s">
        <v>16</v>
      </c>
      <c r="L551">
        <v>9371</v>
      </c>
      <c r="M551" t="s">
        <v>581</v>
      </c>
      <c r="N551">
        <v>1</v>
      </c>
      <c r="O551" t="s">
        <v>119</v>
      </c>
      <c r="P551" t="s">
        <v>974</v>
      </c>
      <c r="Q551">
        <v>573.75</v>
      </c>
      <c r="R551">
        <v>21250</v>
      </c>
      <c r="S551">
        <v>85</v>
      </c>
      <c r="T551">
        <v>250</v>
      </c>
      <c r="U551">
        <v>26</v>
      </c>
      <c r="V551">
        <v>1415</v>
      </c>
      <c r="W551" t="s">
        <v>121</v>
      </c>
      <c r="X551" t="s">
        <v>1</v>
      </c>
      <c r="Y551">
        <v>811856.25</v>
      </c>
      <c r="Z551">
        <v>30068750</v>
      </c>
      <c r="AA551">
        <v>353750</v>
      </c>
      <c r="AB551">
        <v>106</v>
      </c>
      <c r="AC551" s="34">
        <v>45972</v>
      </c>
      <c r="AD551" s="34">
        <v>46112</v>
      </c>
      <c r="AF551">
        <v>0</v>
      </c>
      <c r="AG551">
        <v>573.75</v>
      </c>
      <c r="AH551">
        <v>0</v>
      </c>
      <c r="AI551">
        <v>811856.25</v>
      </c>
      <c r="AJ551">
        <v>0</v>
      </c>
      <c r="AK551">
        <v>0</v>
      </c>
      <c r="AL551">
        <v>203774.15</v>
      </c>
      <c r="AM551">
        <v>0</v>
      </c>
      <c r="AN551">
        <v>1015630.4</v>
      </c>
      <c r="AO551" t="s">
        <v>122</v>
      </c>
      <c r="AP551">
        <v>10.000999999999999</v>
      </c>
      <c r="AQ551">
        <v>57.38</v>
      </c>
      <c r="AR551">
        <v>81192.7</v>
      </c>
      <c r="AT551">
        <v>12750</v>
      </c>
      <c r="AU551">
        <v>344.25</v>
      </c>
      <c r="AV551">
        <v>18041250</v>
      </c>
      <c r="AW551">
        <v>487113.75</v>
      </c>
    </row>
    <row r="552" spans="1:49" hidden="1" x14ac:dyDescent="0.35">
      <c r="A552">
        <v>5822010</v>
      </c>
      <c r="B552">
        <v>1090005822001</v>
      </c>
      <c r="D552">
        <v>20255089979</v>
      </c>
      <c r="E552" t="s">
        <v>975</v>
      </c>
      <c r="F552" t="s">
        <v>1</v>
      </c>
      <c r="G552" t="s">
        <v>19</v>
      </c>
      <c r="H552" t="s">
        <v>19</v>
      </c>
      <c r="I552">
        <v>6430</v>
      </c>
      <c r="J552">
        <v>1</v>
      </c>
      <c r="K552" t="s">
        <v>16</v>
      </c>
      <c r="L552">
        <v>9371</v>
      </c>
      <c r="M552" t="s">
        <v>581</v>
      </c>
      <c r="N552">
        <v>1</v>
      </c>
      <c r="O552" t="s">
        <v>119</v>
      </c>
      <c r="P552" t="s">
        <v>974</v>
      </c>
      <c r="Q552">
        <v>573.75</v>
      </c>
      <c r="R552">
        <v>21250</v>
      </c>
      <c r="S552">
        <v>85</v>
      </c>
      <c r="T552">
        <v>250</v>
      </c>
      <c r="U552">
        <v>26</v>
      </c>
      <c r="V552">
        <v>1415</v>
      </c>
      <c r="W552" t="s">
        <v>121</v>
      </c>
      <c r="X552" t="s">
        <v>1</v>
      </c>
      <c r="Y552">
        <v>811856.25</v>
      </c>
      <c r="Z552">
        <v>30068750</v>
      </c>
      <c r="AA552">
        <v>353750</v>
      </c>
      <c r="AB552">
        <v>106</v>
      </c>
      <c r="AC552" s="34">
        <v>45972</v>
      </c>
      <c r="AD552" s="34">
        <v>46112</v>
      </c>
      <c r="AF552">
        <v>0</v>
      </c>
      <c r="AG552">
        <v>573.75</v>
      </c>
      <c r="AH552">
        <v>0</v>
      </c>
      <c r="AI552">
        <v>811856.25</v>
      </c>
      <c r="AJ552">
        <v>0</v>
      </c>
      <c r="AK552">
        <v>0</v>
      </c>
      <c r="AL552">
        <v>203774.15</v>
      </c>
      <c r="AM552">
        <v>0</v>
      </c>
      <c r="AN552">
        <v>1015630.4</v>
      </c>
      <c r="AO552" t="s">
        <v>122</v>
      </c>
      <c r="AP552">
        <v>10.000999999999999</v>
      </c>
      <c r="AQ552">
        <v>57.38</v>
      </c>
      <c r="AR552">
        <v>81192.7</v>
      </c>
      <c r="AT552">
        <v>12750</v>
      </c>
      <c r="AU552">
        <v>344.25</v>
      </c>
      <c r="AV552">
        <v>18041250</v>
      </c>
      <c r="AW552">
        <v>487113.75</v>
      </c>
    </row>
    <row r="553" spans="1:49" hidden="1" x14ac:dyDescent="0.35">
      <c r="A553">
        <v>5822110</v>
      </c>
      <c r="B553">
        <v>1090005822101</v>
      </c>
      <c r="D553">
        <v>20121850835</v>
      </c>
      <c r="E553" t="s">
        <v>976</v>
      </c>
      <c r="F553" t="s">
        <v>1</v>
      </c>
      <c r="G553" t="s">
        <v>19</v>
      </c>
      <c r="H553" t="s">
        <v>19</v>
      </c>
      <c r="I553">
        <v>6430</v>
      </c>
      <c r="J553">
        <v>1</v>
      </c>
      <c r="K553" t="s">
        <v>16</v>
      </c>
      <c r="L553">
        <v>6127</v>
      </c>
      <c r="M553" t="s">
        <v>118</v>
      </c>
      <c r="N553">
        <v>1</v>
      </c>
      <c r="O553" t="s">
        <v>119</v>
      </c>
      <c r="P553" t="s">
        <v>977</v>
      </c>
      <c r="Q553">
        <v>2882.25</v>
      </c>
      <c r="R553">
        <v>91500</v>
      </c>
      <c r="S553">
        <v>183</v>
      </c>
      <c r="T553">
        <v>500</v>
      </c>
      <c r="U553">
        <v>26</v>
      </c>
      <c r="V553">
        <v>1413</v>
      </c>
      <c r="W553" t="s">
        <v>121</v>
      </c>
      <c r="X553" t="s">
        <v>1</v>
      </c>
      <c r="Y553">
        <v>4072619.25</v>
      </c>
      <c r="Z553">
        <v>129289500</v>
      </c>
      <c r="AA553">
        <v>706500</v>
      </c>
      <c r="AB553">
        <v>211</v>
      </c>
      <c r="AC553" s="34">
        <v>45971</v>
      </c>
      <c r="AD553" s="34">
        <v>46112</v>
      </c>
      <c r="AF553">
        <v>0</v>
      </c>
      <c r="AG553">
        <v>2882.25</v>
      </c>
      <c r="AH553">
        <v>0</v>
      </c>
      <c r="AI553">
        <v>4072619.25</v>
      </c>
      <c r="AJ553">
        <v>0</v>
      </c>
      <c r="AK553">
        <v>0</v>
      </c>
      <c r="AL553">
        <v>1022220.72</v>
      </c>
      <c r="AM553">
        <v>0</v>
      </c>
      <c r="AN553">
        <v>5094839.97</v>
      </c>
      <c r="AO553" t="s">
        <v>122</v>
      </c>
      <c r="AP553">
        <v>12</v>
      </c>
      <c r="AQ553">
        <v>345.87</v>
      </c>
      <c r="AR553">
        <v>488714.31</v>
      </c>
      <c r="AT553">
        <v>54900</v>
      </c>
      <c r="AU553">
        <v>1729.35</v>
      </c>
      <c r="AV553">
        <v>77573700</v>
      </c>
      <c r="AW553">
        <v>2443571.5499999998</v>
      </c>
    </row>
    <row r="554" spans="1:49" hidden="1" x14ac:dyDescent="0.35">
      <c r="A554">
        <v>5822210</v>
      </c>
      <c r="B554">
        <v>1250005822201</v>
      </c>
      <c r="D554">
        <v>20227383578</v>
      </c>
      <c r="E554" t="s">
        <v>978</v>
      </c>
      <c r="F554" t="s">
        <v>1</v>
      </c>
      <c r="G554" t="s">
        <v>979</v>
      </c>
      <c r="H554" t="s">
        <v>51</v>
      </c>
      <c r="I554">
        <v>5933</v>
      </c>
      <c r="J554">
        <v>3</v>
      </c>
      <c r="K554" t="s">
        <v>32</v>
      </c>
      <c r="L554">
        <v>6435</v>
      </c>
      <c r="M554" t="s">
        <v>175</v>
      </c>
      <c r="N554">
        <v>1</v>
      </c>
      <c r="O554" t="s">
        <v>119</v>
      </c>
      <c r="P554" t="s">
        <v>980</v>
      </c>
      <c r="Q554">
        <v>505197</v>
      </c>
      <c r="R554">
        <v>9355500</v>
      </c>
      <c r="S554">
        <v>63</v>
      </c>
      <c r="T554">
        <v>148500</v>
      </c>
      <c r="U554">
        <v>1</v>
      </c>
      <c r="V554">
        <v>1</v>
      </c>
      <c r="W554" t="s">
        <v>127</v>
      </c>
      <c r="X554">
        <v>29700</v>
      </c>
      <c r="Y554">
        <v>505197</v>
      </c>
      <c r="Z554">
        <v>9355500</v>
      </c>
      <c r="AA554">
        <v>148500</v>
      </c>
      <c r="AB554">
        <v>105</v>
      </c>
      <c r="AC554" s="34">
        <v>45968</v>
      </c>
      <c r="AD554" s="34">
        <v>46173</v>
      </c>
      <c r="AF554">
        <v>0</v>
      </c>
      <c r="AG554">
        <v>505197</v>
      </c>
      <c r="AH554">
        <v>0</v>
      </c>
      <c r="AI554">
        <v>505197</v>
      </c>
      <c r="AJ554">
        <v>0</v>
      </c>
      <c r="AK554">
        <v>0</v>
      </c>
      <c r="AL554">
        <v>131856.42000000001</v>
      </c>
      <c r="AM554">
        <v>0</v>
      </c>
      <c r="AN554">
        <v>637053.42000000004</v>
      </c>
      <c r="AO554" t="s">
        <v>122</v>
      </c>
      <c r="AP554">
        <v>15</v>
      </c>
      <c r="AQ554">
        <v>75779.55</v>
      </c>
      <c r="AR554">
        <v>75779.55</v>
      </c>
      <c r="AT554">
        <v>5613300</v>
      </c>
      <c r="AU554">
        <v>303118.2</v>
      </c>
      <c r="AV554">
        <v>5613300</v>
      </c>
      <c r="AW554">
        <v>303118.2</v>
      </c>
    </row>
    <row r="555" spans="1:49" hidden="1" x14ac:dyDescent="0.35">
      <c r="A555">
        <v>5822410</v>
      </c>
      <c r="B555">
        <v>1250005822401</v>
      </c>
      <c r="D555">
        <v>20117887201</v>
      </c>
      <c r="E555" t="s">
        <v>136</v>
      </c>
      <c r="F555" t="s">
        <v>1</v>
      </c>
      <c r="G555" t="s">
        <v>131</v>
      </c>
      <c r="H555" t="s">
        <v>23</v>
      </c>
      <c r="I555">
        <v>6105</v>
      </c>
      <c r="J555">
        <v>1</v>
      </c>
      <c r="K555" t="s">
        <v>16</v>
      </c>
      <c r="L555">
        <v>4401</v>
      </c>
      <c r="M555" t="s">
        <v>132</v>
      </c>
      <c r="N555">
        <v>1</v>
      </c>
      <c r="O555" t="s">
        <v>119</v>
      </c>
      <c r="P555" t="s">
        <v>981</v>
      </c>
      <c r="Q555">
        <v>4563</v>
      </c>
      <c r="R555">
        <v>101400</v>
      </c>
      <c r="S555">
        <v>169</v>
      </c>
      <c r="T555">
        <v>600</v>
      </c>
      <c r="U555">
        <v>26</v>
      </c>
      <c r="V555">
        <v>1413</v>
      </c>
      <c r="W555" t="s">
        <v>121</v>
      </c>
      <c r="X555" t="s">
        <v>1</v>
      </c>
      <c r="Y555">
        <v>6447519</v>
      </c>
      <c r="Z555">
        <v>143278200</v>
      </c>
      <c r="AA555">
        <v>847800</v>
      </c>
      <c r="AB555">
        <v>106</v>
      </c>
      <c r="AC555" s="34">
        <v>45971</v>
      </c>
      <c r="AD555" s="34">
        <v>46173</v>
      </c>
      <c r="AF555">
        <v>0</v>
      </c>
      <c r="AG555">
        <v>4563</v>
      </c>
      <c r="AH555">
        <v>0</v>
      </c>
      <c r="AI555">
        <v>6447519</v>
      </c>
      <c r="AJ555">
        <v>0</v>
      </c>
      <c r="AK555">
        <v>0</v>
      </c>
      <c r="AL555">
        <v>1618337.16</v>
      </c>
      <c r="AM555">
        <v>0</v>
      </c>
      <c r="AN555">
        <v>8065856.1600000001</v>
      </c>
      <c r="AO555" t="s">
        <v>122</v>
      </c>
      <c r="AP555">
        <v>15</v>
      </c>
      <c r="AQ555">
        <v>684.45</v>
      </c>
      <c r="AR555">
        <v>967127.85</v>
      </c>
      <c r="AT555">
        <v>60840</v>
      </c>
      <c r="AU555">
        <v>2737.8</v>
      </c>
      <c r="AV555">
        <v>85966920</v>
      </c>
      <c r="AW555">
        <v>3868511.4</v>
      </c>
    </row>
    <row r="556" spans="1:49" hidden="1" x14ac:dyDescent="0.35">
      <c r="A556">
        <v>5822510</v>
      </c>
      <c r="B556">
        <v>1250005822501</v>
      </c>
      <c r="D556">
        <v>20168087633</v>
      </c>
      <c r="E556" t="s">
        <v>130</v>
      </c>
      <c r="F556" t="s">
        <v>1</v>
      </c>
      <c r="G556" t="s">
        <v>131</v>
      </c>
      <c r="H556" t="s">
        <v>23</v>
      </c>
      <c r="I556">
        <v>6105</v>
      </c>
      <c r="J556">
        <v>1</v>
      </c>
      <c r="K556" t="s">
        <v>16</v>
      </c>
      <c r="L556">
        <v>4401</v>
      </c>
      <c r="M556" t="s">
        <v>132</v>
      </c>
      <c r="N556">
        <v>1</v>
      </c>
      <c r="O556" t="s">
        <v>119</v>
      </c>
      <c r="P556" t="s">
        <v>982</v>
      </c>
      <c r="Q556">
        <v>2281.5</v>
      </c>
      <c r="R556">
        <v>50700</v>
      </c>
      <c r="S556">
        <v>169</v>
      </c>
      <c r="T556">
        <v>300</v>
      </c>
      <c r="U556">
        <v>26</v>
      </c>
      <c r="V556">
        <v>1413</v>
      </c>
      <c r="W556" t="s">
        <v>121</v>
      </c>
      <c r="X556" t="s">
        <v>1</v>
      </c>
      <c r="Y556">
        <v>3223759.5</v>
      </c>
      <c r="Z556">
        <v>71639100</v>
      </c>
      <c r="AA556">
        <v>423900</v>
      </c>
      <c r="AB556">
        <v>106</v>
      </c>
      <c r="AC556" s="34">
        <v>45971</v>
      </c>
      <c r="AD556" s="34">
        <v>46173</v>
      </c>
      <c r="AF556">
        <v>0</v>
      </c>
      <c r="AG556">
        <v>2281.5</v>
      </c>
      <c r="AH556">
        <v>0</v>
      </c>
      <c r="AI556">
        <v>3223759.5</v>
      </c>
      <c r="AJ556">
        <v>0</v>
      </c>
      <c r="AK556">
        <v>0</v>
      </c>
      <c r="AL556">
        <v>809182.71</v>
      </c>
      <c r="AM556">
        <v>0</v>
      </c>
      <c r="AN556">
        <v>4032942.21</v>
      </c>
      <c r="AO556" t="s">
        <v>122</v>
      </c>
      <c r="AP556">
        <v>15</v>
      </c>
      <c r="AQ556">
        <v>342.23</v>
      </c>
      <c r="AR556">
        <v>483570.99</v>
      </c>
      <c r="AT556">
        <v>30420</v>
      </c>
      <c r="AU556">
        <v>1368.9</v>
      </c>
      <c r="AV556">
        <v>42983460</v>
      </c>
      <c r="AW556">
        <v>1934255.7</v>
      </c>
    </row>
    <row r="557" spans="1:49" hidden="1" x14ac:dyDescent="0.35">
      <c r="A557">
        <v>5822610</v>
      </c>
      <c r="B557">
        <v>1250005822601</v>
      </c>
      <c r="D557">
        <v>20231871935</v>
      </c>
      <c r="E557" t="s">
        <v>307</v>
      </c>
      <c r="F557" t="s">
        <v>1</v>
      </c>
      <c r="G557" t="s">
        <v>131</v>
      </c>
      <c r="H557" t="s">
        <v>23</v>
      </c>
      <c r="I557">
        <v>6105</v>
      </c>
      <c r="J557">
        <v>1</v>
      </c>
      <c r="K557" t="s">
        <v>16</v>
      </c>
      <c r="L557">
        <v>4401</v>
      </c>
      <c r="M557" t="s">
        <v>132</v>
      </c>
      <c r="N557">
        <v>1</v>
      </c>
      <c r="O557" t="s">
        <v>119</v>
      </c>
      <c r="P557" t="s">
        <v>983</v>
      </c>
      <c r="Q557">
        <v>2283840</v>
      </c>
      <c r="R557">
        <v>62400000</v>
      </c>
      <c r="S557">
        <v>48</v>
      </c>
      <c r="T557">
        <v>1300000</v>
      </c>
      <c r="U557">
        <v>1</v>
      </c>
      <c r="V557">
        <v>1</v>
      </c>
      <c r="W557" t="s">
        <v>121</v>
      </c>
      <c r="X557" t="s">
        <v>1</v>
      </c>
      <c r="Y557">
        <v>2283840</v>
      </c>
      <c r="Z557">
        <v>62400000</v>
      </c>
      <c r="AA557">
        <v>1300000</v>
      </c>
      <c r="AB557">
        <v>210</v>
      </c>
      <c r="AC557" s="34">
        <v>45971</v>
      </c>
      <c r="AD557" s="34">
        <v>46142</v>
      </c>
      <c r="AF557">
        <v>0</v>
      </c>
      <c r="AG557">
        <v>2283840</v>
      </c>
      <c r="AH557">
        <v>0</v>
      </c>
      <c r="AI557">
        <v>2283840</v>
      </c>
      <c r="AJ557">
        <v>0</v>
      </c>
      <c r="AK557">
        <v>0</v>
      </c>
      <c r="AL557">
        <v>573243.84</v>
      </c>
      <c r="AM557">
        <v>0</v>
      </c>
      <c r="AN557">
        <v>2857083.84</v>
      </c>
      <c r="AO557" t="s">
        <v>122</v>
      </c>
      <c r="AP557">
        <v>15</v>
      </c>
      <c r="AQ557">
        <v>342576</v>
      </c>
      <c r="AR557">
        <v>342576</v>
      </c>
      <c r="AT557">
        <v>37440000</v>
      </c>
      <c r="AU557">
        <v>1370304</v>
      </c>
      <c r="AV557">
        <v>37440000</v>
      </c>
      <c r="AW557">
        <v>1370304</v>
      </c>
    </row>
    <row r="558" spans="1:49" hidden="1" x14ac:dyDescent="0.35">
      <c r="A558">
        <v>5822710</v>
      </c>
      <c r="B558">
        <v>1250005822701</v>
      </c>
      <c r="D558">
        <v>20231871935</v>
      </c>
      <c r="E558" t="s">
        <v>307</v>
      </c>
      <c r="F558" t="s">
        <v>1</v>
      </c>
      <c r="G558" t="s">
        <v>131</v>
      </c>
      <c r="H558" t="s">
        <v>23</v>
      </c>
      <c r="I558">
        <v>6105</v>
      </c>
      <c r="J558">
        <v>1</v>
      </c>
      <c r="K558" t="s">
        <v>16</v>
      </c>
      <c r="L558">
        <v>4401</v>
      </c>
      <c r="M558" t="s">
        <v>132</v>
      </c>
      <c r="N558">
        <v>1</v>
      </c>
      <c r="O558" t="s">
        <v>119</v>
      </c>
      <c r="P558" t="s">
        <v>984</v>
      </c>
      <c r="Q558">
        <v>1680000</v>
      </c>
      <c r="R558">
        <v>42000000</v>
      </c>
      <c r="S558">
        <v>40</v>
      </c>
      <c r="T558">
        <v>1050000</v>
      </c>
      <c r="U558">
        <v>1</v>
      </c>
      <c r="V558">
        <v>1</v>
      </c>
      <c r="W558" t="s">
        <v>121</v>
      </c>
      <c r="X558" t="s">
        <v>1</v>
      </c>
      <c r="Y558">
        <v>1680000</v>
      </c>
      <c r="Z558">
        <v>42000000</v>
      </c>
      <c r="AA558">
        <v>1050000</v>
      </c>
      <c r="AB558">
        <v>211</v>
      </c>
      <c r="AC558" s="34">
        <v>45971</v>
      </c>
      <c r="AD558" s="34">
        <v>46112</v>
      </c>
      <c r="AF558">
        <v>0</v>
      </c>
      <c r="AG558">
        <v>1680000</v>
      </c>
      <c r="AH558">
        <v>0</v>
      </c>
      <c r="AI558">
        <v>1680000</v>
      </c>
      <c r="AJ558">
        <v>0</v>
      </c>
      <c r="AK558">
        <v>0</v>
      </c>
      <c r="AL558">
        <v>421680</v>
      </c>
      <c r="AM558">
        <v>0</v>
      </c>
      <c r="AN558">
        <v>2101680</v>
      </c>
      <c r="AO558" t="s">
        <v>122</v>
      </c>
      <c r="AP558">
        <v>15</v>
      </c>
      <c r="AQ558">
        <v>252000</v>
      </c>
      <c r="AR558">
        <v>252000</v>
      </c>
      <c r="AT558">
        <v>25200000</v>
      </c>
      <c r="AU558">
        <v>1008000</v>
      </c>
      <c r="AV558">
        <v>25200000</v>
      </c>
      <c r="AW558">
        <v>1008000</v>
      </c>
    </row>
    <row r="559" spans="1:49" hidden="1" x14ac:dyDescent="0.35">
      <c r="A559">
        <v>5822810</v>
      </c>
      <c r="B559">
        <v>1250005822801</v>
      </c>
      <c r="D559">
        <v>20231871935</v>
      </c>
      <c r="E559" t="s">
        <v>307</v>
      </c>
      <c r="F559" t="s">
        <v>1</v>
      </c>
      <c r="G559" t="s">
        <v>131</v>
      </c>
      <c r="H559" t="s">
        <v>23</v>
      </c>
      <c r="I559">
        <v>6105</v>
      </c>
      <c r="J559">
        <v>1</v>
      </c>
      <c r="K559" t="s">
        <v>16</v>
      </c>
      <c r="L559">
        <v>4401</v>
      </c>
      <c r="M559" t="s">
        <v>132</v>
      </c>
      <c r="N559">
        <v>1</v>
      </c>
      <c r="O559" t="s">
        <v>119</v>
      </c>
      <c r="P559" t="s">
        <v>985</v>
      </c>
      <c r="Q559">
        <v>768600</v>
      </c>
      <c r="R559">
        <v>21000000</v>
      </c>
      <c r="S559">
        <v>20</v>
      </c>
      <c r="T559">
        <v>1050000</v>
      </c>
      <c r="U559">
        <v>1</v>
      </c>
      <c r="V559">
        <v>1</v>
      </c>
      <c r="W559" t="s">
        <v>121</v>
      </c>
      <c r="X559" t="s">
        <v>1</v>
      </c>
      <c r="Y559">
        <v>768600</v>
      </c>
      <c r="Z559">
        <v>21000000</v>
      </c>
      <c r="AA559">
        <v>1050000</v>
      </c>
      <c r="AB559">
        <v>105</v>
      </c>
      <c r="AC559" s="34">
        <v>45971</v>
      </c>
      <c r="AD559" s="34">
        <v>46173</v>
      </c>
      <c r="AF559">
        <v>0</v>
      </c>
      <c r="AG559">
        <v>768600</v>
      </c>
      <c r="AH559">
        <v>0</v>
      </c>
      <c r="AI559">
        <v>768600</v>
      </c>
      <c r="AJ559">
        <v>0</v>
      </c>
      <c r="AK559">
        <v>0</v>
      </c>
      <c r="AL559">
        <v>192918.6</v>
      </c>
      <c r="AM559">
        <v>0</v>
      </c>
      <c r="AN559">
        <v>961518.6</v>
      </c>
      <c r="AO559" t="s">
        <v>122</v>
      </c>
      <c r="AP559">
        <v>15</v>
      </c>
      <c r="AQ559">
        <v>115290</v>
      </c>
      <c r="AR559">
        <v>115290</v>
      </c>
      <c r="AT559">
        <v>12600000</v>
      </c>
      <c r="AU559">
        <v>461160</v>
      </c>
      <c r="AV559">
        <v>12600000</v>
      </c>
      <c r="AW559">
        <v>461160</v>
      </c>
    </row>
    <row r="560" spans="1:49" hidden="1" x14ac:dyDescent="0.35">
      <c r="A560">
        <v>5822910</v>
      </c>
      <c r="B560">
        <v>1250005822901</v>
      </c>
      <c r="D560">
        <v>30710243332</v>
      </c>
      <c r="E560" t="s">
        <v>986</v>
      </c>
      <c r="F560" t="s">
        <v>1</v>
      </c>
      <c r="G560" t="s">
        <v>987</v>
      </c>
      <c r="H560" t="s">
        <v>48</v>
      </c>
      <c r="I560">
        <v>6134</v>
      </c>
      <c r="J560">
        <v>3</v>
      </c>
      <c r="K560" t="s">
        <v>32</v>
      </c>
      <c r="L560">
        <v>4401</v>
      </c>
      <c r="M560" t="s">
        <v>132</v>
      </c>
      <c r="N560">
        <v>1</v>
      </c>
      <c r="O560" t="s">
        <v>119</v>
      </c>
      <c r="P560" t="s">
        <v>988</v>
      </c>
      <c r="Q560">
        <v>3240</v>
      </c>
      <c r="R560">
        <v>90000</v>
      </c>
      <c r="S560">
        <v>100</v>
      </c>
      <c r="T560">
        <v>900</v>
      </c>
      <c r="U560">
        <v>26</v>
      </c>
      <c r="V560">
        <v>1413</v>
      </c>
      <c r="W560" t="s">
        <v>121</v>
      </c>
      <c r="X560" t="s">
        <v>1</v>
      </c>
      <c r="Y560">
        <v>4578120</v>
      </c>
      <c r="Z560">
        <v>127170000</v>
      </c>
      <c r="AA560">
        <v>1271700</v>
      </c>
      <c r="AB560">
        <v>210</v>
      </c>
      <c r="AC560" s="34">
        <v>45971</v>
      </c>
      <c r="AD560" s="34">
        <v>46142</v>
      </c>
      <c r="AE560" t="s">
        <v>161</v>
      </c>
      <c r="AF560">
        <v>0</v>
      </c>
      <c r="AG560">
        <v>11988</v>
      </c>
      <c r="AH560">
        <v>0</v>
      </c>
      <c r="AI560">
        <v>16939044</v>
      </c>
      <c r="AJ560">
        <v>0</v>
      </c>
      <c r="AK560">
        <v>0</v>
      </c>
      <c r="AL560">
        <v>4421093.3099999996</v>
      </c>
      <c r="AM560">
        <v>0</v>
      </c>
      <c r="AN560">
        <v>21360137.309999999</v>
      </c>
      <c r="AO560" t="s">
        <v>122</v>
      </c>
      <c r="AP560">
        <v>15</v>
      </c>
      <c r="AQ560">
        <v>1798.2</v>
      </c>
      <c r="AR560">
        <v>2540856.6</v>
      </c>
      <c r="AT560">
        <v>54000</v>
      </c>
      <c r="AU560">
        <v>1944</v>
      </c>
      <c r="AV560">
        <v>76302000</v>
      </c>
      <c r="AW560">
        <v>2746872</v>
      </c>
    </row>
    <row r="561" spans="1:49" hidden="1" x14ac:dyDescent="0.35">
      <c r="A561">
        <v>5822910</v>
      </c>
      <c r="B561">
        <v>1250005822901</v>
      </c>
      <c r="D561">
        <v>30710243332</v>
      </c>
      <c r="E561" t="s">
        <v>986</v>
      </c>
      <c r="F561" t="s">
        <v>1</v>
      </c>
      <c r="G561" t="s">
        <v>282</v>
      </c>
      <c r="H561" t="s">
        <v>48</v>
      </c>
      <c r="I561">
        <v>6125</v>
      </c>
      <c r="J561">
        <v>3</v>
      </c>
      <c r="K561" t="s">
        <v>32</v>
      </c>
      <c r="L561">
        <v>4401</v>
      </c>
      <c r="M561" t="s">
        <v>132</v>
      </c>
      <c r="N561">
        <v>2</v>
      </c>
      <c r="O561" t="s">
        <v>119</v>
      </c>
      <c r="P561" t="s">
        <v>989</v>
      </c>
      <c r="Q561">
        <v>2916</v>
      </c>
      <c r="R561">
        <v>81000</v>
      </c>
      <c r="S561">
        <v>90</v>
      </c>
      <c r="T561">
        <v>900</v>
      </c>
      <c r="U561">
        <v>26</v>
      </c>
      <c r="V561">
        <v>1413</v>
      </c>
      <c r="W561" t="s">
        <v>121</v>
      </c>
      <c r="X561" t="s">
        <v>1</v>
      </c>
      <c r="Y561">
        <v>4120308</v>
      </c>
      <c r="Z561">
        <v>114453000</v>
      </c>
      <c r="AA561">
        <v>1271700</v>
      </c>
      <c r="AB561">
        <v>210</v>
      </c>
      <c r="AC561" s="34">
        <v>45971</v>
      </c>
      <c r="AD561" s="34">
        <v>46142</v>
      </c>
      <c r="AE561" t="s">
        <v>161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 t="s">
        <v>122</v>
      </c>
      <c r="AT561">
        <v>48600</v>
      </c>
      <c r="AU561">
        <v>1749.6</v>
      </c>
      <c r="AV561">
        <v>68671800</v>
      </c>
      <c r="AW561">
        <v>2472184.7999999998</v>
      </c>
    </row>
    <row r="562" spans="1:49" hidden="1" x14ac:dyDescent="0.35">
      <c r="A562">
        <v>5822910</v>
      </c>
      <c r="B562">
        <v>1250005822901</v>
      </c>
      <c r="D562">
        <v>30710243332</v>
      </c>
      <c r="E562" t="s">
        <v>986</v>
      </c>
      <c r="F562" t="s">
        <v>1</v>
      </c>
      <c r="G562" t="s">
        <v>457</v>
      </c>
      <c r="H562" t="s">
        <v>48</v>
      </c>
      <c r="I562">
        <v>6128</v>
      </c>
      <c r="J562">
        <v>3</v>
      </c>
      <c r="K562" t="s">
        <v>32</v>
      </c>
      <c r="L562">
        <v>4401</v>
      </c>
      <c r="M562" t="s">
        <v>132</v>
      </c>
      <c r="N562">
        <v>3</v>
      </c>
      <c r="O562" t="s">
        <v>119</v>
      </c>
      <c r="P562" t="s">
        <v>990</v>
      </c>
      <c r="Q562">
        <v>1134</v>
      </c>
      <c r="R562">
        <v>31500</v>
      </c>
      <c r="S562">
        <v>35</v>
      </c>
      <c r="T562">
        <v>900</v>
      </c>
      <c r="U562">
        <v>26</v>
      </c>
      <c r="V562">
        <v>1413</v>
      </c>
      <c r="W562" t="s">
        <v>121</v>
      </c>
      <c r="X562" t="s">
        <v>1</v>
      </c>
      <c r="Y562">
        <v>1602342</v>
      </c>
      <c r="Z562">
        <v>44509500</v>
      </c>
      <c r="AA562">
        <v>1271700</v>
      </c>
      <c r="AB562">
        <v>210</v>
      </c>
      <c r="AC562" s="34">
        <v>45971</v>
      </c>
      <c r="AD562" s="34">
        <v>46142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 t="s">
        <v>122</v>
      </c>
      <c r="AT562">
        <v>18900</v>
      </c>
      <c r="AU562">
        <v>680.4</v>
      </c>
      <c r="AV562">
        <v>26705700</v>
      </c>
      <c r="AW562">
        <v>961405.2</v>
      </c>
    </row>
    <row r="563" spans="1:49" hidden="1" x14ac:dyDescent="0.35">
      <c r="A563">
        <v>5822910</v>
      </c>
      <c r="B563">
        <v>1250005822901</v>
      </c>
      <c r="D563">
        <v>30710243332</v>
      </c>
      <c r="E563" t="s">
        <v>986</v>
      </c>
      <c r="F563" t="s">
        <v>1</v>
      </c>
      <c r="G563" t="s">
        <v>457</v>
      </c>
      <c r="H563" t="s">
        <v>48</v>
      </c>
      <c r="I563">
        <v>6128</v>
      </c>
      <c r="J563">
        <v>3</v>
      </c>
      <c r="K563" t="s">
        <v>32</v>
      </c>
      <c r="L563">
        <v>4401</v>
      </c>
      <c r="M563" t="s">
        <v>132</v>
      </c>
      <c r="N563">
        <v>4</v>
      </c>
      <c r="O563" t="s">
        <v>119</v>
      </c>
      <c r="P563" t="s">
        <v>991</v>
      </c>
      <c r="Q563">
        <v>4698</v>
      </c>
      <c r="R563">
        <v>130500</v>
      </c>
      <c r="S563">
        <v>145</v>
      </c>
      <c r="T563">
        <v>900</v>
      </c>
      <c r="U563">
        <v>26</v>
      </c>
      <c r="V563">
        <v>1413</v>
      </c>
      <c r="W563" t="s">
        <v>121</v>
      </c>
      <c r="X563" t="s">
        <v>1</v>
      </c>
      <c r="Y563">
        <v>6638274</v>
      </c>
      <c r="Z563">
        <v>184396500</v>
      </c>
      <c r="AA563">
        <v>1271700</v>
      </c>
      <c r="AB563">
        <v>210</v>
      </c>
      <c r="AC563" s="34">
        <v>45971</v>
      </c>
      <c r="AD563" s="34">
        <v>46142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 t="s">
        <v>122</v>
      </c>
      <c r="AT563">
        <v>78300</v>
      </c>
      <c r="AU563">
        <v>2818.8</v>
      </c>
      <c r="AV563">
        <v>110637900</v>
      </c>
      <c r="AW563">
        <v>3982964.4</v>
      </c>
    </row>
    <row r="564" spans="1:49" hidden="1" x14ac:dyDescent="0.35">
      <c r="A564">
        <v>5823010</v>
      </c>
      <c r="B564">
        <v>1250005823001</v>
      </c>
      <c r="D564">
        <v>30518936405</v>
      </c>
      <c r="E564" t="s">
        <v>281</v>
      </c>
      <c r="F564" t="s">
        <v>1</v>
      </c>
      <c r="G564" t="s">
        <v>282</v>
      </c>
      <c r="H564" t="s">
        <v>48</v>
      </c>
      <c r="I564">
        <v>6125</v>
      </c>
      <c r="J564">
        <v>3</v>
      </c>
      <c r="K564" t="s">
        <v>32</v>
      </c>
      <c r="L564">
        <v>4401</v>
      </c>
      <c r="M564" t="s">
        <v>132</v>
      </c>
      <c r="N564">
        <v>1</v>
      </c>
      <c r="O564" t="s">
        <v>119</v>
      </c>
      <c r="P564" t="s">
        <v>992</v>
      </c>
      <c r="Q564">
        <v>1293.5999999999999</v>
      </c>
      <c r="R564">
        <v>39200</v>
      </c>
      <c r="S564">
        <v>98</v>
      </c>
      <c r="T564">
        <v>400</v>
      </c>
      <c r="U564">
        <v>26</v>
      </c>
      <c r="V564">
        <v>1413</v>
      </c>
      <c r="W564" t="s">
        <v>121</v>
      </c>
      <c r="X564" t="s">
        <v>1</v>
      </c>
      <c r="Y564">
        <v>1827856.8</v>
      </c>
      <c r="Z564">
        <v>55389600</v>
      </c>
      <c r="AA564">
        <v>565200</v>
      </c>
      <c r="AB564">
        <v>106</v>
      </c>
      <c r="AC564" s="34">
        <v>45973</v>
      </c>
      <c r="AD564" s="34">
        <v>46173</v>
      </c>
      <c r="AF564">
        <v>0</v>
      </c>
      <c r="AG564">
        <v>6162.75</v>
      </c>
      <c r="AH564">
        <v>0</v>
      </c>
      <c r="AI564">
        <v>8707965.75</v>
      </c>
      <c r="AJ564">
        <v>0</v>
      </c>
      <c r="AK564">
        <v>0</v>
      </c>
      <c r="AL564">
        <v>2272782.2400000002</v>
      </c>
      <c r="AM564">
        <v>0</v>
      </c>
      <c r="AN564">
        <v>10980747.99</v>
      </c>
      <c r="AO564" t="s">
        <v>122</v>
      </c>
      <c r="AP564">
        <v>15</v>
      </c>
      <c r="AQ564">
        <v>924.41</v>
      </c>
      <c r="AR564">
        <v>1306191.33</v>
      </c>
      <c r="AT564">
        <v>23520</v>
      </c>
      <c r="AU564">
        <v>776.16</v>
      </c>
      <c r="AV564">
        <v>33233760</v>
      </c>
      <c r="AW564">
        <v>1096714.08</v>
      </c>
    </row>
    <row r="565" spans="1:49" hidden="1" x14ac:dyDescent="0.35">
      <c r="A565">
        <v>5823010</v>
      </c>
      <c r="B565">
        <v>1250005823001</v>
      </c>
      <c r="D565">
        <v>30518936405</v>
      </c>
      <c r="E565" t="s">
        <v>281</v>
      </c>
      <c r="F565" t="s">
        <v>1</v>
      </c>
      <c r="G565" t="s">
        <v>282</v>
      </c>
      <c r="H565" t="s">
        <v>48</v>
      </c>
      <c r="I565">
        <v>6125</v>
      </c>
      <c r="J565">
        <v>3</v>
      </c>
      <c r="K565" t="s">
        <v>32</v>
      </c>
      <c r="L565">
        <v>4401</v>
      </c>
      <c r="M565" t="s">
        <v>132</v>
      </c>
      <c r="N565">
        <v>2</v>
      </c>
      <c r="O565" t="s">
        <v>119</v>
      </c>
      <c r="P565" t="s">
        <v>993</v>
      </c>
      <c r="Q565">
        <v>4869.1499999999996</v>
      </c>
      <c r="R565">
        <v>147550</v>
      </c>
      <c r="S565">
        <v>227</v>
      </c>
      <c r="T565">
        <v>650</v>
      </c>
      <c r="U565">
        <v>26</v>
      </c>
      <c r="V565">
        <v>1413</v>
      </c>
      <c r="W565" t="s">
        <v>121</v>
      </c>
      <c r="X565" t="s">
        <v>1</v>
      </c>
      <c r="Y565">
        <v>6880108.9500000002</v>
      </c>
      <c r="Z565">
        <v>208488150</v>
      </c>
      <c r="AA565">
        <v>918450</v>
      </c>
      <c r="AB565">
        <v>106</v>
      </c>
      <c r="AC565" s="34">
        <v>45973</v>
      </c>
      <c r="AD565" s="34">
        <v>46173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 t="s">
        <v>122</v>
      </c>
      <c r="AT565">
        <v>88530</v>
      </c>
      <c r="AU565">
        <v>2921.49</v>
      </c>
      <c r="AV565">
        <v>125092890</v>
      </c>
      <c r="AW565">
        <v>4128065.37</v>
      </c>
    </row>
    <row r="566" spans="1:49" hidden="1" x14ac:dyDescent="0.35">
      <c r="A566">
        <v>5823110</v>
      </c>
      <c r="B566">
        <v>1250005823101</v>
      </c>
      <c r="D566">
        <v>30518936405</v>
      </c>
      <c r="E566" t="s">
        <v>281</v>
      </c>
      <c r="F566" t="s">
        <v>1</v>
      </c>
      <c r="G566" t="s">
        <v>282</v>
      </c>
      <c r="H566" t="s">
        <v>48</v>
      </c>
      <c r="I566">
        <v>6125</v>
      </c>
      <c r="J566">
        <v>3</v>
      </c>
      <c r="K566" t="s">
        <v>32</v>
      </c>
      <c r="L566">
        <v>4401</v>
      </c>
      <c r="M566" t="s">
        <v>132</v>
      </c>
      <c r="N566">
        <v>1</v>
      </c>
      <c r="O566" t="s">
        <v>119</v>
      </c>
      <c r="P566" t="s">
        <v>994</v>
      </c>
      <c r="Q566">
        <v>1456</v>
      </c>
      <c r="R566">
        <v>28000</v>
      </c>
      <c r="S566">
        <v>140</v>
      </c>
      <c r="T566">
        <v>200</v>
      </c>
      <c r="U566">
        <v>26</v>
      </c>
      <c r="V566">
        <v>1413</v>
      </c>
      <c r="W566" t="s">
        <v>121</v>
      </c>
      <c r="X566" t="s">
        <v>1</v>
      </c>
      <c r="Y566">
        <v>2057328</v>
      </c>
      <c r="Z566">
        <v>39564000</v>
      </c>
      <c r="AA566">
        <v>282600</v>
      </c>
      <c r="AB566">
        <v>211</v>
      </c>
      <c r="AC566" s="34">
        <v>45973</v>
      </c>
      <c r="AD566" s="34">
        <v>46112</v>
      </c>
      <c r="AF566">
        <v>0</v>
      </c>
      <c r="AG566">
        <v>1456</v>
      </c>
      <c r="AH566">
        <v>0</v>
      </c>
      <c r="AI566">
        <v>2057328</v>
      </c>
      <c r="AJ566">
        <v>0</v>
      </c>
      <c r="AK566">
        <v>0</v>
      </c>
      <c r="AL566">
        <v>536968.26</v>
      </c>
      <c r="AM566">
        <v>0</v>
      </c>
      <c r="AN566">
        <v>2594296.2599999998</v>
      </c>
      <c r="AO566" t="s">
        <v>122</v>
      </c>
      <c r="AP566">
        <v>15</v>
      </c>
      <c r="AQ566">
        <v>218.4</v>
      </c>
      <c r="AR566">
        <v>308599.2</v>
      </c>
      <c r="AT566">
        <v>16800</v>
      </c>
      <c r="AU566">
        <v>873.6</v>
      </c>
      <c r="AV566">
        <v>23738400</v>
      </c>
      <c r="AW566">
        <v>1234396.8</v>
      </c>
    </row>
    <row r="567" spans="1:49" hidden="1" x14ac:dyDescent="0.35">
      <c r="A567">
        <v>5823210</v>
      </c>
      <c r="B567">
        <v>5010005823201</v>
      </c>
      <c r="D567">
        <v>20250254831</v>
      </c>
      <c r="E567" t="s">
        <v>995</v>
      </c>
      <c r="F567" t="s">
        <v>1</v>
      </c>
      <c r="G567" t="s">
        <v>17</v>
      </c>
      <c r="H567" t="s">
        <v>17</v>
      </c>
      <c r="I567">
        <v>6500</v>
      </c>
      <c r="J567">
        <v>1</v>
      </c>
      <c r="K567" t="s">
        <v>16</v>
      </c>
      <c r="L567">
        <v>11014</v>
      </c>
      <c r="M567" t="s">
        <v>232</v>
      </c>
      <c r="N567">
        <v>1</v>
      </c>
      <c r="O567" t="s">
        <v>125</v>
      </c>
      <c r="P567" t="s">
        <v>996</v>
      </c>
      <c r="Q567">
        <v>405052.83</v>
      </c>
      <c r="R567">
        <v>16398900</v>
      </c>
      <c r="S567">
        <v>19</v>
      </c>
      <c r="T567">
        <v>863100</v>
      </c>
      <c r="U567">
        <v>1</v>
      </c>
      <c r="V567">
        <v>1</v>
      </c>
      <c r="W567" t="s">
        <v>127</v>
      </c>
      <c r="X567">
        <v>24660</v>
      </c>
      <c r="Y567">
        <v>405052.83</v>
      </c>
      <c r="Z567">
        <v>16398900</v>
      </c>
      <c r="AA567">
        <v>863100</v>
      </c>
      <c r="AB567">
        <v>105</v>
      </c>
      <c r="AC567" s="34">
        <v>45972</v>
      </c>
      <c r="AD567" s="34">
        <v>46022</v>
      </c>
      <c r="AF567">
        <v>0</v>
      </c>
      <c r="AG567">
        <v>405052.83</v>
      </c>
      <c r="AH567">
        <v>0</v>
      </c>
      <c r="AI567">
        <v>405052.83</v>
      </c>
      <c r="AJ567">
        <v>0</v>
      </c>
      <c r="AK567">
        <v>0</v>
      </c>
      <c r="AL567">
        <v>101668.27</v>
      </c>
      <c r="AM567">
        <v>0</v>
      </c>
      <c r="AN567">
        <v>506721.1</v>
      </c>
      <c r="AO567" t="s">
        <v>122</v>
      </c>
      <c r="AP567">
        <v>15</v>
      </c>
      <c r="AQ567">
        <v>60757.93</v>
      </c>
      <c r="AR567">
        <v>60757.93</v>
      </c>
      <c r="AT567">
        <v>9839340</v>
      </c>
      <c r="AU567">
        <v>243031.7</v>
      </c>
      <c r="AV567">
        <v>9839340</v>
      </c>
      <c r="AW567">
        <v>243031.7</v>
      </c>
    </row>
    <row r="568" spans="1:49" hidden="1" x14ac:dyDescent="0.35">
      <c r="A568">
        <v>5823310</v>
      </c>
      <c r="B568">
        <v>1090005823301</v>
      </c>
      <c r="D568">
        <v>20254637611</v>
      </c>
      <c r="E568" t="s">
        <v>997</v>
      </c>
      <c r="F568" t="s">
        <v>1</v>
      </c>
      <c r="G568" t="s">
        <v>56</v>
      </c>
      <c r="H568" t="s">
        <v>56</v>
      </c>
      <c r="I568">
        <v>6381</v>
      </c>
      <c r="J568">
        <v>21</v>
      </c>
      <c r="K568" t="s">
        <v>33</v>
      </c>
      <c r="L568">
        <v>82963</v>
      </c>
      <c r="M568" t="s">
        <v>396</v>
      </c>
      <c r="N568">
        <v>1</v>
      </c>
      <c r="O568" t="s">
        <v>119</v>
      </c>
      <c r="P568" t="s">
        <v>998</v>
      </c>
      <c r="Q568">
        <v>1411.2</v>
      </c>
      <c r="R568">
        <v>44800</v>
      </c>
      <c r="S568">
        <v>112</v>
      </c>
      <c r="T568">
        <v>400</v>
      </c>
      <c r="U568">
        <v>26</v>
      </c>
      <c r="V568">
        <v>1413</v>
      </c>
      <c r="W568" t="s">
        <v>121</v>
      </c>
      <c r="X568" t="s">
        <v>1</v>
      </c>
      <c r="Y568">
        <v>1994025.6</v>
      </c>
      <c r="Z568">
        <v>63302400</v>
      </c>
      <c r="AA568">
        <v>565200</v>
      </c>
      <c r="AB568">
        <v>106</v>
      </c>
      <c r="AC568" s="34">
        <v>45971</v>
      </c>
      <c r="AD568" s="34">
        <v>46112</v>
      </c>
      <c r="AE568" t="s">
        <v>161</v>
      </c>
      <c r="AF568">
        <v>0</v>
      </c>
      <c r="AG568">
        <v>7219.8</v>
      </c>
      <c r="AH568">
        <v>0</v>
      </c>
      <c r="AI568">
        <v>10201577.4</v>
      </c>
      <c r="AJ568">
        <v>0</v>
      </c>
      <c r="AK568">
        <v>0</v>
      </c>
      <c r="AL568">
        <v>2560596.21</v>
      </c>
      <c r="AM568">
        <v>0</v>
      </c>
      <c r="AN568">
        <v>12762173.609999999</v>
      </c>
      <c r="AO568" t="s">
        <v>122</v>
      </c>
      <c r="AP568">
        <v>10</v>
      </c>
      <c r="AQ568">
        <v>721.98</v>
      </c>
      <c r="AR568">
        <v>1020157.74</v>
      </c>
      <c r="AT568">
        <v>26880</v>
      </c>
      <c r="AU568">
        <v>846.72</v>
      </c>
      <c r="AV568">
        <v>37981440</v>
      </c>
      <c r="AW568">
        <v>1196415.3600000001</v>
      </c>
    </row>
    <row r="569" spans="1:49" hidden="1" x14ac:dyDescent="0.35">
      <c r="A569">
        <v>5823310</v>
      </c>
      <c r="B569">
        <v>1090005823301</v>
      </c>
      <c r="D569">
        <v>20254637611</v>
      </c>
      <c r="E569" t="s">
        <v>997</v>
      </c>
      <c r="F569" t="s">
        <v>1</v>
      </c>
      <c r="G569" t="s">
        <v>56</v>
      </c>
      <c r="H569" t="s">
        <v>56</v>
      </c>
      <c r="I569">
        <v>6381</v>
      </c>
      <c r="J569">
        <v>21</v>
      </c>
      <c r="K569" t="s">
        <v>33</v>
      </c>
      <c r="L569">
        <v>82963</v>
      </c>
      <c r="M569" t="s">
        <v>396</v>
      </c>
      <c r="N569">
        <v>2</v>
      </c>
      <c r="O569" t="s">
        <v>119</v>
      </c>
      <c r="P569" t="s">
        <v>999</v>
      </c>
      <c r="Q569">
        <v>1890</v>
      </c>
      <c r="R569">
        <v>60000</v>
      </c>
      <c r="S569">
        <v>150</v>
      </c>
      <c r="T569">
        <v>400</v>
      </c>
      <c r="U569">
        <v>26</v>
      </c>
      <c r="V569">
        <v>1413</v>
      </c>
      <c r="W569" t="s">
        <v>121</v>
      </c>
      <c r="X569" t="s">
        <v>1</v>
      </c>
      <c r="Y569">
        <v>2670570</v>
      </c>
      <c r="Z569">
        <v>84780000</v>
      </c>
      <c r="AA569">
        <v>565200</v>
      </c>
      <c r="AB569">
        <v>106</v>
      </c>
      <c r="AC569" s="34">
        <v>45971</v>
      </c>
      <c r="AD569" s="34">
        <v>46112</v>
      </c>
      <c r="AE569" t="s">
        <v>161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 t="s">
        <v>122</v>
      </c>
      <c r="AT569">
        <v>36000</v>
      </c>
      <c r="AU569">
        <v>1134</v>
      </c>
      <c r="AV569">
        <v>50868000</v>
      </c>
      <c r="AW569">
        <v>1602342</v>
      </c>
    </row>
    <row r="570" spans="1:49" hidden="1" x14ac:dyDescent="0.35">
      <c r="A570">
        <v>5823310</v>
      </c>
      <c r="B570">
        <v>1090005823301</v>
      </c>
      <c r="D570">
        <v>20254637611</v>
      </c>
      <c r="E570" t="s">
        <v>997</v>
      </c>
      <c r="F570" t="s">
        <v>1</v>
      </c>
      <c r="G570" t="s">
        <v>56</v>
      </c>
      <c r="H570" t="s">
        <v>56</v>
      </c>
      <c r="I570">
        <v>6381</v>
      </c>
      <c r="J570">
        <v>21</v>
      </c>
      <c r="K570" t="s">
        <v>33</v>
      </c>
      <c r="L570">
        <v>82963</v>
      </c>
      <c r="M570" t="s">
        <v>396</v>
      </c>
      <c r="N570">
        <v>3</v>
      </c>
      <c r="O570" t="s">
        <v>119</v>
      </c>
      <c r="P570" t="s">
        <v>1000</v>
      </c>
      <c r="Q570">
        <v>3918.6</v>
      </c>
      <c r="R570">
        <v>124400</v>
      </c>
      <c r="S570">
        <v>311</v>
      </c>
      <c r="T570">
        <v>400</v>
      </c>
      <c r="U570">
        <v>26</v>
      </c>
      <c r="V570">
        <v>1413</v>
      </c>
      <c r="W570" t="s">
        <v>121</v>
      </c>
      <c r="X570" t="s">
        <v>1</v>
      </c>
      <c r="Y570">
        <v>5536981.7999999998</v>
      </c>
      <c r="Z570">
        <v>175777200</v>
      </c>
      <c r="AA570">
        <v>565200</v>
      </c>
      <c r="AB570">
        <v>106</v>
      </c>
      <c r="AC570" s="34">
        <v>45971</v>
      </c>
      <c r="AD570" s="34">
        <v>46112</v>
      </c>
      <c r="AE570" t="s">
        <v>161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 t="s">
        <v>122</v>
      </c>
      <c r="AT570">
        <v>74640</v>
      </c>
      <c r="AU570">
        <v>2351.16</v>
      </c>
      <c r="AV570">
        <v>105466320</v>
      </c>
      <c r="AW570">
        <v>3322189.08</v>
      </c>
    </row>
    <row r="571" spans="1:49" hidden="1" x14ac:dyDescent="0.35">
      <c r="A571">
        <v>5823410</v>
      </c>
      <c r="B571">
        <v>1250005823401</v>
      </c>
      <c r="D571">
        <v>30710243332</v>
      </c>
      <c r="E571" t="s">
        <v>986</v>
      </c>
      <c r="F571" t="s">
        <v>1</v>
      </c>
      <c r="G571" t="s">
        <v>159</v>
      </c>
      <c r="H571" t="s">
        <v>48</v>
      </c>
      <c r="I571">
        <v>6120</v>
      </c>
      <c r="J571">
        <v>3</v>
      </c>
      <c r="K571" t="s">
        <v>32</v>
      </c>
      <c r="L571">
        <v>4401</v>
      </c>
      <c r="M571" t="s">
        <v>132</v>
      </c>
      <c r="N571">
        <v>1</v>
      </c>
      <c r="O571" t="s">
        <v>119</v>
      </c>
      <c r="P571" t="s">
        <v>1001</v>
      </c>
      <c r="Q571">
        <v>6487.2</v>
      </c>
      <c r="R571">
        <v>180200</v>
      </c>
      <c r="S571">
        <v>212</v>
      </c>
      <c r="T571">
        <v>850</v>
      </c>
      <c r="U571">
        <v>26</v>
      </c>
      <c r="V571">
        <v>1413</v>
      </c>
      <c r="W571" t="s">
        <v>121</v>
      </c>
      <c r="X571" t="s">
        <v>1</v>
      </c>
      <c r="Y571">
        <v>9166413.5999999996</v>
      </c>
      <c r="Z571">
        <v>254622600</v>
      </c>
      <c r="AA571">
        <v>1201050</v>
      </c>
      <c r="AB571">
        <v>106</v>
      </c>
      <c r="AC571" s="34">
        <v>45973</v>
      </c>
      <c r="AD571" s="34">
        <v>46173</v>
      </c>
      <c r="AF571">
        <v>0</v>
      </c>
      <c r="AG571">
        <v>17605.2</v>
      </c>
      <c r="AH571">
        <v>0</v>
      </c>
      <c r="AI571">
        <v>24876147.600000001</v>
      </c>
      <c r="AJ571">
        <v>0</v>
      </c>
      <c r="AK571">
        <v>0</v>
      </c>
      <c r="AL571">
        <v>6492678.4800000004</v>
      </c>
      <c r="AM571">
        <v>0</v>
      </c>
      <c r="AN571">
        <v>31368826.079999998</v>
      </c>
      <c r="AO571" t="s">
        <v>122</v>
      </c>
      <c r="AP571">
        <v>15</v>
      </c>
      <c r="AQ571">
        <v>2640.78</v>
      </c>
      <c r="AR571">
        <v>3731422.14</v>
      </c>
      <c r="AT571">
        <v>108120</v>
      </c>
      <c r="AU571">
        <v>3892.32</v>
      </c>
      <c r="AV571">
        <v>152773560</v>
      </c>
      <c r="AW571">
        <v>5499848.1600000001</v>
      </c>
    </row>
    <row r="572" spans="1:49" hidden="1" x14ac:dyDescent="0.35">
      <c r="A572">
        <v>5823410</v>
      </c>
      <c r="B572">
        <v>1250005823401</v>
      </c>
      <c r="D572">
        <v>30710243332</v>
      </c>
      <c r="E572" t="s">
        <v>986</v>
      </c>
      <c r="F572" t="s">
        <v>1</v>
      </c>
      <c r="G572" t="s">
        <v>415</v>
      </c>
      <c r="H572" t="s">
        <v>48</v>
      </c>
      <c r="I572">
        <v>6132</v>
      </c>
      <c r="J572">
        <v>3</v>
      </c>
      <c r="K572" t="s">
        <v>32</v>
      </c>
      <c r="L572">
        <v>4401</v>
      </c>
      <c r="M572" t="s">
        <v>132</v>
      </c>
      <c r="N572">
        <v>2</v>
      </c>
      <c r="O572" t="s">
        <v>119</v>
      </c>
      <c r="P572" t="s">
        <v>1002</v>
      </c>
      <c r="Q572">
        <v>6732</v>
      </c>
      <c r="R572">
        <v>187000</v>
      </c>
      <c r="S572">
        <v>220</v>
      </c>
      <c r="T572">
        <v>850</v>
      </c>
      <c r="U572">
        <v>26</v>
      </c>
      <c r="V572">
        <v>1413</v>
      </c>
      <c r="W572" t="s">
        <v>121</v>
      </c>
      <c r="X572" t="s">
        <v>1</v>
      </c>
      <c r="Y572">
        <v>9512316</v>
      </c>
      <c r="Z572">
        <v>264231000</v>
      </c>
      <c r="AA572">
        <v>1201050</v>
      </c>
      <c r="AB572">
        <v>106</v>
      </c>
      <c r="AC572" s="34">
        <v>45973</v>
      </c>
      <c r="AD572" s="34">
        <v>46173</v>
      </c>
      <c r="AE572" t="s">
        <v>161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 t="s">
        <v>122</v>
      </c>
      <c r="AT572">
        <v>112200</v>
      </c>
      <c r="AU572">
        <v>4039.2</v>
      </c>
      <c r="AV572">
        <v>158538600</v>
      </c>
      <c r="AW572">
        <v>5707389.5999999996</v>
      </c>
    </row>
    <row r="573" spans="1:49" hidden="1" x14ac:dyDescent="0.35">
      <c r="A573">
        <v>5823410</v>
      </c>
      <c r="B573">
        <v>1250005823401</v>
      </c>
      <c r="D573">
        <v>30710243332</v>
      </c>
      <c r="E573" t="s">
        <v>986</v>
      </c>
      <c r="F573" t="s">
        <v>1</v>
      </c>
      <c r="G573" t="s">
        <v>415</v>
      </c>
      <c r="H573" t="s">
        <v>48</v>
      </c>
      <c r="I573">
        <v>6132</v>
      </c>
      <c r="J573">
        <v>3</v>
      </c>
      <c r="K573" t="s">
        <v>32</v>
      </c>
      <c r="L573">
        <v>4401</v>
      </c>
      <c r="M573" t="s">
        <v>132</v>
      </c>
      <c r="N573">
        <v>3</v>
      </c>
      <c r="O573" t="s">
        <v>119</v>
      </c>
      <c r="P573" t="s">
        <v>1003</v>
      </c>
      <c r="Q573">
        <v>1530</v>
      </c>
      <c r="R573">
        <v>42500</v>
      </c>
      <c r="S573">
        <v>50</v>
      </c>
      <c r="T573">
        <v>850</v>
      </c>
      <c r="U573">
        <v>26</v>
      </c>
      <c r="V573">
        <v>1413</v>
      </c>
      <c r="W573" t="s">
        <v>121</v>
      </c>
      <c r="X573" t="s">
        <v>1</v>
      </c>
      <c r="Y573">
        <v>2161890</v>
      </c>
      <c r="Z573">
        <v>60052500</v>
      </c>
      <c r="AA573">
        <v>1201050</v>
      </c>
      <c r="AB573">
        <v>106</v>
      </c>
      <c r="AC573" s="34">
        <v>45973</v>
      </c>
      <c r="AD573" s="34">
        <v>46173</v>
      </c>
      <c r="AE573" t="s">
        <v>161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 t="s">
        <v>122</v>
      </c>
      <c r="AT573">
        <v>25500</v>
      </c>
      <c r="AU573">
        <v>918</v>
      </c>
      <c r="AV573">
        <v>36031500</v>
      </c>
      <c r="AW573">
        <v>1297134</v>
      </c>
    </row>
    <row r="574" spans="1:49" hidden="1" x14ac:dyDescent="0.35">
      <c r="A574">
        <v>5823410</v>
      </c>
      <c r="B574">
        <v>1250005823401</v>
      </c>
      <c r="D574">
        <v>30710243332</v>
      </c>
      <c r="E574" t="s">
        <v>986</v>
      </c>
      <c r="F574" t="s">
        <v>1</v>
      </c>
      <c r="G574" t="s">
        <v>1004</v>
      </c>
      <c r="H574" t="s">
        <v>47</v>
      </c>
      <c r="I574">
        <v>6121</v>
      </c>
      <c r="J574">
        <v>3</v>
      </c>
      <c r="K574" t="s">
        <v>32</v>
      </c>
      <c r="L574">
        <v>4401</v>
      </c>
      <c r="M574" t="s">
        <v>132</v>
      </c>
      <c r="N574">
        <v>4</v>
      </c>
      <c r="O574" t="s">
        <v>119</v>
      </c>
      <c r="P574" t="s">
        <v>1005</v>
      </c>
      <c r="Q574">
        <v>2856</v>
      </c>
      <c r="R574">
        <v>71400</v>
      </c>
      <c r="S574">
        <v>84</v>
      </c>
      <c r="T574">
        <v>850</v>
      </c>
      <c r="U574">
        <v>26</v>
      </c>
      <c r="V574">
        <v>1413</v>
      </c>
      <c r="W574" t="s">
        <v>121</v>
      </c>
      <c r="X574" t="s">
        <v>1</v>
      </c>
      <c r="Y574">
        <v>4035528</v>
      </c>
      <c r="Z574">
        <v>100888200</v>
      </c>
      <c r="AA574">
        <v>1201050</v>
      </c>
      <c r="AB574">
        <v>106</v>
      </c>
      <c r="AC574" s="34">
        <v>45973</v>
      </c>
      <c r="AD574" s="34">
        <v>46173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 t="s">
        <v>122</v>
      </c>
      <c r="AT574">
        <v>42840</v>
      </c>
      <c r="AU574">
        <v>1713.6</v>
      </c>
      <c r="AV574">
        <v>60532920</v>
      </c>
      <c r="AW574">
        <v>2421316.7999999998</v>
      </c>
    </row>
    <row r="575" spans="1:49" hidden="1" x14ac:dyDescent="0.35">
      <c r="A575">
        <v>5823510</v>
      </c>
      <c r="B575">
        <v>1250005823501</v>
      </c>
      <c r="D575">
        <v>30708858907</v>
      </c>
      <c r="E575" t="s">
        <v>284</v>
      </c>
      <c r="F575" t="s">
        <v>1</v>
      </c>
      <c r="G575" t="s">
        <v>454</v>
      </c>
      <c r="H575" t="s">
        <v>48</v>
      </c>
      <c r="I575">
        <v>6123</v>
      </c>
      <c r="J575">
        <v>3</v>
      </c>
      <c r="K575" t="s">
        <v>32</v>
      </c>
      <c r="L575">
        <v>4401</v>
      </c>
      <c r="M575" t="s">
        <v>132</v>
      </c>
      <c r="N575">
        <v>1</v>
      </c>
      <c r="O575" t="s">
        <v>119</v>
      </c>
      <c r="P575" t="s">
        <v>1006</v>
      </c>
      <c r="Q575">
        <v>6327.75</v>
      </c>
      <c r="R575">
        <v>191750</v>
      </c>
      <c r="S575">
        <v>295</v>
      </c>
      <c r="T575">
        <v>650</v>
      </c>
      <c r="U575">
        <v>26</v>
      </c>
      <c r="V575">
        <v>1413</v>
      </c>
      <c r="W575" t="s">
        <v>121</v>
      </c>
      <c r="X575" t="s">
        <v>1</v>
      </c>
      <c r="Y575">
        <v>8941110.75</v>
      </c>
      <c r="Z575">
        <v>270942750</v>
      </c>
      <c r="AA575">
        <v>918450</v>
      </c>
      <c r="AB575">
        <v>106</v>
      </c>
      <c r="AC575" s="34">
        <v>45973</v>
      </c>
      <c r="AD575" s="34">
        <v>46173</v>
      </c>
      <c r="AF575">
        <v>0</v>
      </c>
      <c r="AG575">
        <v>14176.64</v>
      </c>
      <c r="AH575">
        <v>0</v>
      </c>
      <c r="AI575">
        <v>20031592.32</v>
      </c>
      <c r="AJ575">
        <v>0</v>
      </c>
      <c r="AK575">
        <v>0</v>
      </c>
      <c r="AL575">
        <v>5228241.3</v>
      </c>
      <c r="AM575">
        <v>0</v>
      </c>
      <c r="AN575">
        <v>25259833.620000001</v>
      </c>
      <c r="AO575" t="s">
        <v>122</v>
      </c>
      <c r="AP575">
        <v>15</v>
      </c>
      <c r="AQ575">
        <v>2126.5</v>
      </c>
      <c r="AR575">
        <v>3004744.5</v>
      </c>
      <c r="AT575">
        <v>115050</v>
      </c>
      <c r="AU575">
        <v>3796.65</v>
      </c>
      <c r="AV575">
        <v>162565650</v>
      </c>
      <c r="AW575">
        <v>5364666.45</v>
      </c>
    </row>
    <row r="576" spans="1:49" hidden="1" x14ac:dyDescent="0.35">
      <c r="A576">
        <v>5823510</v>
      </c>
      <c r="B576">
        <v>1250005823501</v>
      </c>
      <c r="D576">
        <v>30708858907</v>
      </c>
      <c r="E576" t="s">
        <v>284</v>
      </c>
      <c r="F576" t="s">
        <v>1</v>
      </c>
      <c r="G576" t="s">
        <v>282</v>
      </c>
      <c r="H576" t="s">
        <v>48</v>
      </c>
      <c r="I576">
        <v>6125</v>
      </c>
      <c r="J576">
        <v>3</v>
      </c>
      <c r="K576" t="s">
        <v>32</v>
      </c>
      <c r="L576">
        <v>4401</v>
      </c>
      <c r="M576" t="s">
        <v>132</v>
      </c>
      <c r="N576">
        <v>2</v>
      </c>
      <c r="O576" t="s">
        <v>119</v>
      </c>
      <c r="P576" t="s">
        <v>1007</v>
      </c>
      <c r="Q576">
        <v>1470.15</v>
      </c>
      <c r="R576">
        <v>44550</v>
      </c>
      <c r="S576">
        <v>81</v>
      </c>
      <c r="T576">
        <v>550</v>
      </c>
      <c r="U576">
        <v>26</v>
      </c>
      <c r="V576">
        <v>1413</v>
      </c>
      <c r="W576" t="s">
        <v>121</v>
      </c>
      <c r="X576" t="s">
        <v>1</v>
      </c>
      <c r="Y576">
        <v>2077321.95</v>
      </c>
      <c r="Z576">
        <v>62949150</v>
      </c>
      <c r="AA576">
        <v>777150</v>
      </c>
      <c r="AB576">
        <v>106</v>
      </c>
      <c r="AC576" s="34">
        <v>45973</v>
      </c>
      <c r="AD576" s="34">
        <v>46173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 t="s">
        <v>122</v>
      </c>
      <c r="AT576">
        <v>26730</v>
      </c>
      <c r="AU576">
        <v>882.09</v>
      </c>
      <c r="AV576">
        <v>37769490</v>
      </c>
      <c r="AW576">
        <v>1246393.17</v>
      </c>
    </row>
    <row r="577" spans="1:49" hidden="1" x14ac:dyDescent="0.35">
      <c r="A577">
        <v>5823510</v>
      </c>
      <c r="B577">
        <v>1250005823501</v>
      </c>
      <c r="D577">
        <v>30708858907</v>
      </c>
      <c r="E577" t="s">
        <v>284</v>
      </c>
      <c r="F577" t="s">
        <v>1</v>
      </c>
      <c r="G577" t="s">
        <v>282</v>
      </c>
      <c r="H577" t="s">
        <v>48</v>
      </c>
      <c r="I577">
        <v>6125</v>
      </c>
      <c r="J577">
        <v>3</v>
      </c>
      <c r="K577" t="s">
        <v>32</v>
      </c>
      <c r="L577">
        <v>4401</v>
      </c>
      <c r="M577" t="s">
        <v>132</v>
      </c>
      <c r="N577">
        <v>3</v>
      </c>
      <c r="O577" t="s">
        <v>119</v>
      </c>
      <c r="P577" t="s">
        <v>1008</v>
      </c>
      <c r="Q577">
        <v>3567.14</v>
      </c>
      <c r="R577">
        <v>108095</v>
      </c>
      <c r="S577">
        <v>166</v>
      </c>
      <c r="T577">
        <v>651.16999999999996</v>
      </c>
      <c r="U577">
        <v>26</v>
      </c>
      <c r="V577">
        <v>1413</v>
      </c>
      <c r="W577" t="s">
        <v>121</v>
      </c>
      <c r="X577" t="s">
        <v>1</v>
      </c>
      <c r="Y577">
        <v>5040368.82</v>
      </c>
      <c r="Z577">
        <v>152738235</v>
      </c>
      <c r="AA577">
        <v>920109.85</v>
      </c>
      <c r="AB577">
        <v>106</v>
      </c>
      <c r="AC577" s="34">
        <v>45973</v>
      </c>
      <c r="AD577" s="34">
        <v>46173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 t="s">
        <v>122</v>
      </c>
      <c r="AT577">
        <v>64857</v>
      </c>
      <c r="AU577">
        <v>2140.2800000000002</v>
      </c>
      <c r="AV577">
        <v>91642941</v>
      </c>
      <c r="AW577">
        <v>3024215.64</v>
      </c>
    </row>
    <row r="578" spans="1:49" hidden="1" x14ac:dyDescent="0.35">
      <c r="A578">
        <v>5823510</v>
      </c>
      <c r="B578">
        <v>1250005823501</v>
      </c>
      <c r="D578">
        <v>30708858907</v>
      </c>
      <c r="E578" t="s">
        <v>284</v>
      </c>
      <c r="F578" t="s">
        <v>1</v>
      </c>
      <c r="G578" t="s">
        <v>282</v>
      </c>
      <c r="H578" t="s">
        <v>48</v>
      </c>
      <c r="I578">
        <v>6125</v>
      </c>
      <c r="J578">
        <v>3</v>
      </c>
      <c r="K578" t="s">
        <v>32</v>
      </c>
      <c r="L578">
        <v>4401</v>
      </c>
      <c r="M578" t="s">
        <v>132</v>
      </c>
      <c r="N578">
        <v>4</v>
      </c>
      <c r="O578" t="s">
        <v>119</v>
      </c>
      <c r="P578" t="s">
        <v>1009</v>
      </c>
      <c r="Q578">
        <v>2811.6</v>
      </c>
      <c r="R578">
        <v>85200</v>
      </c>
      <c r="S578">
        <v>142</v>
      </c>
      <c r="T578">
        <v>600</v>
      </c>
      <c r="U578">
        <v>26</v>
      </c>
      <c r="V578">
        <v>1413</v>
      </c>
      <c r="W578" t="s">
        <v>121</v>
      </c>
      <c r="X578" t="s">
        <v>1</v>
      </c>
      <c r="Y578">
        <v>3972790.8</v>
      </c>
      <c r="Z578">
        <v>120387600</v>
      </c>
      <c r="AA578">
        <v>847800</v>
      </c>
      <c r="AB578">
        <v>106</v>
      </c>
      <c r="AC578" s="34">
        <v>45973</v>
      </c>
      <c r="AD578" s="34">
        <v>46173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 t="s">
        <v>122</v>
      </c>
      <c r="AT578">
        <v>51120</v>
      </c>
      <c r="AU578">
        <v>1686.96</v>
      </c>
      <c r="AV578">
        <v>72232560</v>
      </c>
      <c r="AW578">
        <v>2383674.48</v>
      </c>
    </row>
    <row r="579" spans="1:49" hidden="1" x14ac:dyDescent="0.35">
      <c r="A579">
        <v>5823610</v>
      </c>
      <c r="B579">
        <v>1250005823601</v>
      </c>
      <c r="D579">
        <v>30708858907</v>
      </c>
      <c r="E579" t="s">
        <v>284</v>
      </c>
      <c r="F579" t="s">
        <v>1</v>
      </c>
      <c r="G579" t="s">
        <v>282</v>
      </c>
      <c r="H579" t="s">
        <v>48</v>
      </c>
      <c r="I579">
        <v>6125</v>
      </c>
      <c r="J579">
        <v>3</v>
      </c>
      <c r="K579" t="s">
        <v>32</v>
      </c>
      <c r="L579">
        <v>4401</v>
      </c>
      <c r="M579" t="s">
        <v>132</v>
      </c>
      <c r="N579">
        <v>1</v>
      </c>
      <c r="O579" t="s">
        <v>119</v>
      </c>
      <c r="P579" t="s">
        <v>1010</v>
      </c>
      <c r="Q579">
        <v>1903.2</v>
      </c>
      <c r="R579">
        <v>36600</v>
      </c>
      <c r="S579">
        <v>122</v>
      </c>
      <c r="T579">
        <v>300</v>
      </c>
      <c r="U579">
        <v>26</v>
      </c>
      <c r="V579">
        <v>1413</v>
      </c>
      <c r="W579" t="s">
        <v>121</v>
      </c>
      <c r="X579" t="s">
        <v>1</v>
      </c>
      <c r="Y579">
        <v>2689221.6</v>
      </c>
      <c r="Z579">
        <v>51715800</v>
      </c>
      <c r="AA579">
        <v>423900</v>
      </c>
      <c r="AB579">
        <v>211</v>
      </c>
      <c r="AC579" s="34">
        <v>45973</v>
      </c>
      <c r="AD579" s="34">
        <v>46112</v>
      </c>
      <c r="AF579">
        <v>0</v>
      </c>
      <c r="AG579">
        <v>6271.2</v>
      </c>
      <c r="AH579">
        <v>0</v>
      </c>
      <c r="AI579">
        <v>8861205.5999999996</v>
      </c>
      <c r="AJ579">
        <v>0</v>
      </c>
      <c r="AK579">
        <v>0</v>
      </c>
      <c r="AL579">
        <v>2312784.27</v>
      </c>
      <c r="AM579">
        <v>0</v>
      </c>
      <c r="AN579">
        <v>11173989.869999999</v>
      </c>
      <c r="AO579" t="s">
        <v>122</v>
      </c>
      <c r="AP579">
        <v>15</v>
      </c>
      <c r="AQ579">
        <v>940.68</v>
      </c>
      <c r="AR579">
        <v>1329180.8400000001</v>
      </c>
      <c r="AT579">
        <v>21960</v>
      </c>
      <c r="AU579">
        <v>1141.92</v>
      </c>
      <c r="AV579">
        <v>31029480</v>
      </c>
      <c r="AW579">
        <v>1613532.96</v>
      </c>
    </row>
    <row r="580" spans="1:49" hidden="1" x14ac:dyDescent="0.35">
      <c r="A580">
        <v>5823610</v>
      </c>
      <c r="B580">
        <v>1250005823601</v>
      </c>
      <c r="D580">
        <v>30708858907</v>
      </c>
      <c r="E580" t="s">
        <v>284</v>
      </c>
      <c r="F580" t="s">
        <v>1</v>
      </c>
      <c r="G580" t="s">
        <v>454</v>
      </c>
      <c r="H580" t="s">
        <v>48</v>
      </c>
      <c r="I580">
        <v>6123</v>
      </c>
      <c r="J580">
        <v>3</v>
      </c>
      <c r="K580" t="s">
        <v>32</v>
      </c>
      <c r="L580">
        <v>4401</v>
      </c>
      <c r="M580" t="s">
        <v>132</v>
      </c>
      <c r="N580">
        <v>2</v>
      </c>
      <c r="O580" t="s">
        <v>119</v>
      </c>
      <c r="P580" t="s">
        <v>1011</v>
      </c>
      <c r="Q580">
        <v>4368</v>
      </c>
      <c r="R580">
        <v>84000</v>
      </c>
      <c r="S580">
        <v>140</v>
      </c>
      <c r="T580">
        <v>600</v>
      </c>
      <c r="U580">
        <v>26</v>
      </c>
      <c r="V580">
        <v>1413</v>
      </c>
      <c r="W580" t="s">
        <v>121</v>
      </c>
      <c r="X580" t="s">
        <v>1</v>
      </c>
      <c r="Y580">
        <v>6171984</v>
      </c>
      <c r="Z580">
        <v>118692000</v>
      </c>
      <c r="AA580">
        <v>847800</v>
      </c>
      <c r="AB580">
        <v>211</v>
      </c>
      <c r="AC580" s="34">
        <v>45973</v>
      </c>
      <c r="AD580" s="34">
        <v>46112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 t="s">
        <v>122</v>
      </c>
      <c r="AT580">
        <v>50400</v>
      </c>
      <c r="AU580">
        <v>2620.8000000000002</v>
      </c>
      <c r="AV580">
        <v>71215200</v>
      </c>
      <c r="AW580">
        <v>3703190.4</v>
      </c>
    </row>
    <row r="581" spans="1:49" hidden="1" x14ac:dyDescent="0.35">
      <c r="A581">
        <v>5823710</v>
      </c>
      <c r="B581">
        <v>5010005823701</v>
      </c>
      <c r="D581">
        <v>30712293906</v>
      </c>
      <c r="E581" t="s">
        <v>153</v>
      </c>
      <c r="F581" t="s">
        <v>1</v>
      </c>
      <c r="G581" t="s">
        <v>154</v>
      </c>
      <c r="H581" t="s">
        <v>155</v>
      </c>
      <c r="I581">
        <v>6005</v>
      </c>
      <c r="J581">
        <v>1</v>
      </c>
      <c r="K581" t="s">
        <v>16</v>
      </c>
      <c r="L581">
        <v>9370</v>
      </c>
      <c r="M581" t="s">
        <v>156</v>
      </c>
      <c r="N581">
        <v>1</v>
      </c>
      <c r="O581" t="s">
        <v>119</v>
      </c>
      <c r="P581" t="s">
        <v>1012</v>
      </c>
      <c r="Q581">
        <v>470997</v>
      </c>
      <c r="R581">
        <v>23908500</v>
      </c>
      <c r="S581">
        <v>23</v>
      </c>
      <c r="T581">
        <v>1039500</v>
      </c>
      <c r="U581">
        <v>1</v>
      </c>
      <c r="V581">
        <v>1</v>
      </c>
      <c r="W581" t="s">
        <v>127</v>
      </c>
      <c r="X581">
        <v>29700</v>
      </c>
      <c r="Y581">
        <v>470997</v>
      </c>
      <c r="Z581">
        <v>23908500</v>
      </c>
      <c r="AA581">
        <v>1039500</v>
      </c>
      <c r="AB581">
        <v>105</v>
      </c>
      <c r="AC581" s="34">
        <v>45957</v>
      </c>
      <c r="AD581" s="34">
        <v>46173</v>
      </c>
      <c r="AF581">
        <v>0</v>
      </c>
      <c r="AG581">
        <v>470997</v>
      </c>
      <c r="AH581">
        <v>0</v>
      </c>
      <c r="AI581">
        <v>470997</v>
      </c>
      <c r="AJ581">
        <v>0</v>
      </c>
      <c r="AK581">
        <v>0</v>
      </c>
      <c r="AL581">
        <v>118220.25</v>
      </c>
      <c r="AM581">
        <v>0</v>
      </c>
      <c r="AN581">
        <v>589217.25</v>
      </c>
      <c r="AO581" t="s">
        <v>122</v>
      </c>
      <c r="AP581">
        <v>10</v>
      </c>
      <c r="AQ581">
        <v>47099.7</v>
      </c>
      <c r="AR581">
        <v>47099.7</v>
      </c>
      <c r="AT581">
        <v>14345100</v>
      </c>
      <c r="AU581">
        <v>282598.2</v>
      </c>
      <c r="AV581">
        <v>14345100</v>
      </c>
      <c r="AW581">
        <v>282598.2</v>
      </c>
    </row>
    <row r="582" spans="1:49" hidden="1" x14ac:dyDescent="0.35">
      <c r="A582">
        <v>5823810</v>
      </c>
      <c r="B582">
        <v>5010005823801</v>
      </c>
      <c r="D582">
        <v>20046964706</v>
      </c>
      <c r="E582" t="s">
        <v>1013</v>
      </c>
      <c r="F582" t="s">
        <v>1</v>
      </c>
      <c r="G582" t="s">
        <v>154</v>
      </c>
      <c r="H582" t="s">
        <v>155</v>
      </c>
      <c r="I582">
        <v>6005</v>
      </c>
      <c r="J582">
        <v>1</v>
      </c>
      <c r="K582" t="s">
        <v>16</v>
      </c>
      <c r="L582">
        <v>9370</v>
      </c>
      <c r="M582" t="s">
        <v>156</v>
      </c>
      <c r="N582">
        <v>1</v>
      </c>
      <c r="O582" t="s">
        <v>119</v>
      </c>
      <c r="P582" t="s">
        <v>1012</v>
      </c>
      <c r="Q582">
        <v>470997</v>
      </c>
      <c r="R582">
        <v>23908500</v>
      </c>
      <c r="S582">
        <v>23</v>
      </c>
      <c r="T582">
        <v>1039500</v>
      </c>
      <c r="U582">
        <v>1</v>
      </c>
      <c r="V582">
        <v>1</v>
      </c>
      <c r="W582" t="s">
        <v>127</v>
      </c>
      <c r="X582">
        <v>29700</v>
      </c>
      <c r="Y582">
        <v>470997</v>
      </c>
      <c r="Z582">
        <v>23908500</v>
      </c>
      <c r="AA582">
        <v>1039500</v>
      </c>
      <c r="AB582">
        <v>105</v>
      </c>
      <c r="AC582" s="34">
        <v>45957</v>
      </c>
      <c r="AD582" s="34">
        <v>46173</v>
      </c>
      <c r="AF582">
        <v>0</v>
      </c>
      <c r="AG582">
        <v>470997</v>
      </c>
      <c r="AH582">
        <v>0</v>
      </c>
      <c r="AI582">
        <v>470997</v>
      </c>
      <c r="AJ582">
        <v>0</v>
      </c>
      <c r="AK582">
        <v>0</v>
      </c>
      <c r="AL582">
        <v>118220.25</v>
      </c>
      <c r="AM582">
        <v>0</v>
      </c>
      <c r="AN582">
        <v>589217.25</v>
      </c>
      <c r="AO582" t="s">
        <v>122</v>
      </c>
      <c r="AP582">
        <v>10</v>
      </c>
      <c r="AQ582">
        <v>47099.7</v>
      </c>
      <c r="AR582">
        <v>47099.7</v>
      </c>
      <c r="AT582">
        <v>14345100</v>
      </c>
      <c r="AU582">
        <v>282598.2</v>
      </c>
      <c r="AV582">
        <v>14345100</v>
      </c>
      <c r="AW582">
        <v>282598.2</v>
      </c>
    </row>
    <row r="583" spans="1:49" hidden="1" x14ac:dyDescent="0.35">
      <c r="A583">
        <v>5823910</v>
      </c>
      <c r="B583">
        <v>1080005823901</v>
      </c>
      <c r="D583">
        <v>30596965934</v>
      </c>
      <c r="E583" t="s">
        <v>1014</v>
      </c>
      <c r="F583" t="s">
        <v>1</v>
      </c>
      <c r="G583" t="s">
        <v>46</v>
      </c>
      <c r="H583" t="s">
        <v>16</v>
      </c>
      <c r="I583">
        <v>7000</v>
      </c>
      <c r="J583">
        <v>1</v>
      </c>
      <c r="K583" t="s">
        <v>16</v>
      </c>
      <c r="L583">
        <v>7999</v>
      </c>
      <c r="M583" t="s">
        <v>691</v>
      </c>
      <c r="N583">
        <v>1</v>
      </c>
      <c r="O583" t="s">
        <v>125</v>
      </c>
      <c r="P583" t="s">
        <v>1015</v>
      </c>
      <c r="Q583">
        <v>1992.9</v>
      </c>
      <c r="R583">
        <v>43800</v>
      </c>
      <c r="S583">
        <v>73</v>
      </c>
      <c r="T583">
        <v>600</v>
      </c>
      <c r="U583">
        <v>26</v>
      </c>
      <c r="V583">
        <v>1413</v>
      </c>
      <c r="W583" t="s">
        <v>121</v>
      </c>
      <c r="X583" t="s">
        <v>1</v>
      </c>
      <c r="Y583">
        <v>2815967.7</v>
      </c>
      <c r="Z583">
        <v>61889400</v>
      </c>
      <c r="AA583">
        <v>847800</v>
      </c>
      <c r="AB583">
        <v>214</v>
      </c>
      <c r="AC583" s="34">
        <v>45957</v>
      </c>
      <c r="AD583" s="34">
        <v>46053</v>
      </c>
      <c r="AF583">
        <v>0</v>
      </c>
      <c r="AG583">
        <v>4968.6000000000004</v>
      </c>
      <c r="AH583">
        <v>0</v>
      </c>
      <c r="AI583">
        <v>7020631.7999999998</v>
      </c>
      <c r="AJ583">
        <v>0</v>
      </c>
      <c r="AK583">
        <v>0</v>
      </c>
      <c r="AL583">
        <v>1762180.56</v>
      </c>
      <c r="AM583">
        <v>0</v>
      </c>
      <c r="AN583">
        <v>8782812.3599999994</v>
      </c>
      <c r="AO583" t="s">
        <v>122</v>
      </c>
      <c r="AP583">
        <v>12</v>
      </c>
      <c r="AQ583">
        <v>596.23</v>
      </c>
      <c r="AR583">
        <v>842472.99</v>
      </c>
      <c r="AT583">
        <v>26280</v>
      </c>
      <c r="AU583">
        <v>1195.74</v>
      </c>
      <c r="AV583">
        <v>37133640</v>
      </c>
      <c r="AW583">
        <v>1689580.62</v>
      </c>
    </row>
    <row r="584" spans="1:49" hidden="1" x14ac:dyDescent="0.35">
      <c r="A584">
        <v>5823910</v>
      </c>
      <c r="B584">
        <v>1080005823901</v>
      </c>
      <c r="D584">
        <v>30596965934</v>
      </c>
      <c r="E584" t="s">
        <v>1014</v>
      </c>
      <c r="F584" t="s">
        <v>1</v>
      </c>
      <c r="G584" t="s">
        <v>46</v>
      </c>
      <c r="H584" t="s">
        <v>16</v>
      </c>
      <c r="I584">
        <v>7000</v>
      </c>
      <c r="J584">
        <v>1</v>
      </c>
      <c r="K584" t="s">
        <v>16</v>
      </c>
      <c r="L584">
        <v>7999</v>
      </c>
      <c r="M584" t="s">
        <v>691</v>
      </c>
      <c r="N584">
        <v>2</v>
      </c>
      <c r="O584" t="s">
        <v>125</v>
      </c>
      <c r="P584" t="s">
        <v>1016</v>
      </c>
      <c r="Q584">
        <v>2975.7</v>
      </c>
      <c r="R584">
        <v>65400</v>
      </c>
      <c r="S584">
        <v>109</v>
      </c>
      <c r="T584">
        <v>600</v>
      </c>
      <c r="U584">
        <v>26</v>
      </c>
      <c r="V584">
        <v>1413</v>
      </c>
      <c r="W584" t="s">
        <v>121</v>
      </c>
      <c r="X584" t="s">
        <v>1</v>
      </c>
      <c r="Y584">
        <v>4204664.0999999996</v>
      </c>
      <c r="Z584">
        <v>92410200</v>
      </c>
      <c r="AA584">
        <v>847800</v>
      </c>
      <c r="AB584">
        <v>214</v>
      </c>
      <c r="AC584" s="34">
        <v>45957</v>
      </c>
      <c r="AD584" s="34">
        <v>46053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 t="s">
        <v>122</v>
      </c>
      <c r="AT584">
        <v>39240</v>
      </c>
      <c r="AU584">
        <v>1785.42</v>
      </c>
      <c r="AV584">
        <v>55446120</v>
      </c>
      <c r="AW584">
        <v>2522798.46</v>
      </c>
    </row>
    <row r="585" spans="1:49" hidden="1" x14ac:dyDescent="0.35">
      <c r="A585">
        <v>5824010</v>
      </c>
      <c r="B585">
        <v>1080005824001</v>
      </c>
      <c r="D585">
        <v>30596965934</v>
      </c>
      <c r="E585" t="s">
        <v>1014</v>
      </c>
      <c r="F585" t="s">
        <v>1</v>
      </c>
      <c r="G585" t="s">
        <v>46</v>
      </c>
      <c r="H585" t="s">
        <v>16</v>
      </c>
      <c r="I585">
        <v>7000</v>
      </c>
      <c r="J585">
        <v>1</v>
      </c>
      <c r="K585" t="s">
        <v>16</v>
      </c>
      <c r="L585">
        <v>7999</v>
      </c>
      <c r="M585" t="s">
        <v>691</v>
      </c>
      <c r="N585">
        <v>1</v>
      </c>
      <c r="O585" t="s">
        <v>119</v>
      </c>
      <c r="P585" t="s">
        <v>1017</v>
      </c>
      <c r="Q585">
        <v>1530</v>
      </c>
      <c r="R585">
        <v>61200</v>
      </c>
      <c r="S585">
        <v>102</v>
      </c>
      <c r="T585">
        <v>600</v>
      </c>
      <c r="U585">
        <v>26</v>
      </c>
      <c r="V585">
        <v>1413</v>
      </c>
      <c r="W585" t="s">
        <v>121</v>
      </c>
      <c r="X585" t="s">
        <v>1</v>
      </c>
      <c r="Y585">
        <v>2161890</v>
      </c>
      <c r="Z585">
        <v>86475600</v>
      </c>
      <c r="AA585">
        <v>847800</v>
      </c>
      <c r="AB585">
        <v>106</v>
      </c>
      <c r="AC585" s="34">
        <v>45957</v>
      </c>
      <c r="AD585" s="34">
        <v>46173</v>
      </c>
      <c r="AF585">
        <v>0</v>
      </c>
      <c r="AG585">
        <v>2670</v>
      </c>
      <c r="AH585">
        <v>0</v>
      </c>
      <c r="AI585">
        <v>3772710</v>
      </c>
      <c r="AJ585">
        <v>0</v>
      </c>
      <c r="AK585">
        <v>0</v>
      </c>
      <c r="AL585">
        <v>946950.21</v>
      </c>
      <c r="AM585">
        <v>0</v>
      </c>
      <c r="AN585">
        <v>4719660.21</v>
      </c>
      <c r="AO585" t="s">
        <v>122</v>
      </c>
      <c r="AP585">
        <v>12</v>
      </c>
      <c r="AQ585">
        <v>320.39999999999998</v>
      </c>
      <c r="AR585">
        <v>452725.2</v>
      </c>
      <c r="AT585">
        <v>36720</v>
      </c>
      <c r="AU585">
        <v>918</v>
      </c>
      <c r="AV585">
        <v>51885360</v>
      </c>
      <c r="AW585">
        <v>1297134</v>
      </c>
    </row>
    <row r="586" spans="1:49" hidden="1" x14ac:dyDescent="0.35">
      <c r="A586">
        <v>5824010</v>
      </c>
      <c r="B586">
        <v>1080005824001</v>
      </c>
      <c r="D586">
        <v>30596965934</v>
      </c>
      <c r="E586" t="s">
        <v>1014</v>
      </c>
      <c r="F586" t="s">
        <v>1</v>
      </c>
      <c r="G586" t="s">
        <v>46</v>
      </c>
      <c r="H586" t="s">
        <v>16</v>
      </c>
      <c r="I586">
        <v>7000</v>
      </c>
      <c r="J586">
        <v>1</v>
      </c>
      <c r="K586" t="s">
        <v>16</v>
      </c>
      <c r="L586">
        <v>7999</v>
      </c>
      <c r="M586" t="s">
        <v>691</v>
      </c>
      <c r="N586">
        <v>2</v>
      </c>
      <c r="O586" t="s">
        <v>119</v>
      </c>
      <c r="P586" t="s">
        <v>1018</v>
      </c>
      <c r="Q586">
        <v>1140</v>
      </c>
      <c r="R586">
        <v>45600</v>
      </c>
      <c r="S586">
        <v>76</v>
      </c>
      <c r="T586">
        <v>600</v>
      </c>
      <c r="U586">
        <v>26</v>
      </c>
      <c r="V586">
        <v>1413</v>
      </c>
      <c r="W586" t="s">
        <v>121</v>
      </c>
      <c r="X586" t="s">
        <v>1</v>
      </c>
      <c r="Y586">
        <v>1610820</v>
      </c>
      <c r="Z586">
        <v>64432800</v>
      </c>
      <c r="AA586">
        <v>847800</v>
      </c>
      <c r="AB586">
        <v>106</v>
      </c>
      <c r="AC586" s="34">
        <v>45957</v>
      </c>
      <c r="AD586" s="34">
        <v>46173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 t="s">
        <v>122</v>
      </c>
      <c r="AT586">
        <v>27360</v>
      </c>
      <c r="AU586">
        <v>684</v>
      </c>
      <c r="AV586">
        <v>38659680</v>
      </c>
      <c r="AW586">
        <v>966492</v>
      </c>
    </row>
    <row r="587" spans="1:49" hidden="1" x14ac:dyDescent="0.35">
      <c r="A587">
        <v>5824110</v>
      </c>
      <c r="B587">
        <v>1080005824101</v>
      </c>
      <c r="D587">
        <v>30596965934</v>
      </c>
      <c r="E587" t="s">
        <v>1014</v>
      </c>
      <c r="F587" t="s">
        <v>1</v>
      </c>
      <c r="G587" t="s">
        <v>46</v>
      </c>
      <c r="H587" t="s">
        <v>16</v>
      </c>
      <c r="I587">
        <v>7000</v>
      </c>
      <c r="J587">
        <v>1</v>
      </c>
      <c r="K587" t="s">
        <v>16</v>
      </c>
      <c r="L587">
        <v>7999</v>
      </c>
      <c r="M587" t="s">
        <v>691</v>
      </c>
      <c r="N587">
        <v>1</v>
      </c>
      <c r="O587" t="s">
        <v>119</v>
      </c>
      <c r="P587" t="s">
        <v>1019</v>
      </c>
      <c r="Q587">
        <v>1425.6</v>
      </c>
      <c r="R587">
        <v>59400</v>
      </c>
      <c r="S587">
        <v>99</v>
      </c>
      <c r="T587">
        <v>600</v>
      </c>
      <c r="U587">
        <v>26</v>
      </c>
      <c r="V587">
        <v>1413</v>
      </c>
      <c r="W587" t="s">
        <v>121</v>
      </c>
      <c r="X587" t="s">
        <v>1</v>
      </c>
      <c r="Y587">
        <v>2014372.8</v>
      </c>
      <c r="Z587">
        <v>83932200</v>
      </c>
      <c r="AA587">
        <v>847800</v>
      </c>
      <c r="AB587">
        <v>210</v>
      </c>
      <c r="AC587" s="34">
        <v>45957</v>
      </c>
      <c r="AD587" s="34">
        <v>46053</v>
      </c>
      <c r="AF587">
        <v>0</v>
      </c>
      <c r="AG587">
        <v>1684.8</v>
      </c>
      <c r="AH587">
        <v>0</v>
      </c>
      <c r="AI587">
        <v>2380622.4</v>
      </c>
      <c r="AJ587">
        <v>0</v>
      </c>
      <c r="AK587">
        <v>0</v>
      </c>
      <c r="AL587">
        <v>597529.43999999994</v>
      </c>
      <c r="AM587">
        <v>0</v>
      </c>
      <c r="AN587">
        <v>2978151.84</v>
      </c>
      <c r="AO587" t="s">
        <v>122</v>
      </c>
      <c r="AP587">
        <v>12</v>
      </c>
      <c r="AQ587">
        <v>202.18</v>
      </c>
      <c r="AR587">
        <v>285680.34000000003</v>
      </c>
      <c r="AT587">
        <v>35640</v>
      </c>
      <c r="AU587">
        <v>855.36</v>
      </c>
      <c r="AV587">
        <v>50359320</v>
      </c>
      <c r="AW587">
        <v>1208623.68</v>
      </c>
    </row>
    <row r="588" spans="1:49" hidden="1" x14ac:dyDescent="0.35">
      <c r="A588">
        <v>5824110</v>
      </c>
      <c r="B588">
        <v>1080005824101</v>
      </c>
      <c r="D588">
        <v>30596965934</v>
      </c>
      <c r="E588" t="s">
        <v>1014</v>
      </c>
      <c r="F588" t="s">
        <v>1</v>
      </c>
      <c r="G588" t="s">
        <v>46</v>
      </c>
      <c r="H588" t="s">
        <v>16</v>
      </c>
      <c r="I588">
        <v>7000</v>
      </c>
      <c r="J588">
        <v>1</v>
      </c>
      <c r="K588" t="s">
        <v>16</v>
      </c>
      <c r="L588">
        <v>7999</v>
      </c>
      <c r="M588" t="s">
        <v>691</v>
      </c>
      <c r="N588">
        <v>2</v>
      </c>
      <c r="O588" t="s">
        <v>119</v>
      </c>
      <c r="P588" t="s">
        <v>1020</v>
      </c>
      <c r="Q588">
        <v>259.2</v>
      </c>
      <c r="R588">
        <v>10800</v>
      </c>
      <c r="S588">
        <v>18</v>
      </c>
      <c r="T588">
        <v>600</v>
      </c>
      <c r="U588">
        <v>26</v>
      </c>
      <c r="V588">
        <v>1413</v>
      </c>
      <c r="W588" t="s">
        <v>121</v>
      </c>
      <c r="X588" t="s">
        <v>1</v>
      </c>
      <c r="Y588">
        <v>366249.6</v>
      </c>
      <c r="Z588">
        <v>15260400</v>
      </c>
      <c r="AA588">
        <v>847800</v>
      </c>
      <c r="AB588">
        <v>210</v>
      </c>
      <c r="AC588" s="34">
        <v>45957</v>
      </c>
      <c r="AD588" s="34">
        <v>46053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 t="s">
        <v>122</v>
      </c>
      <c r="AT588">
        <v>6480</v>
      </c>
      <c r="AU588">
        <v>155.52000000000001</v>
      </c>
      <c r="AV588">
        <v>9156240</v>
      </c>
      <c r="AW588">
        <v>219749.76000000001</v>
      </c>
    </row>
    <row r="589" spans="1:49" hidden="1" x14ac:dyDescent="0.35">
      <c r="A589">
        <v>5824210</v>
      </c>
      <c r="B589">
        <v>1250005824201</v>
      </c>
      <c r="D589">
        <v>30714320080</v>
      </c>
      <c r="E589" t="s">
        <v>1021</v>
      </c>
      <c r="F589" t="s">
        <v>1</v>
      </c>
      <c r="G589" t="s">
        <v>159</v>
      </c>
      <c r="H589" t="s">
        <v>48</v>
      </c>
      <c r="I589">
        <v>6120</v>
      </c>
      <c r="J589">
        <v>3</v>
      </c>
      <c r="K589" t="s">
        <v>32</v>
      </c>
      <c r="L589">
        <v>4401</v>
      </c>
      <c r="M589" t="s">
        <v>132</v>
      </c>
      <c r="N589">
        <v>1</v>
      </c>
      <c r="O589" t="s">
        <v>125</v>
      </c>
      <c r="P589" t="s">
        <v>1022</v>
      </c>
      <c r="Q589">
        <v>403.2</v>
      </c>
      <c r="R589">
        <v>8400</v>
      </c>
      <c r="S589">
        <v>28</v>
      </c>
      <c r="T589">
        <v>300</v>
      </c>
      <c r="U589">
        <v>26</v>
      </c>
      <c r="V589">
        <v>1406</v>
      </c>
      <c r="W589" t="s">
        <v>121</v>
      </c>
      <c r="X589" t="s">
        <v>1</v>
      </c>
      <c r="Y589">
        <v>566899.19999999995</v>
      </c>
      <c r="Z589">
        <v>11810400</v>
      </c>
      <c r="AA589">
        <v>421800</v>
      </c>
      <c r="AB589">
        <v>212</v>
      </c>
      <c r="AC589" s="34">
        <v>45971</v>
      </c>
      <c r="AD589" s="34">
        <v>46022</v>
      </c>
      <c r="AE589" t="s">
        <v>161</v>
      </c>
      <c r="AF589">
        <v>0</v>
      </c>
      <c r="AG589">
        <v>864</v>
      </c>
      <c r="AH589">
        <v>0</v>
      </c>
      <c r="AI589">
        <v>1214784</v>
      </c>
      <c r="AJ589">
        <v>0</v>
      </c>
      <c r="AK589">
        <v>0</v>
      </c>
      <c r="AL589">
        <v>317053</v>
      </c>
      <c r="AM589">
        <v>0</v>
      </c>
      <c r="AN589">
        <v>1531837</v>
      </c>
      <c r="AO589" t="s">
        <v>122</v>
      </c>
      <c r="AP589">
        <v>15</v>
      </c>
      <c r="AQ589">
        <v>129.6</v>
      </c>
      <c r="AR589">
        <v>182217.60000000001</v>
      </c>
      <c r="AT589">
        <v>5040</v>
      </c>
      <c r="AU589">
        <v>241.92</v>
      </c>
      <c r="AV589">
        <v>7086240</v>
      </c>
      <c r="AW589">
        <v>340139.52000000002</v>
      </c>
    </row>
    <row r="590" spans="1:49" hidden="1" x14ac:dyDescent="0.35">
      <c r="A590">
        <v>5824210</v>
      </c>
      <c r="B590">
        <v>1250005824201</v>
      </c>
      <c r="D590">
        <v>30714320080</v>
      </c>
      <c r="E590" t="s">
        <v>1021</v>
      </c>
      <c r="F590" t="s">
        <v>1</v>
      </c>
      <c r="G590" t="s">
        <v>159</v>
      </c>
      <c r="H590" t="s">
        <v>48</v>
      </c>
      <c r="I590">
        <v>6120</v>
      </c>
      <c r="J590">
        <v>3</v>
      </c>
      <c r="K590" t="s">
        <v>32</v>
      </c>
      <c r="L590">
        <v>4401</v>
      </c>
      <c r="M590" t="s">
        <v>132</v>
      </c>
      <c r="N590">
        <v>2</v>
      </c>
      <c r="O590" t="s">
        <v>125</v>
      </c>
      <c r="P590" t="s">
        <v>1023</v>
      </c>
      <c r="Q590">
        <v>460.8</v>
      </c>
      <c r="R590">
        <v>9600</v>
      </c>
      <c r="S590">
        <v>32</v>
      </c>
      <c r="T590">
        <v>300</v>
      </c>
      <c r="U590">
        <v>26</v>
      </c>
      <c r="V590">
        <v>1406</v>
      </c>
      <c r="W590" t="s">
        <v>121</v>
      </c>
      <c r="X590" t="s">
        <v>1</v>
      </c>
      <c r="Y590">
        <v>647884.80000000005</v>
      </c>
      <c r="Z590">
        <v>13497600</v>
      </c>
      <c r="AA590">
        <v>421800</v>
      </c>
      <c r="AB590">
        <v>212</v>
      </c>
      <c r="AC590" s="34">
        <v>45971</v>
      </c>
      <c r="AD590" s="34">
        <v>46022</v>
      </c>
      <c r="AE590" t="s">
        <v>161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 t="s">
        <v>122</v>
      </c>
      <c r="AT590">
        <v>5760</v>
      </c>
      <c r="AU590">
        <v>276.48</v>
      </c>
      <c r="AV590">
        <v>8098560</v>
      </c>
      <c r="AW590">
        <v>388730.88</v>
      </c>
    </row>
    <row r="591" spans="1:49" hidden="1" x14ac:dyDescent="0.35">
      <c r="A591">
        <v>5824310</v>
      </c>
      <c r="B591">
        <v>1250005824301</v>
      </c>
      <c r="D591">
        <v>30714320080</v>
      </c>
      <c r="E591" t="s">
        <v>1021</v>
      </c>
      <c r="F591" t="s">
        <v>1</v>
      </c>
      <c r="G591" t="s">
        <v>159</v>
      </c>
      <c r="H591" t="s">
        <v>48</v>
      </c>
      <c r="I591">
        <v>6120</v>
      </c>
      <c r="J591">
        <v>3</v>
      </c>
      <c r="K591" t="s">
        <v>32</v>
      </c>
      <c r="L591">
        <v>4401</v>
      </c>
      <c r="M591" t="s">
        <v>132</v>
      </c>
      <c r="N591">
        <v>1</v>
      </c>
      <c r="O591" t="s">
        <v>119</v>
      </c>
      <c r="P591" t="s">
        <v>1024</v>
      </c>
      <c r="Q591">
        <v>604.79999999999995</v>
      </c>
      <c r="R591">
        <v>18900</v>
      </c>
      <c r="S591">
        <v>63</v>
      </c>
      <c r="T591">
        <v>300</v>
      </c>
      <c r="U591">
        <v>26</v>
      </c>
      <c r="V591">
        <v>1406</v>
      </c>
      <c r="W591" t="s">
        <v>121</v>
      </c>
      <c r="X591" t="s">
        <v>1</v>
      </c>
      <c r="Y591">
        <v>850348.8</v>
      </c>
      <c r="Z591">
        <v>26573400</v>
      </c>
      <c r="AA591">
        <v>421800</v>
      </c>
      <c r="AB591">
        <v>106</v>
      </c>
      <c r="AC591" s="34">
        <v>45971</v>
      </c>
      <c r="AD591" s="34">
        <v>46112</v>
      </c>
      <c r="AE591" t="s">
        <v>161</v>
      </c>
      <c r="AF591">
        <v>0</v>
      </c>
      <c r="AG591">
        <v>604.79999999999995</v>
      </c>
      <c r="AH591">
        <v>0</v>
      </c>
      <c r="AI591">
        <v>850348.8</v>
      </c>
      <c r="AJ591">
        <v>0</v>
      </c>
      <c r="AK591">
        <v>0</v>
      </c>
      <c r="AL591">
        <v>221937.1</v>
      </c>
      <c r="AM591">
        <v>0</v>
      </c>
      <c r="AN591">
        <v>1072285.8999999999</v>
      </c>
      <c r="AO591" t="s">
        <v>122</v>
      </c>
      <c r="AP591">
        <v>15</v>
      </c>
      <c r="AQ591">
        <v>90.72</v>
      </c>
      <c r="AR591">
        <v>127552.32000000001</v>
      </c>
      <c r="AT591">
        <v>11340</v>
      </c>
      <c r="AU591">
        <v>362.88</v>
      </c>
      <c r="AV591">
        <v>15944040</v>
      </c>
      <c r="AW591">
        <v>510209.28000000003</v>
      </c>
    </row>
    <row r="592" spans="1:49" hidden="1" x14ac:dyDescent="0.35">
      <c r="A592">
        <v>5824410</v>
      </c>
      <c r="B592">
        <v>1250005824401</v>
      </c>
      <c r="D592">
        <v>20333711541</v>
      </c>
      <c r="E592" t="s">
        <v>1025</v>
      </c>
      <c r="F592" t="s">
        <v>1</v>
      </c>
      <c r="G592" t="s">
        <v>703</v>
      </c>
      <c r="H592" t="s">
        <v>47</v>
      </c>
      <c r="I592">
        <v>2670</v>
      </c>
      <c r="J592">
        <v>3</v>
      </c>
      <c r="K592" t="s">
        <v>32</v>
      </c>
      <c r="L592">
        <v>10067</v>
      </c>
      <c r="M592" t="s">
        <v>704</v>
      </c>
      <c r="N592">
        <v>1</v>
      </c>
      <c r="O592" t="s">
        <v>119</v>
      </c>
      <c r="P592" t="s">
        <v>1026</v>
      </c>
      <c r="Q592">
        <v>1673773.2</v>
      </c>
      <c r="R592">
        <v>43362000</v>
      </c>
      <c r="S592">
        <v>73</v>
      </c>
      <c r="T592">
        <v>594000</v>
      </c>
      <c r="U592">
        <v>1</v>
      </c>
      <c r="V592">
        <v>1</v>
      </c>
      <c r="W592" t="s">
        <v>127</v>
      </c>
      <c r="X592">
        <v>29700</v>
      </c>
      <c r="Y592">
        <v>1673773.2</v>
      </c>
      <c r="Z592">
        <v>43362000</v>
      </c>
      <c r="AA592">
        <v>594000</v>
      </c>
      <c r="AB592">
        <v>105</v>
      </c>
      <c r="AC592" s="34">
        <v>45972</v>
      </c>
      <c r="AD592" s="34">
        <v>46173</v>
      </c>
      <c r="AF592">
        <v>0</v>
      </c>
      <c r="AG592">
        <v>1673773.2</v>
      </c>
      <c r="AH592">
        <v>0</v>
      </c>
      <c r="AI592">
        <v>1673773.2</v>
      </c>
      <c r="AJ592">
        <v>0</v>
      </c>
      <c r="AK592">
        <v>0</v>
      </c>
      <c r="AL592">
        <v>386641.61</v>
      </c>
      <c r="AM592">
        <v>0</v>
      </c>
      <c r="AN592">
        <v>2060414.81</v>
      </c>
      <c r="AO592" t="s">
        <v>122</v>
      </c>
      <c r="AP592">
        <v>10</v>
      </c>
      <c r="AQ592">
        <v>167377.32</v>
      </c>
      <c r="AR592">
        <v>167377.32</v>
      </c>
      <c r="AT592">
        <v>26017200</v>
      </c>
      <c r="AU592">
        <v>1004263.92</v>
      </c>
      <c r="AV592">
        <v>26017200</v>
      </c>
      <c r="AW592">
        <v>1004263.92</v>
      </c>
    </row>
    <row r="593" spans="1:49" hidden="1" x14ac:dyDescent="0.35">
      <c r="A593">
        <v>5824510</v>
      </c>
      <c r="B593">
        <v>1250005824501</v>
      </c>
      <c r="D593">
        <v>20333711541</v>
      </c>
      <c r="E593" t="s">
        <v>1025</v>
      </c>
      <c r="F593" t="s">
        <v>1</v>
      </c>
      <c r="G593" t="s">
        <v>703</v>
      </c>
      <c r="H593" t="s">
        <v>47</v>
      </c>
      <c r="I593">
        <v>2670</v>
      </c>
      <c r="J593">
        <v>3</v>
      </c>
      <c r="K593" t="s">
        <v>32</v>
      </c>
      <c r="L593">
        <v>10067</v>
      </c>
      <c r="M593" t="s">
        <v>704</v>
      </c>
      <c r="N593">
        <v>1</v>
      </c>
      <c r="O593" t="s">
        <v>119</v>
      </c>
      <c r="P593" t="s">
        <v>1027</v>
      </c>
      <c r="Q593">
        <v>427199.47</v>
      </c>
      <c r="R593">
        <v>10548135</v>
      </c>
      <c r="S593">
        <v>13</v>
      </c>
      <c r="T593">
        <v>811395</v>
      </c>
      <c r="U593">
        <v>1</v>
      </c>
      <c r="V593">
        <v>1</v>
      </c>
      <c r="W593" t="s">
        <v>127</v>
      </c>
      <c r="X593">
        <v>54093</v>
      </c>
      <c r="Y593">
        <v>427199.47</v>
      </c>
      <c r="Z593">
        <v>10548135</v>
      </c>
      <c r="AA593">
        <v>811395</v>
      </c>
      <c r="AB593">
        <v>105</v>
      </c>
      <c r="AC593" s="34">
        <v>45972</v>
      </c>
      <c r="AD593" s="34">
        <v>46112</v>
      </c>
      <c r="AF593">
        <v>0</v>
      </c>
      <c r="AG593">
        <v>1183013.9099999999</v>
      </c>
      <c r="AH593">
        <v>0</v>
      </c>
      <c r="AI593">
        <v>1183013.9099999999</v>
      </c>
      <c r="AJ593">
        <v>0</v>
      </c>
      <c r="AK593">
        <v>0</v>
      </c>
      <c r="AL593">
        <v>273276.21000000002</v>
      </c>
      <c r="AM593">
        <v>0</v>
      </c>
      <c r="AN593">
        <v>1456290.12</v>
      </c>
      <c r="AO593" t="s">
        <v>122</v>
      </c>
      <c r="AP593">
        <v>10</v>
      </c>
      <c r="AQ593">
        <v>118301.39</v>
      </c>
      <c r="AR593">
        <v>118301.39</v>
      </c>
      <c r="AT593">
        <v>6328881</v>
      </c>
      <c r="AU593">
        <v>256319.68</v>
      </c>
      <c r="AV593">
        <v>6328881</v>
      </c>
      <c r="AW593">
        <v>256319.68</v>
      </c>
    </row>
    <row r="594" spans="1:49" hidden="1" x14ac:dyDescent="0.35">
      <c r="A594">
        <v>5824510</v>
      </c>
      <c r="B594">
        <v>1250005824501</v>
      </c>
      <c r="D594">
        <v>20333711541</v>
      </c>
      <c r="E594" t="s">
        <v>1025</v>
      </c>
      <c r="F594" t="s">
        <v>1</v>
      </c>
      <c r="G594" t="s">
        <v>703</v>
      </c>
      <c r="H594" t="s">
        <v>47</v>
      </c>
      <c r="I594">
        <v>2670</v>
      </c>
      <c r="J594">
        <v>3</v>
      </c>
      <c r="K594" t="s">
        <v>32</v>
      </c>
      <c r="L594">
        <v>10067</v>
      </c>
      <c r="M594" t="s">
        <v>704</v>
      </c>
      <c r="N594">
        <v>2</v>
      </c>
      <c r="O594" t="s">
        <v>119</v>
      </c>
      <c r="P594" t="s">
        <v>1028</v>
      </c>
      <c r="Q594">
        <v>755814.44</v>
      </c>
      <c r="R594">
        <v>18662085</v>
      </c>
      <c r="S594">
        <v>23</v>
      </c>
      <c r="T594">
        <v>811395</v>
      </c>
      <c r="U594">
        <v>1</v>
      </c>
      <c r="V594">
        <v>1</v>
      </c>
      <c r="W594" t="s">
        <v>127</v>
      </c>
      <c r="X594">
        <v>54093</v>
      </c>
      <c r="Y594">
        <v>755814.44</v>
      </c>
      <c r="Z594">
        <v>18662085</v>
      </c>
      <c r="AA594">
        <v>811395</v>
      </c>
      <c r="AB594">
        <v>105</v>
      </c>
      <c r="AC594" s="34">
        <v>45972</v>
      </c>
      <c r="AD594" s="34">
        <v>46112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 t="s">
        <v>122</v>
      </c>
      <c r="AT594">
        <v>11197251</v>
      </c>
      <c r="AU594">
        <v>453488.66</v>
      </c>
      <c r="AV594">
        <v>11197251</v>
      </c>
      <c r="AW594">
        <v>453488.66</v>
      </c>
    </row>
    <row r="595" spans="1:49" hidden="1" x14ac:dyDescent="0.35">
      <c r="A595">
        <v>5824610</v>
      </c>
      <c r="B595">
        <v>1250005824601</v>
      </c>
      <c r="D595">
        <v>30707212345</v>
      </c>
      <c r="E595" t="s">
        <v>1029</v>
      </c>
      <c r="F595" t="s">
        <v>1</v>
      </c>
      <c r="G595" t="s">
        <v>703</v>
      </c>
      <c r="H595" t="s">
        <v>47</v>
      </c>
      <c r="I595">
        <v>2670</v>
      </c>
      <c r="J595">
        <v>3</v>
      </c>
      <c r="K595" t="s">
        <v>32</v>
      </c>
      <c r="L595">
        <v>10067</v>
      </c>
      <c r="M595" t="s">
        <v>704</v>
      </c>
      <c r="N595">
        <v>1</v>
      </c>
      <c r="O595" t="s">
        <v>119</v>
      </c>
      <c r="P595" t="s">
        <v>1030</v>
      </c>
      <c r="Q595">
        <v>8128890</v>
      </c>
      <c r="R595">
        <v>207900000</v>
      </c>
      <c r="S595">
        <v>350</v>
      </c>
      <c r="T595">
        <v>594000</v>
      </c>
      <c r="U595">
        <v>1</v>
      </c>
      <c r="V595">
        <v>1</v>
      </c>
      <c r="W595" t="s">
        <v>127</v>
      </c>
      <c r="X595">
        <v>29700</v>
      </c>
      <c r="Y595">
        <v>8128890</v>
      </c>
      <c r="Z595">
        <v>207900000</v>
      </c>
      <c r="AA595">
        <v>594000</v>
      </c>
      <c r="AB595">
        <v>105</v>
      </c>
      <c r="AC595" s="34">
        <v>45977</v>
      </c>
      <c r="AD595" s="34">
        <v>46173</v>
      </c>
      <c r="AF595">
        <v>0</v>
      </c>
      <c r="AG595">
        <v>10347480</v>
      </c>
      <c r="AH595">
        <v>0</v>
      </c>
      <c r="AI595">
        <v>10347480</v>
      </c>
      <c r="AJ595">
        <v>0</v>
      </c>
      <c r="AK595">
        <v>0</v>
      </c>
      <c r="AL595">
        <v>2700692.28</v>
      </c>
      <c r="AM595">
        <v>0</v>
      </c>
      <c r="AN595">
        <v>13048172.279999999</v>
      </c>
      <c r="AO595" t="s">
        <v>122</v>
      </c>
      <c r="AP595">
        <v>10</v>
      </c>
      <c r="AQ595">
        <v>1034748</v>
      </c>
      <c r="AR595">
        <v>1034748</v>
      </c>
      <c r="AT595">
        <v>124740000</v>
      </c>
      <c r="AU595">
        <v>4877334</v>
      </c>
      <c r="AV595">
        <v>124740000</v>
      </c>
      <c r="AW595">
        <v>4877334</v>
      </c>
    </row>
    <row r="596" spans="1:49" hidden="1" x14ac:dyDescent="0.35">
      <c r="A596">
        <v>5824610</v>
      </c>
      <c r="B596">
        <v>1250005824601</v>
      </c>
      <c r="D596">
        <v>30707212345</v>
      </c>
      <c r="E596" t="s">
        <v>1029</v>
      </c>
      <c r="F596" t="s">
        <v>1</v>
      </c>
      <c r="G596" t="s">
        <v>454</v>
      </c>
      <c r="H596" t="s">
        <v>48</v>
      </c>
      <c r="I596">
        <v>6123</v>
      </c>
      <c r="J596">
        <v>3</v>
      </c>
      <c r="K596" t="s">
        <v>32</v>
      </c>
      <c r="L596">
        <v>10067</v>
      </c>
      <c r="M596" t="s">
        <v>704</v>
      </c>
      <c r="N596">
        <v>2</v>
      </c>
      <c r="O596" t="s">
        <v>119</v>
      </c>
      <c r="P596" t="s">
        <v>1031</v>
      </c>
      <c r="Q596">
        <v>2218590</v>
      </c>
      <c r="R596">
        <v>53460000</v>
      </c>
      <c r="S596">
        <v>100</v>
      </c>
      <c r="T596">
        <v>534600</v>
      </c>
      <c r="U596">
        <v>1</v>
      </c>
      <c r="V596">
        <v>1</v>
      </c>
      <c r="W596" t="s">
        <v>127</v>
      </c>
      <c r="X596">
        <v>29700</v>
      </c>
      <c r="Y596">
        <v>2218590</v>
      </c>
      <c r="Z596">
        <v>53460000</v>
      </c>
      <c r="AA596">
        <v>534600</v>
      </c>
      <c r="AB596">
        <v>105</v>
      </c>
      <c r="AC596" s="34">
        <v>45977</v>
      </c>
      <c r="AD596" s="34">
        <v>46173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 t="s">
        <v>122</v>
      </c>
      <c r="AT596">
        <v>32076000</v>
      </c>
      <c r="AU596">
        <v>1331154</v>
      </c>
      <c r="AV596">
        <v>32076000</v>
      </c>
      <c r="AW596">
        <v>1331154</v>
      </c>
    </row>
    <row r="597" spans="1:49" hidden="1" x14ac:dyDescent="0.35">
      <c r="A597">
        <v>5824710</v>
      </c>
      <c r="B597">
        <v>1250005824701</v>
      </c>
      <c r="D597">
        <v>30707212345</v>
      </c>
      <c r="E597" t="s">
        <v>1029</v>
      </c>
      <c r="F597" t="s">
        <v>1</v>
      </c>
      <c r="G597" t="s">
        <v>454</v>
      </c>
      <c r="H597" t="s">
        <v>48</v>
      </c>
      <c r="I597">
        <v>6123</v>
      </c>
      <c r="J597">
        <v>3</v>
      </c>
      <c r="K597" t="s">
        <v>32</v>
      </c>
      <c r="L597">
        <v>10067</v>
      </c>
      <c r="M597" t="s">
        <v>704</v>
      </c>
      <c r="N597">
        <v>1</v>
      </c>
      <c r="O597" t="s">
        <v>119</v>
      </c>
      <c r="P597" t="s">
        <v>1032</v>
      </c>
      <c r="Q597">
        <v>2835360</v>
      </c>
      <c r="R597">
        <v>71600000</v>
      </c>
      <c r="S597">
        <v>100</v>
      </c>
      <c r="T597">
        <v>716000</v>
      </c>
      <c r="U597">
        <v>1</v>
      </c>
      <c r="V597">
        <v>1</v>
      </c>
      <c r="W597" t="s">
        <v>127</v>
      </c>
      <c r="X597">
        <v>17900</v>
      </c>
      <c r="Y597">
        <v>2835360</v>
      </c>
      <c r="Z597">
        <v>71600000</v>
      </c>
      <c r="AA597">
        <v>716000</v>
      </c>
      <c r="AB597">
        <v>105</v>
      </c>
      <c r="AC597" s="34">
        <v>45977</v>
      </c>
      <c r="AD597" s="34">
        <v>46203</v>
      </c>
      <c r="AF597">
        <v>0</v>
      </c>
      <c r="AG597">
        <v>5670720</v>
      </c>
      <c r="AH597">
        <v>0</v>
      </c>
      <c r="AI597">
        <v>5670720</v>
      </c>
      <c r="AJ597">
        <v>0</v>
      </c>
      <c r="AK597">
        <v>0</v>
      </c>
      <c r="AL597">
        <v>1480057.92</v>
      </c>
      <c r="AM597">
        <v>0</v>
      </c>
      <c r="AN597">
        <v>7150777.9199999999</v>
      </c>
      <c r="AO597" t="s">
        <v>122</v>
      </c>
      <c r="AP597">
        <v>10</v>
      </c>
      <c r="AQ597">
        <v>567072</v>
      </c>
      <c r="AR597">
        <v>567072</v>
      </c>
      <c r="AT597">
        <v>42960000</v>
      </c>
      <c r="AU597">
        <v>1701216</v>
      </c>
      <c r="AV597">
        <v>42960000</v>
      </c>
      <c r="AW597">
        <v>1701216</v>
      </c>
    </row>
    <row r="598" spans="1:49" hidden="1" x14ac:dyDescent="0.35">
      <c r="A598">
        <v>5824710</v>
      </c>
      <c r="B598">
        <v>1250005824701</v>
      </c>
      <c r="D598">
        <v>30707212345</v>
      </c>
      <c r="E598" t="s">
        <v>1029</v>
      </c>
      <c r="F598" t="s">
        <v>1</v>
      </c>
      <c r="G598" t="s">
        <v>454</v>
      </c>
      <c r="H598" t="s">
        <v>48</v>
      </c>
      <c r="I598">
        <v>6123</v>
      </c>
      <c r="J598">
        <v>3</v>
      </c>
      <c r="K598" t="s">
        <v>32</v>
      </c>
      <c r="L598">
        <v>10067</v>
      </c>
      <c r="M598" t="s">
        <v>704</v>
      </c>
      <c r="N598">
        <v>2</v>
      </c>
      <c r="O598" t="s">
        <v>119</v>
      </c>
      <c r="P598" t="s">
        <v>1033</v>
      </c>
      <c r="Q598">
        <v>2835360</v>
      </c>
      <c r="R598">
        <v>71600000</v>
      </c>
      <c r="S598">
        <v>100</v>
      </c>
      <c r="T598">
        <v>716000</v>
      </c>
      <c r="U598">
        <v>1</v>
      </c>
      <c r="V598">
        <v>1</v>
      </c>
      <c r="W598" t="s">
        <v>127</v>
      </c>
      <c r="X598">
        <v>17900</v>
      </c>
      <c r="Y598">
        <v>2835360</v>
      </c>
      <c r="Z598">
        <v>71600000</v>
      </c>
      <c r="AA598">
        <v>716000</v>
      </c>
      <c r="AB598">
        <v>105</v>
      </c>
      <c r="AC598" s="34">
        <v>45977</v>
      </c>
      <c r="AD598" s="34">
        <v>46203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 t="s">
        <v>122</v>
      </c>
      <c r="AT598">
        <v>42960000</v>
      </c>
      <c r="AU598">
        <v>1701216</v>
      </c>
      <c r="AV598">
        <v>42960000</v>
      </c>
      <c r="AW598">
        <v>1701216</v>
      </c>
    </row>
    <row r="599" spans="1:49" hidden="1" x14ac:dyDescent="0.35">
      <c r="A599">
        <v>5824810</v>
      </c>
      <c r="B599">
        <v>1090005824801</v>
      </c>
      <c r="D599">
        <v>20073631808</v>
      </c>
      <c r="E599" t="s">
        <v>949</v>
      </c>
      <c r="F599" t="s">
        <v>1</v>
      </c>
      <c r="G599" t="s">
        <v>370</v>
      </c>
      <c r="H599" t="s">
        <v>58</v>
      </c>
      <c r="I599">
        <v>6333</v>
      </c>
      <c r="J599">
        <v>21</v>
      </c>
      <c r="K599" t="s">
        <v>33</v>
      </c>
      <c r="L599">
        <v>6864</v>
      </c>
      <c r="M599" t="s">
        <v>371</v>
      </c>
      <c r="N599">
        <v>1</v>
      </c>
      <c r="O599" t="s">
        <v>119</v>
      </c>
      <c r="P599" t="s">
        <v>1034</v>
      </c>
      <c r="Q599">
        <v>1711500</v>
      </c>
      <c r="R599">
        <v>52500000</v>
      </c>
      <c r="S599">
        <v>75</v>
      </c>
      <c r="T599">
        <v>700000</v>
      </c>
      <c r="U599">
        <v>1</v>
      </c>
      <c r="V599">
        <v>1</v>
      </c>
      <c r="W599" t="s">
        <v>121</v>
      </c>
      <c r="X599" t="s">
        <v>1</v>
      </c>
      <c r="Y599">
        <v>1711500</v>
      </c>
      <c r="Z599">
        <v>52500000</v>
      </c>
      <c r="AA599">
        <v>700000</v>
      </c>
      <c r="AB599">
        <v>105</v>
      </c>
      <c r="AC599" s="34">
        <v>45953</v>
      </c>
      <c r="AD599" s="34">
        <v>46142</v>
      </c>
      <c r="AF599">
        <v>0</v>
      </c>
      <c r="AG599">
        <v>1711500</v>
      </c>
      <c r="AH599">
        <v>0</v>
      </c>
      <c r="AI599">
        <v>1711500</v>
      </c>
      <c r="AJ599">
        <v>0</v>
      </c>
      <c r="AK599">
        <v>0</v>
      </c>
      <c r="AL599">
        <v>429586.5</v>
      </c>
      <c r="AM599">
        <v>0</v>
      </c>
      <c r="AN599">
        <v>2141086.5</v>
      </c>
      <c r="AO599" t="s">
        <v>122</v>
      </c>
      <c r="AP599">
        <v>15</v>
      </c>
      <c r="AQ599">
        <v>256725</v>
      </c>
      <c r="AR599">
        <v>256725</v>
      </c>
      <c r="AT599">
        <v>31500000</v>
      </c>
      <c r="AU599">
        <v>1026900</v>
      </c>
      <c r="AV599">
        <v>31500000</v>
      </c>
      <c r="AW599">
        <v>1026900</v>
      </c>
    </row>
    <row r="600" spans="1:49" hidden="1" x14ac:dyDescent="0.35">
      <c r="A600">
        <v>5824910</v>
      </c>
      <c r="B600">
        <v>1090005824901</v>
      </c>
      <c r="D600">
        <v>20117223273</v>
      </c>
      <c r="E600" t="s">
        <v>1035</v>
      </c>
      <c r="F600" t="s">
        <v>1</v>
      </c>
      <c r="G600" t="s">
        <v>568</v>
      </c>
      <c r="H600" t="s">
        <v>57</v>
      </c>
      <c r="I600">
        <v>6360</v>
      </c>
      <c r="J600">
        <v>21</v>
      </c>
      <c r="K600" t="s">
        <v>33</v>
      </c>
      <c r="L600">
        <v>6127</v>
      </c>
      <c r="M600" t="s">
        <v>118</v>
      </c>
      <c r="N600">
        <v>1</v>
      </c>
      <c r="O600" t="s">
        <v>119</v>
      </c>
      <c r="P600" t="s">
        <v>1036</v>
      </c>
      <c r="Q600">
        <v>1112.6400000000001</v>
      </c>
      <c r="R600">
        <v>36600</v>
      </c>
      <c r="S600">
        <v>61</v>
      </c>
      <c r="T600">
        <v>600</v>
      </c>
      <c r="U600">
        <v>26</v>
      </c>
      <c r="V600">
        <v>1403</v>
      </c>
      <c r="W600" t="s">
        <v>121</v>
      </c>
      <c r="X600" t="s">
        <v>1</v>
      </c>
      <c r="Y600">
        <v>1561033.92</v>
      </c>
      <c r="Z600">
        <v>51349800</v>
      </c>
      <c r="AA600">
        <v>841800</v>
      </c>
      <c r="AB600">
        <v>212</v>
      </c>
      <c r="AC600" s="34">
        <v>45970</v>
      </c>
      <c r="AD600" s="34">
        <v>46112</v>
      </c>
      <c r="AF600">
        <v>0</v>
      </c>
      <c r="AG600">
        <v>8499.84</v>
      </c>
      <c r="AH600">
        <v>0</v>
      </c>
      <c r="AI600">
        <v>11925275.52</v>
      </c>
      <c r="AJ600">
        <v>0</v>
      </c>
      <c r="AK600">
        <v>0</v>
      </c>
      <c r="AL600">
        <v>2993258.41</v>
      </c>
      <c r="AM600">
        <v>0</v>
      </c>
      <c r="AN600">
        <v>14918533.93</v>
      </c>
      <c r="AO600" t="s">
        <v>122</v>
      </c>
      <c r="AP600">
        <v>12</v>
      </c>
      <c r="AQ600">
        <v>1019.98</v>
      </c>
      <c r="AR600">
        <v>1431031.94</v>
      </c>
      <c r="AT600">
        <v>21960</v>
      </c>
      <c r="AU600">
        <v>667.58</v>
      </c>
      <c r="AV600">
        <v>30809880</v>
      </c>
      <c r="AW600">
        <v>936614.74</v>
      </c>
    </row>
    <row r="601" spans="1:49" hidden="1" x14ac:dyDescent="0.35">
      <c r="A601">
        <v>5824910</v>
      </c>
      <c r="B601">
        <v>1090005824901</v>
      </c>
      <c r="D601">
        <v>20117223273</v>
      </c>
      <c r="E601" t="s">
        <v>1035</v>
      </c>
      <c r="F601" t="s">
        <v>1</v>
      </c>
      <c r="G601" t="s">
        <v>680</v>
      </c>
      <c r="H601" t="s">
        <v>55</v>
      </c>
      <c r="I601">
        <v>6220</v>
      </c>
      <c r="J601">
        <v>21</v>
      </c>
      <c r="K601" t="s">
        <v>33</v>
      </c>
      <c r="L601">
        <v>6127</v>
      </c>
      <c r="M601" t="s">
        <v>118</v>
      </c>
      <c r="N601">
        <v>2</v>
      </c>
      <c r="O601" t="s">
        <v>119</v>
      </c>
      <c r="P601" t="s">
        <v>1037</v>
      </c>
      <c r="Q601">
        <v>3465.6</v>
      </c>
      <c r="R601">
        <v>114000</v>
      </c>
      <c r="S601">
        <v>190</v>
      </c>
      <c r="T601">
        <v>600</v>
      </c>
      <c r="U601">
        <v>26</v>
      </c>
      <c r="V601">
        <v>1403</v>
      </c>
      <c r="W601" t="s">
        <v>121</v>
      </c>
      <c r="X601" t="s">
        <v>1</v>
      </c>
      <c r="Y601">
        <v>4862236.8</v>
      </c>
      <c r="Z601">
        <v>159942000</v>
      </c>
      <c r="AA601">
        <v>841800</v>
      </c>
      <c r="AB601">
        <v>212</v>
      </c>
      <c r="AC601" s="34">
        <v>45970</v>
      </c>
      <c r="AD601" s="34">
        <v>46112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 t="s">
        <v>122</v>
      </c>
      <c r="AT601">
        <v>68400</v>
      </c>
      <c r="AU601">
        <v>2079.36</v>
      </c>
      <c r="AV601">
        <v>95965200</v>
      </c>
      <c r="AW601">
        <v>2917342.08</v>
      </c>
    </row>
    <row r="602" spans="1:49" hidden="1" x14ac:dyDescent="0.35">
      <c r="A602">
        <v>5824910</v>
      </c>
      <c r="B602">
        <v>1090005824901</v>
      </c>
      <c r="D602">
        <v>20117223273</v>
      </c>
      <c r="E602" t="s">
        <v>1035</v>
      </c>
      <c r="F602" t="s">
        <v>1</v>
      </c>
      <c r="G602" t="s">
        <v>680</v>
      </c>
      <c r="H602" t="s">
        <v>55</v>
      </c>
      <c r="I602">
        <v>6220</v>
      </c>
      <c r="J602">
        <v>21</v>
      </c>
      <c r="K602" t="s">
        <v>33</v>
      </c>
      <c r="L602">
        <v>6127</v>
      </c>
      <c r="M602" t="s">
        <v>118</v>
      </c>
      <c r="N602">
        <v>3</v>
      </c>
      <c r="O602" t="s">
        <v>119</v>
      </c>
      <c r="P602" t="s">
        <v>1038</v>
      </c>
      <c r="Q602">
        <v>1459.2</v>
      </c>
      <c r="R602">
        <v>48000</v>
      </c>
      <c r="S602">
        <v>80</v>
      </c>
      <c r="T602">
        <v>600</v>
      </c>
      <c r="U602">
        <v>26</v>
      </c>
      <c r="V602">
        <v>1403</v>
      </c>
      <c r="W602" t="s">
        <v>121</v>
      </c>
      <c r="X602" t="s">
        <v>1</v>
      </c>
      <c r="Y602">
        <v>2047257.6000000001</v>
      </c>
      <c r="Z602">
        <v>67344000</v>
      </c>
      <c r="AA602">
        <v>841800</v>
      </c>
      <c r="AB602">
        <v>212</v>
      </c>
      <c r="AC602" s="34">
        <v>45970</v>
      </c>
      <c r="AD602" s="34">
        <v>46112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 t="s">
        <v>122</v>
      </c>
      <c r="AT602">
        <v>28800</v>
      </c>
      <c r="AU602">
        <v>875.52</v>
      </c>
      <c r="AV602">
        <v>40406400</v>
      </c>
      <c r="AW602">
        <v>1228354.5600000001</v>
      </c>
    </row>
    <row r="603" spans="1:49" hidden="1" x14ac:dyDescent="0.35">
      <c r="A603">
        <v>5824910</v>
      </c>
      <c r="B603">
        <v>1090005824901</v>
      </c>
      <c r="D603">
        <v>20117223273</v>
      </c>
      <c r="E603" t="s">
        <v>1035</v>
      </c>
      <c r="F603" t="s">
        <v>1</v>
      </c>
      <c r="G603" t="s">
        <v>680</v>
      </c>
      <c r="H603" t="s">
        <v>55</v>
      </c>
      <c r="I603">
        <v>6220</v>
      </c>
      <c r="J603">
        <v>21</v>
      </c>
      <c r="K603" t="s">
        <v>33</v>
      </c>
      <c r="L603">
        <v>6127</v>
      </c>
      <c r="M603" t="s">
        <v>118</v>
      </c>
      <c r="N603">
        <v>4</v>
      </c>
      <c r="O603" t="s">
        <v>119</v>
      </c>
      <c r="P603" t="s">
        <v>1039</v>
      </c>
      <c r="Q603">
        <v>2462.4</v>
      </c>
      <c r="R603">
        <v>81000</v>
      </c>
      <c r="S603">
        <v>135</v>
      </c>
      <c r="T603">
        <v>600</v>
      </c>
      <c r="U603">
        <v>26</v>
      </c>
      <c r="V603">
        <v>1403</v>
      </c>
      <c r="W603" t="s">
        <v>121</v>
      </c>
      <c r="X603" t="s">
        <v>1</v>
      </c>
      <c r="Y603">
        <v>3454747.2</v>
      </c>
      <c r="Z603">
        <v>113643000</v>
      </c>
      <c r="AA603">
        <v>841800</v>
      </c>
      <c r="AB603">
        <v>212</v>
      </c>
      <c r="AC603" s="34">
        <v>45970</v>
      </c>
      <c r="AD603" s="34">
        <v>46112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 t="s">
        <v>122</v>
      </c>
      <c r="AT603">
        <v>48600</v>
      </c>
      <c r="AU603">
        <v>1477.44</v>
      </c>
      <c r="AV603">
        <v>68185800</v>
      </c>
      <c r="AW603">
        <v>2072848.32</v>
      </c>
    </row>
    <row r="604" spans="1:49" hidden="1" x14ac:dyDescent="0.35">
      <c r="A604">
        <v>5825010</v>
      </c>
      <c r="B604">
        <v>1170005825001</v>
      </c>
      <c r="D604">
        <v>20310389766</v>
      </c>
      <c r="E604" t="s">
        <v>594</v>
      </c>
      <c r="F604" t="s">
        <v>1</v>
      </c>
      <c r="G604" t="s">
        <v>226</v>
      </c>
      <c r="H604" t="s">
        <v>63</v>
      </c>
      <c r="I604">
        <v>2535</v>
      </c>
      <c r="J604">
        <v>12</v>
      </c>
      <c r="K604" t="s">
        <v>34</v>
      </c>
      <c r="L604">
        <v>83429</v>
      </c>
      <c r="M604" t="s">
        <v>140</v>
      </c>
      <c r="N604">
        <v>1</v>
      </c>
      <c r="O604" t="s">
        <v>119</v>
      </c>
      <c r="P604" t="s">
        <v>1040</v>
      </c>
      <c r="Q604">
        <v>589842</v>
      </c>
      <c r="R604">
        <v>28512000</v>
      </c>
      <c r="S604">
        <v>32</v>
      </c>
      <c r="T604">
        <v>891000</v>
      </c>
      <c r="U604">
        <v>1</v>
      </c>
      <c r="V604">
        <v>1</v>
      </c>
      <c r="W604" t="s">
        <v>127</v>
      </c>
      <c r="X604">
        <v>29700</v>
      </c>
      <c r="Y604">
        <v>589842</v>
      </c>
      <c r="Z604">
        <v>28512000</v>
      </c>
      <c r="AA604">
        <v>891000</v>
      </c>
      <c r="AB604">
        <v>105</v>
      </c>
      <c r="AC604" s="34">
        <v>45977</v>
      </c>
      <c r="AD604" s="34">
        <v>46173</v>
      </c>
      <c r="AF604">
        <v>0</v>
      </c>
      <c r="AG604">
        <v>589842</v>
      </c>
      <c r="AH604">
        <v>0</v>
      </c>
      <c r="AI604">
        <v>589842</v>
      </c>
      <c r="AJ604">
        <v>0</v>
      </c>
      <c r="AK604">
        <v>0</v>
      </c>
      <c r="AL604">
        <v>150999.54999999999</v>
      </c>
      <c r="AM604">
        <v>0</v>
      </c>
      <c r="AN604">
        <v>740841.55</v>
      </c>
      <c r="AO604" t="s">
        <v>122</v>
      </c>
      <c r="AP604">
        <v>15</v>
      </c>
      <c r="AQ604">
        <v>88476.3</v>
      </c>
      <c r="AR604">
        <v>88476.3</v>
      </c>
      <c r="AT604">
        <v>17107200</v>
      </c>
      <c r="AU604">
        <v>353905.2</v>
      </c>
      <c r="AV604">
        <v>17107200</v>
      </c>
      <c r="AW604">
        <v>353905.2</v>
      </c>
    </row>
    <row r="605" spans="1:49" hidden="1" x14ac:dyDescent="0.35">
      <c r="A605">
        <v>5825110</v>
      </c>
      <c r="B605">
        <v>1170005825101</v>
      </c>
      <c r="D605">
        <v>20061405241</v>
      </c>
      <c r="E605" t="s">
        <v>861</v>
      </c>
      <c r="F605" t="s">
        <v>1</v>
      </c>
      <c r="G605" t="s">
        <v>862</v>
      </c>
      <c r="H605" t="s">
        <v>60</v>
      </c>
      <c r="I605">
        <v>2919</v>
      </c>
      <c r="J605">
        <v>12</v>
      </c>
      <c r="K605" t="s">
        <v>34</v>
      </c>
      <c r="L605">
        <v>7054</v>
      </c>
      <c r="M605" t="s">
        <v>863</v>
      </c>
      <c r="N605">
        <v>1</v>
      </c>
      <c r="O605" t="s">
        <v>119</v>
      </c>
      <c r="P605" t="s">
        <v>1041</v>
      </c>
      <c r="Q605">
        <v>271950</v>
      </c>
      <c r="R605">
        <v>10000000</v>
      </c>
      <c r="S605">
        <v>20</v>
      </c>
      <c r="T605">
        <v>500000</v>
      </c>
      <c r="U605">
        <v>1</v>
      </c>
      <c r="V605">
        <v>1</v>
      </c>
      <c r="W605" t="s">
        <v>121</v>
      </c>
      <c r="X605" t="s">
        <v>1</v>
      </c>
      <c r="Y605">
        <v>271950</v>
      </c>
      <c r="Z605">
        <v>10000000</v>
      </c>
      <c r="AA605">
        <v>500000</v>
      </c>
      <c r="AB605">
        <v>105</v>
      </c>
      <c r="AC605" s="34">
        <v>45978</v>
      </c>
      <c r="AD605" s="34">
        <v>46173</v>
      </c>
      <c r="AE605" t="s">
        <v>161</v>
      </c>
      <c r="AF605">
        <v>0</v>
      </c>
      <c r="AG605">
        <v>271950</v>
      </c>
      <c r="AH605">
        <v>0</v>
      </c>
      <c r="AI605">
        <v>271950</v>
      </c>
      <c r="AJ605">
        <v>0</v>
      </c>
      <c r="AK605">
        <v>0</v>
      </c>
      <c r="AL605">
        <v>69619.199999999997</v>
      </c>
      <c r="AM605">
        <v>0</v>
      </c>
      <c r="AN605">
        <v>341569.2</v>
      </c>
      <c r="AO605" t="s">
        <v>122</v>
      </c>
      <c r="AP605">
        <v>15</v>
      </c>
      <c r="AQ605">
        <v>40792.5</v>
      </c>
      <c r="AR605">
        <v>40792.5</v>
      </c>
      <c r="AT605">
        <v>6000000</v>
      </c>
      <c r="AU605">
        <v>163170</v>
      </c>
      <c r="AV605">
        <v>6000000</v>
      </c>
      <c r="AW605">
        <v>163170</v>
      </c>
    </row>
    <row r="606" spans="1:49" hidden="1" x14ac:dyDescent="0.35">
      <c r="A606">
        <v>5825210</v>
      </c>
      <c r="B606">
        <v>1250005825201</v>
      </c>
      <c r="D606">
        <v>20245851260</v>
      </c>
      <c r="E606" t="s">
        <v>1042</v>
      </c>
      <c r="F606" t="s">
        <v>1</v>
      </c>
      <c r="G606" t="s">
        <v>1043</v>
      </c>
      <c r="H606" t="s">
        <v>47</v>
      </c>
      <c r="I606">
        <v>5923</v>
      </c>
      <c r="J606">
        <v>3</v>
      </c>
      <c r="K606" t="s">
        <v>32</v>
      </c>
      <c r="L606">
        <v>6435</v>
      </c>
      <c r="M606" t="s">
        <v>175</v>
      </c>
      <c r="N606">
        <v>1</v>
      </c>
      <c r="O606" t="s">
        <v>119</v>
      </c>
      <c r="P606" t="s">
        <v>1044</v>
      </c>
      <c r="Q606">
        <v>2067120</v>
      </c>
      <c r="R606">
        <v>47520000</v>
      </c>
      <c r="S606">
        <v>160</v>
      </c>
      <c r="T606">
        <v>297000</v>
      </c>
      <c r="U606">
        <v>1</v>
      </c>
      <c r="V606">
        <v>1</v>
      </c>
      <c r="W606" t="s">
        <v>127</v>
      </c>
      <c r="X606">
        <v>29700</v>
      </c>
      <c r="Y606">
        <v>2067120</v>
      </c>
      <c r="Z606">
        <v>47520000</v>
      </c>
      <c r="AA606">
        <v>297000</v>
      </c>
      <c r="AB606">
        <v>105</v>
      </c>
      <c r="AC606" s="34">
        <v>45974</v>
      </c>
      <c r="AD606" s="34">
        <v>46173</v>
      </c>
      <c r="AF606">
        <v>0</v>
      </c>
      <c r="AG606">
        <v>2067120</v>
      </c>
      <c r="AH606">
        <v>0</v>
      </c>
      <c r="AI606">
        <v>2067120</v>
      </c>
      <c r="AJ606">
        <v>0</v>
      </c>
      <c r="AK606">
        <v>0</v>
      </c>
      <c r="AL606">
        <v>539518.31999999995</v>
      </c>
      <c r="AM606">
        <v>0</v>
      </c>
      <c r="AN606">
        <v>2606638.3199999998</v>
      </c>
      <c r="AO606" t="s">
        <v>122</v>
      </c>
      <c r="AP606">
        <v>15</v>
      </c>
      <c r="AQ606">
        <v>310068</v>
      </c>
      <c r="AR606">
        <v>310068</v>
      </c>
      <c r="AT606">
        <v>28512000</v>
      </c>
      <c r="AU606">
        <v>1240272</v>
      </c>
      <c r="AV606">
        <v>28512000</v>
      </c>
      <c r="AW606">
        <v>1240272</v>
      </c>
    </row>
    <row r="607" spans="1:49" hidden="1" x14ac:dyDescent="0.35">
      <c r="A607">
        <v>5825310</v>
      </c>
      <c r="B607">
        <v>1250005825301</v>
      </c>
      <c r="D607">
        <v>27059617112</v>
      </c>
      <c r="E607" t="s">
        <v>1045</v>
      </c>
      <c r="F607" t="s">
        <v>1</v>
      </c>
      <c r="G607" t="s">
        <v>1043</v>
      </c>
      <c r="H607" t="s">
        <v>47</v>
      </c>
      <c r="I607">
        <v>5923</v>
      </c>
      <c r="J607">
        <v>3</v>
      </c>
      <c r="K607" t="s">
        <v>32</v>
      </c>
      <c r="L607">
        <v>6435</v>
      </c>
      <c r="M607" t="s">
        <v>175</v>
      </c>
      <c r="N607">
        <v>1</v>
      </c>
      <c r="O607" t="s">
        <v>119</v>
      </c>
      <c r="P607" t="s">
        <v>1046</v>
      </c>
      <c r="Q607">
        <v>2067120</v>
      </c>
      <c r="R607">
        <v>47520000</v>
      </c>
      <c r="S607">
        <v>160</v>
      </c>
      <c r="T607">
        <v>297000</v>
      </c>
      <c r="U607">
        <v>1</v>
      </c>
      <c r="V607">
        <v>1</v>
      </c>
      <c r="W607" t="s">
        <v>127</v>
      </c>
      <c r="X607">
        <v>29700</v>
      </c>
      <c r="Y607">
        <v>2067120</v>
      </c>
      <c r="Z607">
        <v>47520000</v>
      </c>
      <c r="AA607">
        <v>297000</v>
      </c>
      <c r="AB607">
        <v>105</v>
      </c>
      <c r="AC607" s="34">
        <v>45974</v>
      </c>
      <c r="AD607" s="34">
        <v>46173</v>
      </c>
      <c r="AF607">
        <v>0</v>
      </c>
      <c r="AG607">
        <v>2067120</v>
      </c>
      <c r="AH607">
        <v>0</v>
      </c>
      <c r="AI607">
        <v>2067120</v>
      </c>
      <c r="AJ607">
        <v>0</v>
      </c>
      <c r="AK607">
        <v>0</v>
      </c>
      <c r="AL607">
        <v>539518.31999999995</v>
      </c>
      <c r="AM607">
        <v>0</v>
      </c>
      <c r="AN607">
        <v>2606638.3199999998</v>
      </c>
      <c r="AO607" t="s">
        <v>122</v>
      </c>
      <c r="AP607">
        <v>15</v>
      </c>
      <c r="AQ607">
        <v>310068</v>
      </c>
      <c r="AR607">
        <v>310068</v>
      </c>
      <c r="AT607">
        <v>28512000</v>
      </c>
      <c r="AU607">
        <v>1240272</v>
      </c>
      <c r="AV607">
        <v>28512000</v>
      </c>
      <c r="AW607">
        <v>1240272</v>
      </c>
    </row>
    <row r="608" spans="1:49" hidden="1" x14ac:dyDescent="0.35">
      <c r="A608">
        <v>5825410</v>
      </c>
      <c r="B608">
        <v>1250005825401</v>
      </c>
      <c r="D608">
        <v>30512426952</v>
      </c>
      <c r="E608" t="s">
        <v>173</v>
      </c>
      <c r="F608" t="s">
        <v>1</v>
      </c>
      <c r="G608" t="s">
        <v>174</v>
      </c>
      <c r="H608" t="s">
        <v>51</v>
      </c>
      <c r="I608">
        <v>5929</v>
      </c>
      <c r="J608">
        <v>3</v>
      </c>
      <c r="K608" t="s">
        <v>32</v>
      </c>
      <c r="L608">
        <v>6435</v>
      </c>
      <c r="M608" t="s">
        <v>175</v>
      </c>
      <c r="N608">
        <v>1</v>
      </c>
      <c r="O608" t="s">
        <v>119</v>
      </c>
      <c r="P608" t="s">
        <v>1047</v>
      </c>
      <c r="Q608">
        <v>7185024</v>
      </c>
      <c r="R608">
        <v>133056000</v>
      </c>
      <c r="S608">
        <v>224</v>
      </c>
      <c r="T608">
        <v>594000</v>
      </c>
      <c r="U608">
        <v>1</v>
      </c>
      <c r="V608">
        <v>1</v>
      </c>
      <c r="W608" t="s">
        <v>127</v>
      </c>
      <c r="X608">
        <v>29700</v>
      </c>
      <c r="Y608">
        <v>7185024</v>
      </c>
      <c r="Z608">
        <v>133056000</v>
      </c>
      <c r="AA608">
        <v>594000</v>
      </c>
      <c r="AB608">
        <v>105</v>
      </c>
      <c r="AC608" s="34">
        <v>45975</v>
      </c>
      <c r="AD608" s="34">
        <v>46173</v>
      </c>
      <c r="AF608">
        <v>0</v>
      </c>
      <c r="AG608">
        <v>11386980</v>
      </c>
      <c r="AH608">
        <v>0</v>
      </c>
      <c r="AI608">
        <v>11386980</v>
      </c>
      <c r="AJ608">
        <v>0</v>
      </c>
      <c r="AK608">
        <v>0</v>
      </c>
      <c r="AL608">
        <v>2972001.78</v>
      </c>
      <c r="AM608">
        <v>0</v>
      </c>
      <c r="AN608">
        <v>14358981.779999999</v>
      </c>
      <c r="AO608" t="s">
        <v>122</v>
      </c>
      <c r="AP608">
        <v>15</v>
      </c>
      <c r="AQ608">
        <v>1708047</v>
      </c>
      <c r="AR608">
        <v>1708047</v>
      </c>
      <c r="AT608">
        <v>79833600</v>
      </c>
      <c r="AU608">
        <v>4311014.4000000004</v>
      </c>
      <c r="AV608">
        <v>79833600</v>
      </c>
      <c r="AW608">
        <v>4311014.4000000004</v>
      </c>
    </row>
    <row r="609" spans="1:49" hidden="1" x14ac:dyDescent="0.35">
      <c r="A609">
        <v>5825410</v>
      </c>
      <c r="B609">
        <v>1250005825401</v>
      </c>
      <c r="D609">
        <v>30512426952</v>
      </c>
      <c r="E609" t="s">
        <v>173</v>
      </c>
      <c r="F609" t="s">
        <v>1</v>
      </c>
      <c r="G609" t="s">
        <v>979</v>
      </c>
      <c r="H609" t="s">
        <v>51</v>
      </c>
      <c r="I609">
        <v>5933</v>
      </c>
      <c r="J609">
        <v>3</v>
      </c>
      <c r="K609" t="s">
        <v>32</v>
      </c>
      <c r="L609">
        <v>6435</v>
      </c>
      <c r="M609" t="s">
        <v>175</v>
      </c>
      <c r="N609">
        <v>2</v>
      </c>
      <c r="O609" t="s">
        <v>119</v>
      </c>
      <c r="P609" t="s">
        <v>1048</v>
      </c>
      <c r="Q609">
        <v>4201956</v>
      </c>
      <c r="R609">
        <v>77814000</v>
      </c>
      <c r="S609">
        <v>131</v>
      </c>
      <c r="T609">
        <v>594000</v>
      </c>
      <c r="U609">
        <v>1</v>
      </c>
      <c r="V609">
        <v>1</v>
      </c>
      <c r="W609" t="s">
        <v>127</v>
      </c>
      <c r="X609">
        <v>29700</v>
      </c>
      <c r="Y609">
        <v>4201956</v>
      </c>
      <c r="Z609">
        <v>77814000</v>
      </c>
      <c r="AA609">
        <v>594000</v>
      </c>
      <c r="AB609">
        <v>105</v>
      </c>
      <c r="AC609" s="34">
        <v>45975</v>
      </c>
      <c r="AD609" s="34">
        <v>46173</v>
      </c>
      <c r="AF609">
        <v>1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 t="s">
        <v>122</v>
      </c>
      <c r="AT609">
        <v>46688400</v>
      </c>
      <c r="AU609">
        <v>2521173.6</v>
      </c>
      <c r="AV609">
        <v>46688400</v>
      </c>
      <c r="AW609">
        <v>2521173.6</v>
      </c>
    </row>
    <row r="610" spans="1:49" hidden="1" x14ac:dyDescent="0.35">
      <c r="A610">
        <v>5825510</v>
      </c>
      <c r="B610">
        <v>1170005825501</v>
      </c>
      <c r="D610">
        <v>30708823879</v>
      </c>
      <c r="E610" t="s">
        <v>146</v>
      </c>
      <c r="F610" t="s">
        <v>1</v>
      </c>
      <c r="G610" t="s">
        <v>226</v>
      </c>
      <c r="H610" t="s">
        <v>63</v>
      </c>
      <c r="I610">
        <v>2535</v>
      </c>
      <c r="J610">
        <v>12</v>
      </c>
      <c r="K610" t="s">
        <v>34</v>
      </c>
      <c r="L610">
        <v>83429</v>
      </c>
      <c r="M610" t="s">
        <v>140</v>
      </c>
      <c r="N610">
        <v>1</v>
      </c>
      <c r="O610" t="s">
        <v>119</v>
      </c>
      <c r="P610" t="s">
        <v>1049</v>
      </c>
      <c r="Q610">
        <v>2801304</v>
      </c>
      <c r="R610">
        <v>135432000</v>
      </c>
      <c r="S610">
        <v>152</v>
      </c>
      <c r="T610">
        <v>891000</v>
      </c>
      <c r="U610">
        <v>1</v>
      </c>
      <c r="V610">
        <v>1</v>
      </c>
      <c r="W610" t="s">
        <v>127</v>
      </c>
      <c r="X610">
        <v>29700</v>
      </c>
      <c r="Y610">
        <v>2801304</v>
      </c>
      <c r="Z610">
        <v>135432000</v>
      </c>
      <c r="AA610">
        <v>891000</v>
      </c>
      <c r="AB610">
        <v>105</v>
      </c>
      <c r="AC610" s="34">
        <v>45979</v>
      </c>
      <c r="AD610" s="34">
        <v>46173</v>
      </c>
      <c r="AF610">
        <v>0</v>
      </c>
      <c r="AG610">
        <v>2801304</v>
      </c>
      <c r="AH610">
        <v>0</v>
      </c>
      <c r="AI610">
        <v>2801304</v>
      </c>
      <c r="AJ610">
        <v>0</v>
      </c>
      <c r="AK610">
        <v>0</v>
      </c>
      <c r="AL610">
        <v>717133.82</v>
      </c>
      <c r="AM610">
        <v>0</v>
      </c>
      <c r="AN610">
        <v>3518437.82</v>
      </c>
      <c r="AO610" t="s">
        <v>122</v>
      </c>
      <c r="AP610">
        <v>15</v>
      </c>
      <c r="AQ610">
        <v>420195.6</v>
      </c>
      <c r="AR610">
        <v>420195.6</v>
      </c>
      <c r="AT610">
        <v>81259200</v>
      </c>
      <c r="AU610">
        <v>1680782.4</v>
      </c>
      <c r="AV610">
        <v>81259200</v>
      </c>
      <c r="AW610">
        <v>1680782.4</v>
      </c>
    </row>
    <row r="611" spans="1:49" hidden="1" x14ac:dyDescent="0.35">
      <c r="A611">
        <v>5825610</v>
      </c>
      <c r="B611">
        <v>1170005825601</v>
      </c>
      <c r="D611">
        <v>23160288949</v>
      </c>
      <c r="E611" t="s">
        <v>657</v>
      </c>
      <c r="F611" t="s">
        <v>1</v>
      </c>
      <c r="G611" t="s">
        <v>50</v>
      </c>
      <c r="H611" t="s">
        <v>50</v>
      </c>
      <c r="I611">
        <v>3040</v>
      </c>
      <c r="J611">
        <v>12</v>
      </c>
      <c r="K611" t="s">
        <v>34</v>
      </c>
      <c r="L611">
        <v>10723</v>
      </c>
      <c r="M611" t="s">
        <v>658</v>
      </c>
      <c r="N611">
        <v>1</v>
      </c>
      <c r="O611" t="s">
        <v>119</v>
      </c>
      <c r="P611" t="s">
        <v>1050</v>
      </c>
      <c r="Q611">
        <v>1235484.1200000001</v>
      </c>
      <c r="R611">
        <v>31373940</v>
      </c>
      <c r="S611">
        <v>29</v>
      </c>
      <c r="T611">
        <v>1081860</v>
      </c>
      <c r="U611">
        <v>1</v>
      </c>
      <c r="V611">
        <v>1</v>
      </c>
      <c r="W611" t="s">
        <v>127</v>
      </c>
      <c r="X611">
        <v>54093</v>
      </c>
      <c r="Y611">
        <v>1235484.1200000001</v>
      </c>
      <c r="Z611">
        <v>31373940</v>
      </c>
      <c r="AA611">
        <v>1081860</v>
      </c>
      <c r="AB611">
        <v>105</v>
      </c>
      <c r="AC611" s="34">
        <v>45980</v>
      </c>
      <c r="AD611" s="34">
        <v>46112</v>
      </c>
      <c r="AE611" t="s">
        <v>355</v>
      </c>
      <c r="AF611">
        <v>0</v>
      </c>
      <c r="AG611">
        <v>1235484.1200000001</v>
      </c>
      <c r="AH611">
        <v>0</v>
      </c>
      <c r="AI611">
        <v>1235484.1200000001</v>
      </c>
      <c r="AJ611">
        <v>0</v>
      </c>
      <c r="AK611">
        <v>0</v>
      </c>
      <c r="AL611">
        <v>316283.93</v>
      </c>
      <c r="AM611">
        <v>0</v>
      </c>
      <c r="AN611">
        <v>1551768.05</v>
      </c>
      <c r="AO611" t="s">
        <v>122</v>
      </c>
      <c r="AP611">
        <v>15</v>
      </c>
      <c r="AQ611">
        <v>185322.62</v>
      </c>
      <c r="AR611">
        <v>185322.62</v>
      </c>
      <c r="AT611">
        <v>18824364</v>
      </c>
      <c r="AU611">
        <v>741290.47</v>
      </c>
      <c r="AV611">
        <v>18824364</v>
      </c>
      <c r="AW611">
        <v>741290.47</v>
      </c>
    </row>
    <row r="612" spans="1:49" hidden="1" x14ac:dyDescent="0.35">
      <c r="A612">
        <v>5825710</v>
      </c>
      <c r="B612">
        <v>1170005825701</v>
      </c>
      <c r="D612">
        <v>23238019109</v>
      </c>
      <c r="E612" t="s">
        <v>142</v>
      </c>
      <c r="F612" t="s">
        <v>1</v>
      </c>
      <c r="G612" t="s">
        <v>226</v>
      </c>
      <c r="H612" t="s">
        <v>63</v>
      </c>
      <c r="I612">
        <v>2535</v>
      </c>
      <c r="J612">
        <v>12</v>
      </c>
      <c r="K612" t="s">
        <v>34</v>
      </c>
      <c r="L612">
        <v>83429</v>
      </c>
      <c r="M612" t="s">
        <v>140</v>
      </c>
      <c r="N612">
        <v>1</v>
      </c>
      <c r="O612" t="s">
        <v>119</v>
      </c>
      <c r="P612" t="s">
        <v>1051</v>
      </c>
      <c r="Q612">
        <v>284665</v>
      </c>
      <c r="R612">
        <v>15760000</v>
      </c>
      <c r="S612">
        <v>16</v>
      </c>
      <c r="T612">
        <v>985000</v>
      </c>
      <c r="U612">
        <v>1</v>
      </c>
      <c r="V612">
        <v>1</v>
      </c>
      <c r="W612" t="s">
        <v>127</v>
      </c>
      <c r="X612">
        <v>19700</v>
      </c>
      <c r="Y612">
        <v>284665</v>
      </c>
      <c r="Z612">
        <v>15760000</v>
      </c>
      <c r="AA612">
        <v>985000</v>
      </c>
      <c r="AB612">
        <v>212</v>
      </c>
      <c r="AC612" s="34">
        <v>45980</v>
      </c>
      <c r="AD612" s="34">
        <v>46142</v>
      </c>
      <c r="AF612">
        <v>0</v>
      </c>
      <c r="AG612">
        <v>284665</v>
      </c>
      <c r="AH612">
        <v>0</v>
      </c>
      <c r="AI612">
        <v>284665</v>
      </c>
      <c r="AJ612">
        <v>0</v>
      </c>
      <c r="AK612">
        <v>0</v>
      </c>
      <c r="AL612">
        <v>72874.25</v>
      </c>
      <c r="AM612">
        <v>0</v>
      </c>
      <c r="AN612">
        <v>357539.25</v>
      </c>
      <c r="AO612" t="s">
        <v>122</v>
      </c>
      <c r="AP612">
        <v>15</v>
      </c>
      <c r="AQ612">
        <v>42699.75</v>
      </c>
      <c r="AR612">
        <v>42699.75</v>
      </c>
      <c r="AT612">
        <v>9456000</v>
      </c>
      <c r="AU612">
        <v>170799</v>
      </c>
      <c r="AV612">
        <v>9456000</v>
      </c>
      <c r="AW612">
        <v>170799</v>
      </c>
    </row>
    <row r="613" spans="1:49" hidden="1" x14ac:dyDescent="0.35">
      <c r="A613">
        <v>5825810</v>
      </c>
      <c r="B613">
        <v>1170005825801</v>
      </c>
      <c r="D613">
        <v>20293520942</v>
      </c>
      <c r="E613" t="s">
        <v>1052</v>
      </c>
      <c r="F613" t="s">
        <v>1</v>
      </c>
      <c r="G613" t="s">
        <v>226</v>
      </c>
      <c r="H613" t="s">
        <v>63</v>
      </c>
      <c r="I613">
        <v>2535</v>
      </c>
      <c r="J613">
        <v>12</v>
      </c>
      <c r="K613" t="s">
        <v>34</v>
      </c>
      <c r="L613">
        <v>83429</v>
      </c>
      <c r="M613" t="s">
        <v>140</v>
      </c>
      <c r="N613">
        <v>1</v>
      </c>
      <c r="O613" t="s">
        <v>119</v>
      </c>
      <c r="P613" t="s">
        <v>1053</v>
      </c>
      <c r="Q613">
        <v>355782</v>
      </c>
      <c r="R613">
        <v>19700000</v>
      </c>
      <c r="S613">
        <v>20</v>
      </c>
      <c r="T613">
        <v>985000</v>
      </c>
      <c r="U613">
        <v>1</v>
      </c>
      <c r="V613">
        <v>1</v>
      </c>
      <c r="W613" t="s">
        <v>127</v>
      </c>
      <c r="X613">
        <v>19700</v>
      </c>
      <c r="Y613">
        <v>355782</v>
      </c>
      <c r="Z613">
        <v>19700000</v>
      </c>
      <c r="AA613">
        <v>985000</v>
      </c>
      <c r="AB613">
        <v>212</v>
      </c>
      <c r="AC613" s="34">
        <v>45980</v>
      </c>
      <c r="AD613" s="34">
        <v>46142</v>
      </c>
      <c r="AF613">
        <v>0</v>
      </c>
      <c r="AG613">
        <v>355782</v>
      </c>
      <c r="AH613">
        <v>0</v>
      </c>
      <c r="AI613">
        <v>355782</v>
      </c>
      <c r="AJ613">
        <v>0</v>
      </c>
      <c r="AK613">
        <v>0</v>
      </c>
      <c r="AL613">
        <v>91080.19</v>
      </c>
      <c r="AM613">
        <v>0</v>
      </c>
      <c r="AN613">
        <v>446862.19</v>
      </c>
      <c r="AO613" t="s">
        <v>122</v>
      </c>
      <c r="AP613">
        <v>15</v>
      </c>
      <c r="AQ613">
        <v>53367.3</v>
      </c>
      <c r="AR613">
        <v>53367.3</v>
      </c>
      <c r="AT613">
        <v>11820000</v>
      </c>
      <c r="AU613">
        <v>213469.2</v>
      </c>
      <c r="AV613">
        <v>11820000</v>
      </c>
      <c r="AW613">
        <v>213469.2</v>
      </c>
    </row>
    <row r="614" spans="1:49" hidden="1" x14ac:dyDescent="0.35">
      <c r="A614">
        <v>5825910</v>
      </c>
      <c r="B614">
        <v>1170005825901</v>
      </c>
      <c r="D614">
        <v>23238019109</v>
      </c>
      <c r="E614" t="s">
        <v>142</v>
      </c>
      <c r="F614" t="s">
        <v>1</v>
      </c>
      <c r="G614" t="s">
        <v>226</v>
      </c>
      <c r="H614" t="s">
        <v>63</v>
      </c>
      <c r="I614">
        <v>2535</v>
      </c>
      <c r="J614">
        <v>12</v>
      </c>
      <c r="K614" t="s">
        <v>34</v>
      </c>
      <c r="L614">
        <v>83429</v>
      </c>
      <c r="M614" t="s">
        <v>140</v>
      </c>
      <c r="N614">
        <v>1</v>
      </c>
      <c r="O614" t="s">
        <v>119</v>
      </c>
      <c r="P614" t="s">
        <v>1054</v>
      </c>
      <c r="Q614">
        <v>1142559</v>
      </c>
      <c r="R614">
        <v>55242000</v>
      </c>
      <c r="S614">
        <v>62</v>
      </c>
      <c r="T614">
        <v>891000</v>
      </c>
      <c r="U614">
        <v>1</v>
      </c>
      <c r="V614">
        <v>1</v>
      </c>
      <c r="W614" t="s">
        <v>127</v>
      </c>
      <c r="X614">
        <v>29700</v>
      </c>
      <c r="Y614">
        <v>1142559</v>
      </c>
      <c r="Z614">
        <v>55242000</v>
      </c>
      <c r="AA614">
        <v>891000</v>
      </c>
      <c r="AB614">
        <v>210</v>
      </c>
      <c r="AC614" s="34">
        <v>45980</v>
      </c>
      <c r="AD614" s="34">
        <v>46173</v>
      </c>
      <c r="AF614">
        <v>0</v>
      </c>
      <c r="AG614">
        <v>1142559</v>
      </c>
      <c r="AH614">
        <v>0</v>
      </c>
      <c r="AI614">
        <v>1142559</v>
      </c>
      <c r="AJ614">
        <v>0</v>
      </c>
      <c r="AK614">
        <v>0</v>
      </c>
      <c r="AL614">
        <v>292495.11</v>
      </c>
      <c r="AM614">
        <v>0</v>
      </c>
      <c r="AN614">
        <v>1435054.11</v>
      </c>
      <c r="AO614" t="s">
        <v>122</v>
      </c>
      <c r="AP614">
        <v>15</v>
      </c>
      <c r="AQ614">
        <v>171383.85</v>
      </c>
      <c r="AR614">
        <v>171383.85</v>
      </c>
      <c r="AT614">
        <v>33145200</v>
      </c>
      <c r="AU614">
        <v>685535.4</v>
      </c>
      <c r="AV614">
        <v>33145200</v>
      </c>
      <c r="AW614">
        <v>685535.4</v>
      </c>
    </row>
    <row r="615" spans="1:49" hidden="1" x14ac:dyDescent="0.35">
      <c r="A615">
        <v>5826010</v>
      </c>
      <c r="B615">
        <v>1090005826001</v>
      </c>
      <c r="D615">
        <v>33519857419</v>
      </c>
      <c r="E615" t="s">
        <v>1055</v>
      </c>
      <c r="F615" t="s">
        <v>1</v>
      </c>
      <c r="G615" t="s">
        <v>66</v>
      </c>
      <c r="H615" t="s">
        <v>66</v>
      </c>
      <c r="I615">
        <v>7540</v>
      </c>
      <c r="J615">
        <v>1</v>
      </c>
      <c r="K615" t="s">
        <v>16</v>
      </c>
      <c r="L615">
        <v>12320</v>
      </c>
      <c r="M615" t="s">
        <v>403</v>
      </c>
      <c r="N615">
        <v>1</v>
      </c>
      <c r="O615" t="s">
        <v>125</v>
      </c>
      <c r="P615" t="s">
        <v>1056</v>
      </c>
      <c r="Q615">
        <v>3523332</v>
      </c>
      <c r="R615">
        <v>55924000</v>
      </c>
      <c r="S615">
        <v>55</v>
      </c>
      <c r="T615">
        <v>1016800</v>
      </c>
      <c r="U615">
        <v>1</v>
      </c>
      <c r="V615">
        <v>1</v>
      </c>
      <c r="W615" t="s">
        <v>127</v>
      </c>
      <c r="X615">
        <v>25420</v>
      </c>
      <c r="Y615">
        <v>3523332</v>
      </c>
      <c r="Z615">
        <v>55924000</v>
      </c>
      <c r="AA615">
        <v>1016800</v>
      </c>
      <c r="AB615">
        <v>105</v>
      </c>
      <c r="AC615" s="34">
        <v>45935</v>
      </c>
      <c r="AD615" s="34">
        <v>46053</v>
      </c>
      <c r="AE615" t="s">
        <v>668</v>
      </c>
      <c r="AF615">
        <v>0</v>
      </c>
      <c r="AG615">
        <v>3523212</v>
      </c>
      <c r="AH615">
        <v>120</v>
      </c>
      <c r="AI615">
        <v>3523212</v>
      </c>
      <c r="AJ615">
        <v>120</v>
      </c>
      <c r="AK615">
        <v>0</v>
      </c>
      <c r="AL615">
        <v>884356.33</v>
      </c>
      <c r="AM615">
        <v>0</v>
      </c>
      <c r="AN615">
        <v>4407688.33</v>
      </c>
      <c r="AO615" t="s">
        <v>122</v>
      </c>
      <c r="AP615">
        <v>15</v>
      </c>
      <c r="AQ615">
        <v>528481.80000000005</v>
      </c>
      <c r="AR615">
        <v>528481.80000000005</v>
      </c>
      <c r="AT615">
        <v>33554400</v>
      </c>
      <c r="AU615">
        <v>2113927.2000000002</v>
      </c>
      <c r="AV615">
        <v>33554400</v>
      </c>
      <c r="AW615">
        <v>2113927.2000000002</v>
      </c>
    </row>
    <row r="616" spans="1:49" hidden="1" x14ac:dyDescent="0.35">
      <c r="A616">
        <v>5826110</v>
      </c>
      <c r="B616">
        <v>1090005826101</v>
      </c>
      <c r="D616">
        <v>20345367676</v>
      </c>
      <c r="E616" t="s">
        <v>1057</v>
      </c>
      <c r="F616" t="s">
        <v>1</v>
      </c>
      <c r="G616" t="s">
        <v>568</v>
      </c>
      <c r="H616" t="s">
        <v>57</v>
      </c>
      <c r="I616">
        <v>6360</v>
      </c>
      <c r="J616">
        <v>21</v>
      </c>
      <c r="K616" t="s">
        <v>33</v>
      </c>
      <c r="L616">
        <v>6127</v>
      </c>
      <c r="M616" t="s">
        <v>118</v>
      </c>
      <c r="N616">
        <v>1</v>
      </c>
      <c r="O616" t="s">
        <v>119</v>
      </c>
      <c r="P616" t="s">
        <v>1058</v>
      </c>
      <c r="Q616">
        <v>1808.4</v>
      </c>
      <c r="R616">
        <v>66000</v>
      </c>
      <c r="S616">
        <v>110</v>
      </c>
      <c r="T616">
        <v>600</v>
      </c>
      <c r="U616">
        <v>26</v>
      </c>
      <c r="V616">
        <v>1387</v>
      </c>
      <c r="W616" t="s">
        <v>121</v>
      </c>
      <c r="X616" t="s">
        <v>1</v>
      </c>
      <c r="Y616">
        <v>2508250.7999999998</v>
      </c>
      <c r="Z616">
        <v>91542000</v>
      </c>
      <c r="AA616">
        <v>832200</v>
      </c>
      <c r="AB616">
        <v>106</v>
      </c>
      <c r="AC616" s="34">
        <v>45977</v>
      </c>
      <c r="AD616" s="34">
        <v>46173</v>
      </c>
      <c r="AF616">
        <v>0</v>
      </c>
      <c r="AG616">
        <v>1808.4</v>
      </c>
      <c r="AH616">
        <v>0</v>
      </c>
      <c r="AI616">
        <v>2508250.7999999998</v>
      </c>
      <c r="AJ616">
        <v>0</v>
      </c>
      <c r="AK616">
        <v>0</v>
      </c>
      <c r="AL616">
        <v>629559.30000000005</v>
      </c>
      <c r="AM616">
        <v>0</v>
      </c>
      <c r="AN616">
        <v>3137810.1</v>
      </c>
      <c r="AO616" t="s">
        <v>122</v>
      </c>
      <c r="AP616">
        <v>12</v>
      </c>
      <c r="AQ616">
        <v>217.01</v>
      </c>
      <c r="AR616">
        <v>300992.87</v>
      </c>
      <c r="AT616">
        <v>39600</v>
      </c>
      <c r="AU616">
        <v>1085.04</v>
      </c>
      <c r="AV616">
        <v>54925200</v>
      </c>
      <c r="AW616">
        <v>1504950.48</v>
      </c>
    </row>
    <row r="617" spans="1:49" hidden="1" x14ac:dyDescent="0.35">
      <c r="A617">
        <v>5826210</v>
      </c>
      <c r="B617">
        <v>1170005826201</v>
      </c>
      <c r="D617">
        <v>20163705894</v>
      </c>
      <c r="E617" t="s">
        <v>753</v>
      </c>
      <c r="F617" t="s">
        <v>1</v>
      </c>
      <c r="G617" t="s">
        <v>754</v>
      </c>
      <c r="H617" t="s">
        <v>61</v>
      </c>
      <c r="I617">
        <v>6100</v>
      </c>
      <c r="J617">
        <v>12</v>
      </c>
      <c r="K617" t="s">
        <v>34</v>
      </c>
      <c r="L617">
        <v>9480</v>
      </c>
      <c r="M617" t="s">
        <v>755</v>
      </c>
      <c r="N617">
        <v>1</v>
      </c>
      <c r="O617" t="s">
        <v>119</v>
      </c>
      <c r="P617" t="s">
        <v>1059</v>
      </c>
      <c r="Q617">
        <v>666.12</v>
      </c>
      <c r="R617">
        <v>20800</v>
      </c>
      <c r="S617">
        <v>52</v>
      </c>
      <c r="T617">
        <v>400</v>
      </c>
      <c r="U617">
        <v>26</v>
      </c>
      <c r="V617">
        <v>1400</v>
      </c>
      <c r="W617" t="s">
        <v>121</v>
      </c>
      <c r="X617" t="s">
        <v>1</v>
      </c>
      <c r="Y617">
        <v>932568</v>
      </c>
      <c r="Z617">
        <v>29120000</v>
      </c>
      <c r="AA617">
        <v>560000</v>
      </c>
      <c r="AB617">
        <v>106</v>
      </c>
      <c r="AC617" s="34">
        <v>45978</v>
      </c>
      <c r="AD617" s="34">
        <v>46173</v>
      </c>
      <c r="AF617">
        <v>0</v>
      </c>
      <c r="AG617">
        <v>666.12</v>
      </c>
      <c r="AH617">
        <v>0</v>
      </c>
      <c r="AI617">
        <v>932568</v>
      </c>
      <c r="AJ617">
        <v>0</v>
      </c>
      <c r="AK617">
        <v>0</v>
      </c>
      <c r="AL617">
        <v>238742</v>
      </c>
      <c r="AM617">
        <v>0</v>
      </c>
      <c r="AN617">
        <v>1171310</v>
      </c>
      <c r="AO617" t="s">
        <v>122</v>
      </c>
      <c r="AP617">
        <v>15</v>
      </c>
      <c r="AQ617">
        <v>99.92</v>
      </c>
      <c r="AR617">
        <v>139888</v>
      </c>
      <c r="AT617">
        <v>12480</v>
      </c>
      <c r="AU617">
        <v>399.67</v>
      </c>
      <c r="AV617">
        <v>17472000</v>
      </c>
      <c r="AW617">
        <v>559538</v>
      </c>
    </row>
    <row r="618" spans="1:49" hidden="1" x14ac:dyDescent="0.35">
      <c r="A618">
        <v>5826310</v>
      </c>
      <c r="B618">
        <v>1090005826301</v>
      </c>
      <c r="D618">
        <v>20231303791</v>
      </c>
      <c r="E618" t="s">
        <v>1060</v>
      </c>
      <c r="F618" t="s">
        <v>1</v>
      </c>
      <c r="G618" t="s">
        <v>568</v>
      </c>
      <c r="H618" t="s">
        <v>57</v>
      </c>
      <c r="I618">
        <v>6360</v>
      </c>
      <c r="J618">
        <v>21</v>
      </c>
      <c r="K618" t="s">
        <v>33</v>
      </c>
      <c r="L618">
        <v>6127</v>
      </c>
      <c r="M618" t="s">
        <v>118</v>
      </c>
      <c r="N618">
        <v>1</v>
      </c>
      <c r="O618" t="s">
        <v>119</v>
      </c>
      <c r="P618" t="s">
        <v>1061</v>
      </c>
      <c r="Q618">
        <v>1281.5999999999999</v>
      </c>
      <c r="R618">
        <v>48000</v>
      </c>
      <c r="S618">
        <v>120</v>
      </c>
      <c r="T618">
        <v>400</v>
      </c>
      <c r="U618">
        <v>26</v>
      </c>
      <c r="V618">
        <v>1400</v>
      </c>
      <c r="W618" t="s">
        <v>121</v>
      </c>
      <c r="X618" t="s">
        <v>1</v>
      </c>
      <c r="Y618">
        <v>1794240</v>
      </c>
      <c r="Z618">
        <v>67200000</v>
      </c>
      <c r="AA618">
        <v>560000</v>
      </c>
      <c r="AB618">
        <v>106</v>
      </c>
      <c r="AC618" s="34">
        <v>45977</v>
      </c>
      <c r="AD618" s="34">
        <v>46188</v>
      </c>
      <c r="AF618">
        <v>0</v>
      </c>
      <c r="AG618">
        <v>1281.5999999999999</v>
      </c>
      <c r="AH618">
        <v>0</v>
      </c>
      <c r="AI618">
        <v>1794240</v>
      </c>
      <c r="AJ618">
        <v>0</v>
      </c>
      <c r="AK618">
        <v>0</v>
      </c>
      <c r="AL618">
        <v>450366</v>
      </c>
      <c r="AM618">
        <v>0</v>
      </c>
      <c r="AN618">
        <v>2244606</v>
      </c>
      <c r="AO618" t="s">
        <v>122</v>
      </c>
      <c r="AP618">
        <v>12</v>
      </c>
      <c r="AQ618">
        <v>153.79</v>
      </c>
      <c r="AR618">
        <v>215306</v>
      </c>
      <c r="AT618">
        <v>28800</v>
      </c>
      <c r="AU618">
        <v>768.96</v>
      </c>
      <c r="AV618">
        <v>40320000</v>
      </c>
      <c r="AW618">
        <v>1076544</v>
      </c>
    </row>
    <row r="619" spans="1:49" hidden="1" x14ac:dyDescent="0.35">
      <c r="A619">
        <v>5826410</v>
      </c>
      <c r="B619">
        <v>1090005826401</v>
      </c>
      <c r="D619">
        <v>20231303791</v>
      </c>
      <c r="E619" t="s">
        <v>1060</v>
      </c>
      <c r="F619" t="s">
        <v>1</v>
      </c>
      <c r="G619" t="s">
        <v>1062</v>
      </c>
      <c r="H619" t="s">
        <v>1062</v>
      </c>
      <c r="I619">
        <v>6330</v>
      </c>
      <c r="J619">
        <v>21</v>
      </c>
      <c r="K619" t="s">
        <v>33</v>
      </c>
      <c r="L619">
        <v>6127</v>
      </c>
      <c r="M619" t="s">
        <v>118</v>
      </c>
      <c r="N619">
        <v>1</v>
      </c>
      <c r="O619" t="s">
        <v>119</v>
      </c>
      <c r="P619" t="s">
        <v>1063</v>
      </c>
      <c r="Q619">
        <v>5531.9</v>
      </c>
      <c r="R619">
        <v>109760</v>
      </c>
      <c r="S619">
        <v>490</v>
      </c>
      <c r="T619">
        <v>224</v>
      </c>
      <c r="U619">
        <v>26</v>
      </c>
      <c r="V619">
        <v>1400</v>
      </c>
      <c r="W619" t="s">
        <v>121</v>
      </c>
      <c r="X619" t="s">
        <v>1</v>
      </c>
      <c r="Y619">
        <v>7744660</v>
      </c>
      <c r="Z619">
        <v>153664000</v>
      </c>
      <c r="AA619">
        <v>313600</v>
      </c>
      <c r="AB619">
        <v>106</v>
      </c>
      <c r="AC619" s="34">
        <v>45977</v>
      </c>
      <c r="AD619" s="34">
        <v>46112</v>
      </c>
      <c r="AE619" t="s">
        <v>355</v>
      </c>
      <c r="AF619">
        <v>0</v>
      </c>
      <c r="AG619">
        <v>8038.19</v>
      </c>
      <c r="AH619">
        <v>0</v>
      </c>
      <c r="AI619">
        <v>11253466</v>
      </c>
      <c r="AJ619">
        <v>0</v>
      </c>
      <c r="AK619">
        <v>0</v>
      </c>
      <c r="AL619">
        <v>2824626</v>
      </c>
      <c r="AM619">
        <v>0</v>
      </c>
      <c r="AN619">
        <v>14078092</v>
      </c>
      <c r="AO619" t="s">
        <v>122</v>
      </c>
      <c r="AP619">
        <v>12</v>
      </c>
      <c r="AQ619">
        <v>964.58</v>
      </c>
      <c r="AR619">
        <v>1350412</v>
      </c>
      <c r="AT619">
        <v>65856</v>
      </c>
      <c r="AU619">
        <v>3319.14</v>
      </c>
      <c r="AV619">
        <v>92198400</v>
      </c>
      <c r="AW619">
        <v>4646796</v>
      </c>
    </row>
    <row r="620" spans="1:49" hidden="1" x14ac:dyDescent="0.35">
      <c r="A620">
        <v>5826410</v>
      </c>
      <c r="B620">
        <v>1090005826401</v>
      </c>
      <c r="D620">
        <v>20231303791</v>
      </c>
      <c r="E620" t="s">
        <v>1060</v>
      </c>
      <c r="F620" t="s">
        <v>1</v>
      </c>
      <c r="G620" t="s">
        <v>1062</v>
      </c>
      <c r="H620" t="s">
        <v>1062</v>
      </c>
      <c r="I620">
        <v>6330</v>
      </c>
      <c r="J620">
        <v>21</v>
      </c>
      <c r="K620" t="s">
        <v>33</v>
      </c>
      <c r="L620">
        <v>6127</v>
      </c>
      <c r="M620" t="s">
        <v>118</v>
      </c>
      <c r="N620">
        <v>2</v>
      </c>
      <c r="O620" t="s">
        <v>119</v>
      </c>
      <c r="P620" t="s">
        <v>1064</v>
      </c>
      <c r="Q620">
        <v>2506.29</v>
      </c>
      <c r="R620">
        <v>49728</v>
      </c>
      <c r="S620">
        <v>222</v>
      </c>
      <c r="T620">
        <v>224</v>
      </c>
      <c r="U620">
        <v>26</v>
      </c>
      <c r="V620">
        <v>1400</v>
      </c>
      <c r="W620" t="s">
        <v>121</v>
      </c>
      <c r="X620" t="s">
        <v>1</v>
      </c>
      <c r="Y620">
        <v>3508806</v>
      </c>
      <c r="Z620">
        <v>69619200</v>
      </c>
      <c r="AA620">
        <v>313600</v>
      </c>
      <c r="AB620">
        <v>106</v>
      </c>
      <c r="AC620" s="34">
        <v>45977</v>
      </c>
      <c r="AD620" s="34">
        <v>46112</v>
      </c>
      <c r="AE620" t="s">
        <v>355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 t="s">
        <v>122</v>
      </c>
      <c r="AT620">
        <v>29836.799999999999</v>
      </c>
      <c r="AU620">
        <v>1503.77</v>
      </c>
      <c r="AV620">
        <v>41771520</v>
      </c>
      <c r="AW620">
        <v>2105278</v>
      </c>
    </row>
    <row r="621" spans="1:49" hidden="1" x14ac:dyDescent="0.35">
      <c r="A621">
        <v>5826510</v>
      </c>
      <c r="B621">
        <v>1090005826501</v>
      </c>
      <c r="D621">
        <v>30714798800</v>
      </c>
      <c r="E621" t="s">
        <v>1065</v>
      </c>
      <c r="F621" t="s">
        <v>1</v>
      </c>
      <c r="G621" t="s">
        <v>1062</v>
      </c>
      <c r="H621" t="s">
        <v>1062</v>
      </c>
      <c r="I621">
        <v>6330</v>
      </c>
      <c r="J621">
        <v>21</v>
      </c>
      <c r="K621" t="s">
        <v>33</v>
      </c>
      <c r="L621">
        <v>6127</v>
      </c>
      <c r="M621" t="s">
        <v>118</v>
      </c>
      <c r="N621">
        <v>1</v>
      </c>
      <c r="O621" t="s">
        <v>119</v>
      </c>
      <c r="P621" t="s">
        <v>1063</v>
      </c>
      <c r="Q621">
        <v>5531.9</v>
      </c>
      <c r="R621">
        <v>109760</v>
      </c>
      <c r="S621">
        <v>490</v>
      </c>
      <c r="T621">
        <v>224</v>
      </c>
      <c r="U621">
        <v>26</v>
      </c>
      <c r="V621">
        <v>1400</v>
      </c>
      <c r="W621" t="s">
        <v>121</v>
      </c>
      <c r="X621" t="s">
        <v>1</v>
      </c>
      <c r="Y621">
        <v>7744660</v>
      </c>
      <c r="Z621">
        <v>153664000</v>
      </c>
      <c r="AA621">
        <v>313600</v>
      </c>
      <c r="AB621">
        <v>106</v>
      </c>
      <c r="AC621" s="34">
        <v>45977</v>
      </c>
      <c r="AD621" s="34">
        <v>46112</v>
      </c>
      <c r="AE621" t="s">
        <v>355</v>
      </c>
      <c r="AF621">
        <v>0</v>
      </c>
      <c r="AG621">
        <v>8038.19</v>
      </c>
      <c r="AH621">
        <v>0</v>
      </c>
      <c r="AI621">
        <v>11253466</v>
      </c>
      <c r="AJ621">
        <v>0</v>
      </c>
      <c r="AK621">
        <v>0</v>
      </c>
      <c r="AL621">
        <v>2824626</v>
      </c>
      <c r="AM621">
        <v>0</v>
      </c>
      <c r="AN621">
        <v>14078092</v>
      </c>
      <c r="AO621" t="s">
        <v>122</v>
      </c>
      <c r="AP621">
        <v>12</v>
      </c>
      <c r="AQ621">
        <v>964.58</v>
      </c>
      <c r="AR621">
        <v>1350412</v>
      </c>
      <c r="AT621">
        <v>65856</v>
      </c>
      <c r="AU621">
        <v>3319.14</v>
      </c>
      <c r="AV621">
        <v>92198400</v>
      </c>
      <c r="AW621">
        <v>4646796</v>
      </c>
    </row>
    <row r="622" spans="1:49" hidden="1" x14ac:dyDescent="0.35">
      <c r="A622">
        <v>5826510</v>
      </c>
      <c r="B622">
        <v>1090005826501</v>
      </c>
      <c r="D622">
        <v>30714798800</v>
      </c>
      <c r="E622" t="s">
        <v>1065</v>
      </c>
      <c r="F622" t="s">
        <v>1</v>
      </c>
      <c r="G622" t="s">
        <v>1062</v>
      </c>
      <c r="H622" t="s">
        <v>1062</v>
      </c>
      <c r="I622">
        <v>6330</v>
      </c>
      <c r="J622">
        <v>21</v>
      </c>
      <c r="K622" t="s">
        <v>33</v>
      </c>
      <c r="L622">
        <v>6127</v>
      </c>
      <c r="M622" t="s">
        <v>118</v>
      </c>
      <c r="N622">
        <v>2</v>
      </c>
      <c r="O622" t="s">
        <v>119</v>
      </c>
      <c r="P622" t="s">
        <v>1064</v>
      </c>
      <c r="Q622">
        <v>2506.29</v>
      </c>
      <c r="R622">
        <v>49728</v>
      </c>
      <c r="S622">
        <v>222</v>
      </c>
      <c r="T622">
        <v>224</v>
      </c>
      <c r="U622">
        <v>26</v>
      </c>
      <c r="V622">
        <v>1400</v>
      </c>
      <c r="W622" t="s">
        <v>121</v>
      </c>
      <c r="X622" t="s">
        <v>1</v>
      </c>
      <c r="Y622">
        <v>3508806</v>
      </c>
      <c r="Z622">
        <v>69619200</v>
      </c>
      <c r="AA622">
        <v>313600</v>
      </c>
      <c r="AB622">
        <v>106</v>
      </c>
      <c r="AC622" s="34">
        <v>45977</v>
      </c>
      <c r="AD622" s="34">
        <v>46112</v>
      </c>
      <c r="AE622" t="s">
        <v>355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 t="s">
        <v>122</v>
      </c>
      <c r="AT622">
        <v>29836.799999999999</v>
      </c>
      <c r="AU622">
        <v>1503.77</v>
      </c>
      <c r="AV622">
        <v>41771520</v>
      </c>
      <c r="AW622">
        <v>2105278</v>
      </c>
    </row>
    <row r="623" spans="1:49" hidden="1" x14ac:dyDescent="0.35">
      <c r="A623">
        <v>5826610</v>
      </c>
      <c r="B623">
        <v>1090005826601</v>
      </c>
      <c r="D623">
        <v>20255268784</v>
      </c>
      <c r="E623" t="s">
        <v>1066</v>
      </c>
      <c r="F623" t="s">
        <v>1</v>
      </c>
      <c r="G623" t="s">
        <v>1062</v>
      </c>
      <c r="H623" t="s">
        <v>1062</v>
      </c>
      <c r="I623">
        <v>6330</v>
      </c>
      <c r="J623">
        <v>21</v>
      </c>
      <c r="K623" t="s">
        <v>33</v>
      </c>
      <c r="L623">
        <v>6127</v>
      </c>
      <c r="M623" t="s">
        <v>118</v>
      </c>
      <c r="N623">
        <v>1</v>
      </c>
      <c r="O623" t="s">
        <v>119</v>
      </c>
      <c r="P623" t="s">
        <v>1063</v>
      </c>
      <c r="Q623">
        <v>2469.6</v>
      </c>
      <c r="R623">
        <v>49000</v>
      </c>
      <c r="S623">
        <v>490</v>
      </c>
      <c r="T623">
        <v>100</v>
      </c>
      <c r="U623">
        <v>26</v>
      </c>
      <c r="V623">
        <v>1406.5</v>
      </c>
      <c r="W623" t="s">
        <v>121</v>
      </c>
      <c r="X623" t="s">
        <v>1</v>
      </c>
      <c r="Y623">
        <v>3473492.4</v>
      </c>
      <c r="Z623">
        <v>68918500</v>
      </c>
      <c r="AA623">
        <v>140650</v>
      </c>
      <c r="AB623">
        <v>106</v>
      </c>
      <c r="AC623" s="34">
        <v>45977</v>
      </c>
      <c r="AD623" s="34">
        <v>46112</v>
      </c>
      <c r="AE623" t="s">
        <v>355</v>
      </c>
      <c r="AF623">
        <v>0</v>
      </c>
      <c r="AG623">
        <v>3588.48</v>
      </c>
      <c r="AH623">
        <v>0</v>
      </c>
      <c r="AI623">
        <v>5047197.12</v>
      </c>
      <c r="AJ623">
        <v>0</v>
      </c>
      <c r="AK623">
        <v>0</v>
      </c>
      <c r="AL623">
        <v>1266834.55</v>
      </c>
      <c r="AM623">
        <v>0</v>
      </c>
      <c r="AN623">
        <v>6314031.6699999999</v>
      </c>
      <c r="AO623" t="s">
        <v>122</v>
      </c>
      <c r="AP623">
        <v>12</v>
      </c>
      <c r="AQ623">
        <v>430.62</v>
      </c>
      <c r="AR623">
        <v>605667.03</v>
      </c>
      <c r="AT623">
        <v>29400</v>
      </c>
      <c r="AU623">
        <v>1481.76</v>
      </c>
      <c r="AV623">
        <v>41351100</v>
      </c>
      <c r="AW623">
        <v>2084095.44</v>
      </c>
    </row>
    <row r="624" spans="1:49" hidden="1" x14ac:dyDescent="0.35">
      <c r="A624">
        <v>5826610</v>
      </c>
      <c r="B624">
        <v>1090005826601</v>
      </c>
      <c r="D624">
        <v>20255268784</v>
      </c>
      <c r="E624" t="s">
        <v>1066</v>
      </c>
      <c r="F624" t="s">
        <v>1</v>
      </c>
      <c r="G624" t="s">
        <v>1062</v>
      </c>
      <c r="H624" t="s">
        <v>1062</v>
      </c>
      <c r="I624">
        <v>6330</v>
      </c>
      <c r="J624">
        <v>21</v>
      </c>
      <c r="K624" t="s">
        <v>33</v>
      </c>
      <c r="L624">
        <v>6127</v>
      </c>
      <c r="M624" t="s">
        <v>118</v>
      </c>
      <c r="N624">
        <v>2</v>
      </c>
      <c r="O624" t="s">
        <v>119</v>
      </c>
      <c r="P624" t="s">
        <v>1064</v>
      </c>
      <c r="Q624">
        <v>1118.8800000000001</v>
      </c>
      <c r="R624">
        <v>22200</v>
      </c>
      <c r="S624">
        <v>222</v>
      </c>
      <c r="T624">
        <v>100</v>
      </c>
      <c r="U624">
        <v>26</v>
      </c>
      <c r="V624">
        <v>1406.5</v>
      </c>
      <c r="W624" t="s">
        <v>121</v>
      </c>
      <c r="X624" t="s">
        <v>1</v>
      </c>
      <c r="Y624">
        <v>1573704.72</v>
      </c>
      <c r="Z624">
        <v>31224300</v>
      </c>
      <c r="AA624">
        <v>140650</v>
      </c>
      <c r="AB624">
        <v>106</v>
      </c>
      <c r="AC624" s="34">
        <v>45977</v>
      </c>
      <c r="AD624" s="34">
        <v>46112</v>
      </c>
      <c r="AE624" t="s">
        <v>355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 t="s">
        <v>122</v>
      </c>
      <c r="AT624">
        <v>13320</v>
      </c>
      <c r="AU624">
        <v>671.33</v>
      </c>
      <c r="AV624">
        <v>18734580</v>
      </c>
      <c r="AW624">
        <v>944225.65</v>
      </c>
    </row>
    <row r="625" spans="1:49" hidden="1" x14ac:dyDescent="0.35">
      <c r="A625">
        <v>5826710</v>
      </c>
      <c r="B625">
        <v>1090005826701</v>
      </c>
      <c r="D625">
        <v>20233089908</v>
      </c>
      <c r="E625" t="s">
        <v>1067</v>
      </c>
      <c r="F625" t="s">
        <v>1</v>
      </c>
      <c r="G625" t="s">
        <v>1062</v>
      </c>
      <c r="H625" t="s">
        <v>1062</v>
      </c>
      <c r="I625">
        <v>6330</v>
      </c>
      <c r="J625">
        <v>21</v>
      </c>
      <c r="K625" t="s">
        <v>33</v>
      </c>
      <c r="L625">
        <v>6127</v>
      </c>
      <c r="M625" t="s">
        <v>118</v>
      </c>
      <c r="N625">
        <v>1</v>
      </c>
      <c r="O625" t="s">
        <v>119</v>
      </c>
      <c r="P625" t="s">
        <v>1068</v>
      </c>
      <c r="Q625">
        <v>2765.95</v>
      </c>
      <c r="R625">
        <v>54880</v>
      </c>
      <c r="S625">
        <v>490</v>
      </c>
      <c r="T625">
        <v>112</v>
      </c>
      <c r="U625">
        <v>26</v>
      </c>
      <c r="V625">
        <v>1406.5</v>
      </c>
      <c r="W625" t="s">
        <v>121</v>
      </c>
      <c r="X625" t="s">
        <v>1</v>
      </c>
      <c r="Y625">
        <v>3890308.68</v>
      </c>
      <c r="Z625">
        <v>77188720</v>
      </c>
      <c r="AA625">
        <v>157528</v>
      </c>
      <c r="AB625">
        <v>106</v>
      </c>
      <c r="AC625" s="34">
        <v>45977</v>
      </c>
      <c r="AD625" s="34">
        <v>46112</v>
      </c>
      <c r="AE625" t="s">
        <v>355</v>
      </c>
      <c r="AF625">
        <v>0</v>
      </c>
      <c r="AG625">
        <v>4019.1</v>
      </c>
      <c r="AH625">
        <v>0</v>
      </c>
      <c r="AI625">
        <v>5652864.1500000004</v>
      </c>
      <c r="AJ625">
        <v>0</v>
      </c>
      <c r="AK625">
        <v>0</v>
      </c>
      <c r="AL625">
        <v>1418863.14</v>
      </c>
      <c r="AM625">
        <v>0</v>
      </c>
      <c r="AN625">
        <v>7071727.29</v>
      </c>
      <c r="AO625" t="s">
        <v>122</v>
      </c>
      <c r="AP625">
        <v>12</v>
      </c>
      <c r="AQ625">
        <v>482.29</v>
      </c>
      <c r="AR625">
        <v>678340.89</v>
      </c>
      <c r="AT625">
        <v>32928</v>
      </c>
      <c r="AU625">
        <v>1659.57</v>
      </c>
      <c r="AV625">
        <v>46313232</v>
      </c>
      <c r="AW625">
        <v>2334185.21</v>
      </c>
    </row>
    <row r="626" spans="1:49" hidden="1" x14ac:dyDescent="0.35">
      <c r="A626">
        <v>5826710</v>
      </c>
      <c r="B626">
        <v>1090005826701</v>
      </c>
      <c r="D626">
        <v>20233089908</v>
      </c>
      <c r="E626" t="s">
        <v>1067</v>
      </c>
      <c r="F626" t="s">
        <v>1</v>
      </c>
      <c r="G626" t="s">
        <v>1062</v>
      </c>
      <c r="H626" t="s">
        <v>1062</v>
      </c>
      <c r="I626">
        <v>6330</v>
      </c>
      <c r="J626">
        <v>21</v>
      </c>
      <c r="K626" t="s">
        <v>33</v>
      </c>
      <c r="L626">
        <v>6127</v>
      </c>
      <c r="M626" t="s">
        <v>118</v>
      </c>
      <c r="N626">
        <v>2</v>
      </c>
      <c r="O626" t="s">
        <v>119</v>
      </c>
      <c r="P626" t="s">
        <v>1069</v>
      </c>
      <c r="Q626">
        <v>1253.1500000000001</v>
      </c>
      <c r="R626">
        <v>24864</v>
      </c>
      <c r="S626">
        <v>222</v>
      </c>
      <c r="T626">
        <v>112</v>
      </c>
      <c r="U626">
        <v>26</v>
      </c>
      <c r="V626">
        <v>1406.5</v>
      </c>
      <c r="W626" t="s">
        <v>121</v>
      </c>
      <c r="X626" t="s">
        <v>1</v>
      </c>
      <c r="Y626">
        <v>1762555.48</v>
      </c>
      <c r="Z626">
        <v>34971216</v>
      </c>
      <c r="AA626">
        <v>157528</v>
      </c>
      <c r="AB626">
        <v>106</v>
      </c>
      <c r="AC626" s="34">
        <v>45977</v>
      </c>
      <c r="AD626" s="34">
        <v>46112</v>
      </c>
      <c r="AE626" t="s">
        <v>355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 t="s">
        <v>122</v>
      </c>
      <c r="AT626">
        <v>14918.4</v>
      </c>
      <c r="AU626">
        <v>751.89</v>
      </c>
      <c r="AV626">
        <v>20982729.600000001</v>
      </c>
      <c r="AW626">
        <v>1057533.29</v>
      </c>
    </row>
    <row r="627" spans="1:49" hidden="1" x14ac:dyDescent="0.35">
      <c r="A627">
        <v>5826810</v>
      </c>
      <c r="B627">
        <v>1090005826801</v>
      </c>
      <c r="D627">
        <v>30714798800</v>
      </c>
      <c r="E627" t="s">
        <v>1065</v>
      </c>
      <c r="F627" t="s">
        <v>1</v>
      </c>
      <c r="G627" t="s">
        <v>1062</v>
      </c>
      <c r="H627" t="s">
        <v>1062</v>
      </c>
      <c r="I627">
        <v>6330</v>
      </c>
      <c r="J627">
        <v>21</v>
      </c>
      <c r="K627" t="s">
        <v>33</v>
      </c>
      <c r="L627">
        <v>6127</v>
      </c>
      <c r="M627" t="s">
        <v>118</v>
      </c>
      <c r="N627">
        <v>1</v>
      </c>
      <c r="O627" t="s">
        <v>119</v>
      </c>
      <c r="P627" t="s">
        <v>1070</v>
      </c>
      <c r="Q627">
        <v>2176.0700000000002</v>
      </c>
      <c r="R627">
        <v>84672</v>
      </c>
      <c r="S627">
        <v>378</v>
      </c>
      <c r="T627">
        <v>224</v>
      </c>
      <c r="U627">
        <v>26</v>
      </c>
      <c r="V627">
        <v>1406.5</v>
      </c>
      <c r="W627" t="s">
        <v>121</v>
      </c>
      <c r="X627" t="s">
        <v>1</v>
      </c>
      <c r="Y627">
        <v>3060642.46</v>
      </c>
      <c r="Z627">
        <v>119091168</v>
      </c>
      <c r="AA627">
        <v>315056</v>
      </c>
      <c r="AB627">
        <v>106</v>
      </c>
      <c r="AC627" s="34">
        <v>45977</v>
      </c>
      <c r="AD627" s="34">
        <v>46188</v>
      </c>
      <c r="AF627">
        <v>0</v>
      </c>
      <c r="AG627">
        <v>3160.48</v>
      </c>
      <c r="AH627">
        <v>0</v>
      </c>
      <c r="AI627">
        <v>4445215.12</v>
      </c>
      <c r="AJ627">
        <v>0</v>
      </c>
      <c r="AK627">
        <v>0</v>
      </c>
      <c r="AL627">
        <v>1115734.26</v>
      </c>
      <c r="AM627">
        <v>0</v>
      </c>
      <c r="AN627">
        <v>5560949.3799999999</v>
      </c>
      <c r="AO627" t="s">
        <v>122</v>
      </c>
      <c r="AP627">
        <v>12</v>
      </c>
      <c r="AQ627">
        <v>379.26</v>
      </c>
      <c r="AR627">
        <v>533429.18999999994</v>
      </c>
      <c r="AT627">
        <v>50803.199999999997</v>
      </c>
      <c r="AU627">
        <v>1305.6400000000001</v>
      </c>
      <c r="AV627">
        <v>71454700.799999997</v>
      </c>
      <c r="AW627">
        <v>1836382.66</v>
      </c>
    </row>
    <row r="628" spans="1:49" hidden="1" x14ac:dyDescent="0.35">
      <c r="A628">
        <v>5826810</v>
      </c>
      <c r="B628">
        <v>1090005826801</v>
      </c>
      <c r="D628">
        <v>30714798800</v>
      </c>
      <c r="E628" t="s">
        <v>1065</v>
      </c>
      <c r="F628" t="s">
        <v>1</v>
      </c>
      <c r="G628" t="s">
        <v>1062</v>
      </c>
      <c r="H628" t="s">
        <v>1062</v>
      </c>
      <c r="I628">
        <v>6330</v>
      </c>
      <c r="J628">
        <v>21</v>
      </c>
      <c r="K628" t="s">
        <v>33</v>
      </c>
      <c r="L628">
        <v>6127</v>
      </c>
      <c r="M628" t="s">
        <v>118</v>
      </c>
      <c r="N628">
        <v>2</v>
      </c>
      <c r="O628" t="s">
        <v>119</v>
      </c>
      <c r="P628" t="s">
        <v>1071</v>
      </c>
      <c r="Q628">
        <v>984.41</v>
      </c>
      <c r="R628">
        <v>38304</v>
      </c>
      <c r="S628">
        <v>171</v>
      </c>
      <c r="T628">
        <v>224</v>
      </c>
      <c r="U628">
        <v>26</v>
      </c>
      <c r="V628">
        <v>1406.5</v>
      </c>
      <c r="W628" t="s">
        <v>121</v>
      </c>
      <c r="X628" t="s">
        <v>1</v>
      </c>
      <c r="Y628">
        <v>1384572.67</v>
      </c>
      <c r="Z628">
        <v>53874576</v>
      </c>
      <c r="AA628">
        <v>315056</v>
      </c>
      <c r="AB628">
        <v>106</v>
      </c>
      <c r="AC628" s="34">
        <v>45977</v>
      </c>
      <c r="AD628" s="34">
        <v>46188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 t="s">
        <v>122</v>
      </c>
      <c r="AT628">
        <v>22982.400000000001</v>
      </c>
      <c r="AU628">
        <v>590.65</v>
      </c>
      <c r="AV628">
        <v>32324745.600000001</v>
      </c>
      <c r="AW628">
        <v>830749.23</v>
      </c>
    </row>
    <row r="629" spans="1:49" hidden="1" x14ac:dyDescent="0.35">
      <c r="A629">
        <v>5826910</v>
      </c>
      <c r="B629">
        <v>1090005826901</v>
      </c>
      <c r="D629">
        <v>30712215646</v>
      </c>
      <c r="E629" t="s">
        <v>1072</v>
      </c>
      <c r="F629" t="s">
        <v>1</v>
      </c>
      <c r="G629" t="s">
        <v>1062</v>
      </c>
      <c r="H629" t="s">
        <v>1062</v>
      </c>
      <c r="I629">
        <v>6330</v>
      </c>
      <c r="J629">
        <v>21</v>
      </c>
      <c r="K629" t="s">
        <v>33</v>
      </c>
      <c r="L629">
        <v>6127</v>
      </c>
      <c r="M629" t="s">
        <v>118</v>
      </c>
      <c r="N629">
        <v>1</v>
      </c>
      <c r="O629" t="s">
        <v>119</v>
      </c>
      <c r="P629" t="s">
        <v>1070</v>
      </c>
      <c r="Q629">
        <v>1398.9</v>
      </c>
      <c r="R629">
        <v>54432</v>
      </c>
      <c r="S629">
        <v>378</v>
      </c>
      <c r="T629">
        <v>144</v>
      </c>
      <c r="U629">
        <v>26</v>
      </c>
      <c r="V629">
        <v>1406.5</v>
      </c>
      <c r="W629" t="s">
        <v>121</v>
      </c>
      <c r="X629" t="s">
        <v>1</v>
      </c>
      <c r="Y629">
        <v>1967552.85</v>
      </c>
      <c r="Z629">
        <v>76558608</v>
      </c>
      <c r="AA629">
        <v>202536</v>
      </c>
      <c r="AB629">
        <v>106</v>
      </c>
      <c r="AC629" s="34">
        <v>45977</v>
      </c>
      <c r="AD629" s="34">
        <v>46188</v>
      </c>
      <c r="AF629">
        <v>0</v>
      </c>
      <c r="AG629">
        <v>2031.74</v>
      </c>
      <c r="AH629">
        <v>0</v>
      </c>
      <c r="AI629">
        <v>2857642.31</v>
      </c>
      <c r="AJ629">
        <v>0</v>
      </c>
      <c r="AK629">
        <v>0</v>
      </c>
      <c r="AL629">
        <v>717272.81</v>
      </c>
      <c r="AM629">
        <v>0</v>
      </c>
      <c r="AN629">
        <v>3574915.12</v>
      </c>
      <c r="AO629" t="s">
        <v>122</v>
      </c>
      <c r="AP629">
        <v>12</v>
      </c>
      <c r="AQ629">
        <v>243.81</v>
      </c>
      <c r="AR629">
        <v>342918.77</v>
      </c>
      <c r="AT629">
        <v>32659.200000000001</v>
      </c>
      <c r="AU629">
        <v>839.34</v>
      </c>
      <c r="AV629">
        <v>45935164.799999997</v>
      </c>
      <c r="AW629">
        <v>1180531.71</v>
      </c>
    </row>
    <row r="630" spans="1:49" hidden="1" x14ac:dyDescent="0.35">
      <c r="A630">
        <v>5826910</v>
      </c>
      <c r="B630">
        <v>1090005826901</v>
      </c>
      <c r="D630">
        <v>30712215646</v>
      </c>
      <c r="E630" t="s">
        <v>1072</v>
      </c>
      <c r="F630" t="s">
        <v>1</v>
      </c>
      <c r="G630" t="s">
        <v>1062</v>
      </c>
      <c r="H630" t="s">
        <v>1062</v>
      </c>
      <c r="I630">
        <v>6330</v>
      </c>
      <c r="J630">
        <v>21</v>
      </c>
      <c r="K630" t="s">
        <v>33</v>
      </c>
      <c r="L630">
        <v>6127</v>
      </c>
      <c r="M630" t="s">
        <v>118</v>
      </c>
      <c r="N630">
        <v>2</v>
      </c>
      <c r="O630" t="s">
        <v>119</v>
      </c>
      <c r="P630" t="s">
        <v>1071</v>
      </c>
      <c r="Q630">
        <v>632.84</v>
      </c>
      <c r="R630">
        <v>24624</v>
      </c>
      <c r="S630">
        <v>171</v>
      </c>
      <c r="T630">
        <v>144</v>
      </c>
      <c r="U630">
        <v>26</v>
      </c>
      <c r="V630">
        <v>1406.5</v>
      </c>
      <c r="W630" t="s">
        <v>121</v>
      </c>
      <c r="X630" t="s">
        <v>1</v>
      </c>
      <c r="Y630">
        <v>890089.46</v>
      </c>
      <c r="Z630">
        <v>34633656</v>
      </c>
      <c r="AA630">
        <v>202536</v>
      </c>
      <c r="AB630">
        <v>106</v>
      </c>
      <c r="AC630" s="34">
        <v>45977</v>
      </c>
      <c r="AD630" s="34">
        <v>46188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 t="s">
        <v>122</v>
      </c>
      <c r="AT630">
        <v>14774.4</v>
      </c>
      <c r="AU630">
        <v>379.7</v>
      </c>
      <c r="AV630">
        <v>20780193.600000001</v>
      </c>
      <c r="AW630">
        <v>534048.05000000005</v>
      </c>
    </row>
    <row r="631" spans="1:49" hidden="1" x14ac:dyDescent="0.35">
      <c r="A631">
        <v>5827010</v>
      </c>
      <c r="B631">
        <v>1090005827001</v>
      </c>
      <c r="D631">
        <v>20231303791</v>
      </c>
      <c r="E631" t="s">
        <v>1060</v>
      </c>
      <c r="F631" t="s">
        <v>1</v>
      </c>
      <c r="G631" t="s">
        <v>1062</v>
      </c>
      <c r="H631" t="s">
        <v>1062</v>
      </c>
      <c r="I631">
        <v>6330</v>
      </c>
      <c r="J631">
        <v>21</v>
      </c>
      <c r="K631" t="s">
        <v>33</v>
      </c>
      <c r="L631">
        <v>6127</v>
      </c>
      <c r="M631" t="s">
        <v>118</v>
      </c>
      <c r="N631">
        <v>1</v>
      </c>
      <c r="O631" t="s">
        <v>119</v>
      </c>
      <c r="P631" t="s">
        <v>1070</v>
      </c>
      <c r="Q631">
        <v>2176.0700000000002</v>
      </c>
      <c r="R631">
        <v>84672</v>
      </c>
      <c r="S631">
        <v>378</v>
      </c>
      <c r="T631">
        <v>224</v>
      </c>
      <c r="U631">
        <v>26</v>
      </c>
      <c r="V631">
        <v>1406.5</v>
      </c>
      <c r="W631" t="s">
        <v>121</v>
      </c>
      <c r="X631" t="s">
        <v>1</v>
      </c>
      <c r="Y631">
        <v>3060642.46</v>
      </c>
      <c r="Z631">
        <v>119091168</v>
      </c>
      <c r="AA631">
        <v>315056</v>
      </c>
      <c r="AB631">
        <v>106</v>
      </c>
      <c r="AC631" s="34">
        <v>45977</v>
      </c>
      <c r="AD631" s="34">
        <v>46188</v>
      </c>
      <c r="AF631">
        <v>0</v>
      </c>
      <c r="AG631">
        <v>3160.48</v>
      </c>
      <c r="AH631">
        <v>0</v>
      </c>
      <c r="AI631">
        <v>4445215.12</v>
      </c>
      <c r="AJ631">
        <v>0</v>
      </c>
      <c r="AK631">
        <v>0</v>
      </c>
      <c r="AL631">
        <v>1115734.26</v>
      </c>
      <c r="AM631">
        <v>0</v>
      </c>
      <c r="AN631">
        <v>5560949.3799999999</v>
      </c>
      <c r="AO631" t="s">
        <v>122</v>
      </c>
      <c r="AP631">
        <v>12</v>
      </c>
      <c r="AQ631">
        <v>379.26</v>
      </c>
      <c r="AR631">
        <v>533429.18999999994</v>
      </c>
      <c r="AT631">
        <v>50803.199999999997</v>
      </c>
      <c r="AU631">
        <v>1305.6400000000001</v>
      </c>
      <c r="AV631">
        <v>71454700.799999997</v>
      </c>
      <c r="AW631">
        <v>1836382.66</v>
      </c>
    </row>
    <row r="632" spans="1:49" hidden="1" x14ac:dyDescent="0.35">
      <c r="A632">
        <v>5827010</v>
      </c>
      <c r="B632">
        <v>1090005827001</v>
      </c>
      <c r="D632">
        <v>20231303791</v>
      </c>
      <c r="E632" t="s">
        <v>1060</v>
      </c>
      <c r="F632" t="s">
        <v>1</v>
      </c>
      <c r="G632" t="s">
        <v>1062</v>
      </c>
      <c r="H632" t="s">
        <v>1062</v>
      </c>
      <c r="I632">
        <v>6330</v>
      </c>
      <c r="J632">
        <v>21</v>
      </c>
      <c r="K632" t="s">
        <v>33</v>
      </c>
      <c r="L632">
        <v>6127</v>
      </c>
      <c r="M632" t="s">
        <v>118</v>
      </c>
      <c r="N632">
        <v>2</v>
      </c>
      <c r="O632" t="s">
        <v>119</v>
      </c>
      <c r="P632" t="s">
        <v>1073</v>
      </c>
      <c r="Q632">
        <v>984.41</v>
      </c>
      <c r="R632">
        <v>38304</v>
      </c>
      <c r="S632">
        <v>171</v>
      </c>
      <c r="T632">
        <v>224</v>
      </c>
      <c r="U632">
        <v>26</v>
      </c>
      <c r="V632">
        <v>1406.5</v>
      </c>
      <c r="W632" t="s">
        <v>121</v>
      </c>
      <c r="X632" t="s">
        <v>1</v>
      </c>
      <c r="Y632">
        <v>1384572.67</v>
      </c>
      <c r="Z632">
        <v>53874576</v>
      </c>
      <c r="AA632">
        <v>315056</v>
      </c>
      <c r="AB632">
        <v>106</v>
      </c>
      <c r="AC632" s="34">
        <v>45977</v>
      </c>
      <c r="AD632" s="34">
        <v>46188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 t="s">
        <v>122</v>
      </c>
      <c r="AT632">
        <v>22982.400000000001</v>
      </c>
      <c r="AU632">
        <v>590.65</v>
      </c>
      <c r="AV632">
        <v>32324745.600000001</v>
      </c>
      <c r="AW632">
        <v>830749.23</v>
      </c>
    </row>
    <row r="633" spans="1:49" hidden="1" x14ac:dyDescent="0.35">
      <c r="A633">
        <v>5827110</v>
      </c>
      <c r="B633">
        <v>1090005827101</v>
      </c>
      <c r="D633">
        <v>20233089908</v>
      </c>
      <c r="E633" t="s">
        <v>1067</v>
      </c>
      <c r="F633" t="s">
        <v>1</v>
      </c>
      <c r="G633" t="s">
        <v>1062</v>
      </c>
      <c r="H633" t="s">
        <v>1062</v>
      </c>
      <c r="I633">
        <v>6330</v>
      </c>
      <c r="J633">
        <v>21</v>
      </c>
      <c r="K633" t="s">
        <v>33</v>
      </c>
      <c r="L633">
        <v>6127</v>
      </c>
      <c r="M633" t="s">
        <v>118</v>
      </c>
      <c r="N633">
        <v>1</v>
      </c>
      <c r="O633" t="s">
        <v>119</v>
      </c>
      <c r="P633" t="s">
        <v>1070</v>
      </c>
      <c r="Q633">
        <v>1088.04</v>
      </c>
      <c r="R633">
        <v>42336</v>
      </c>
      <c r="S633">
        <v>378</v>
      </c>
      <c r="T633">
        <v>112</v>
      </c>
      <c r="U633">
        <v>26</v>
      </c>
      <c r="V633">
        <v>1406.5</v>
      </c>
      <c r="W633" t="s">
        <v>121</v>
      </c>
      <c r="X633" t="s">
        <v>1</v>
      </c>
      <c r="Y633">
        <v>1530328.26</v>
      </c>
      <c r="Z633">
        <v>59545584</v>
      </c>
      <c r="AA633">
        <v>157528</v>
      </c>
      <c r="AB633">
        <v>106</v>
      </c>
      <c r="AC633" s="34">
        <v>45977</v>
      </c>
      <c r="AD633" s="34">
        <v>46188</v>
      </c>
      <c r="AF633">
        <v>0</v>
      </c>
      <c r="AG633">
        <v>1580.25</v>
      </c>
      <c r="AH633">
        <v>0</v>
      </c>
      <c r="AI633">
        <v>2222621.63</v>
      </c>
      <c r="AJ633">
        <v>0</v>
      </c>
      <c r="AK633">
        <v>0</v>
      </c>
      <c r="AL633">
        <v>557874.16</v>
      </c>
      <c r="AM633">
        <v>0</v>
      </c>
      <c r="AN633">
        <v>2780495.79</v>
      </c>
      <c r="AO633" t="s">
        <v>122</v>
      </c>
      <c r="AP633">
        <v>12</v>
      </c>
      <c r="AQ633">
        <v>189.63</v>
      </c>
      <c r="AR633">
        <v>266714.59999999998</v>
      </c>
      <c r="AT633">
        <v>25401.599999999999</v>
      </c>
      <c r="AU633">
        <v>652.82000000000005</v>
      </c>
      <c r="AV633">
        <v>35727350.399999999</v>
      </c>
      <c r="AW633">
        <v>918191.33</v>
      </c>
    </row>
    <row r="634" spans="1:49" hidden="1" x14ac:dyDescent="0.35">
      <c r="A634">
        <v>5827110</v>
      </c>
      <c r="B634">
        <v>1090005827101</v>
      </c>
      <c r="D634">
        <v>20233089908</v>
      </c>
      <c r="E634" t="s">
        <v>1067</v>
      </c>
      <c r="F634" t="s">
        <v>1</v>
      </c>
      <c r="G634" t="s">
        <v>1062</v>
      </c>
      <c r="H634" t="s">
        <v>1062</v>
      </c>
      <c r="I634">
        <v>6330</v>
      </c>
      <c r="J634">
        <v>21</v>
      </c>
      <c r="K634" t="s">
        <v>33</v>
      </c>
      <c r="L634">
        <v>6127</v>
      </c>
      <c r="M634" t="s">
        <v>118</v>
      </c>
      <c r="N634">
        <v>2</v>
      </c>
      <c r="O634" t="s">
        <v>119</v>
      </c>
      <c r="P634" t="s">
        <v>1071</v>
      </c>
      <c r="Q634">
        <v>492.21</v>
      </c>
      <c r="R634">
        <v>19152</v>
      </c>
      <c r="S634">
        <v>171</v>
      </c>
      <c r="T634">
        <v>112</v>
      </c>
      <c r="U634">
        <v>26</v>
      </c>
      <c r="V634">
        <v>1406.5</v>
      </c>
      <c r="W634" t="s">
        <v>121</v>
      </c>
      <c r="X634" t="s">
        <v>1</v>
      </c>
      <c r="Y634">
        <v>692293.37</v>
      </c>
      <c r="Z634">
        <v>26937288</v>
      </c>
      <c r="AA634">
        <v>157528</v>
      </c>
      <c r="AB634">
        <v>106</v>
      </c>
      <c r="AC634" s="34">
        <v>45977</v>
      </c>
      <c r="AD634" s="34">
        <v>46188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 t="s">
        <v>122</v>
      </c>
      <c r="AT634">
        <v>11491.2</v>
      </c>
      <c r="AU634">
        <v>295.33</v>
      </c>
      <c r="AV634">
        <v>16162372.800000001</v>
      </c>
      <c r="AW634">
        <v>415381.65</v>
      </c>
    </row>
    <row r="635" spans="1:49" hidden="1" x14ac:dyDescent="0.35">
      <c r="A635">
        <v>5827210</v>
      </c>
      <c r="B635">
        <v>1090005827201</v>
      </c>
      <c r="D635">
        <v>30712215646</v>
      </c>
      <c r="E635" t="s">
        <v>1072</v>
      </c>
      <c r="F635" t="s">
        <v>1</v>
      </c>
      <c r="G635" t="s">
        <v>568</v>
      </c>
      <c r="H635" t="s">
        <v>57</v>
      </c>
      <c r="I635">
        <v>6360</v>
      </c>
      <c r="J635">
        <v>21</v>
      </c>
      <c r="K635" t="s">
        <v>33</v>
      </c>
      <c r="L635">
        <v>6127</v>
      </c>
      <c r="M635" t="s">
        <v>118</v>
      </c>
      <c r="N635">
        <v>1</v>
      </c>
      <c r="O635" t="s">
        <v>119</v>
      </c>
      <c r="P635" t="s">
        <v>1074</v>
      </c>
      <c r="Q635">
        <v>1068</v>
      </c>
      <c r="R635">
        <v>40000</v>
      </c>
      <c r="S635">
        <v>100</v>
      </c>
      <c r="T635">
        <v>400</v>
      </c>
      <c r="U635">
        <v>26</v>
      </c>
      <c r="V635">
        <v>1406.5</v>
      </c>
      <c r="W635" t="s">
        <v>121</v>
      </c>
      <c r="X635" t="s">
        <v>1</v>
      </c>
      <c r="Y635">
        <v>1502142</v>
      </c>
      <c r="Z635">
        <v>56260000</v>
      </c>
      <c r="AA635">
        <v>562600</v>
      </c>
      <c r="AB635">
        <v>106</v>
      </c>
      <c r="AC635" s="34">
        <v>45977</v>
      </c>
      <c r="AD635" s="34">
        <v>46173</v>
      </c>
      <c r="AF635">
        <v>0</v>
      </c>
      <c r="AG635">
        <v>3204</v>
      </c>
      <c r="AH635">
        <v>0</v>
      </c>
      <c r="AI635">
        <v>4506426</v>
      </c>
      <c r="AJ635">
        <v>0</v>
      </c>
      <c r="AK635">
        <v>0</v>
      </c>
      <c r="AL635">
        <v>1131107.3</v>
      </c>
      <c r="AM635">
        <v>0</v>
      </c>
      <c r="AN635">
        <v>5637533.2999999998</v>
      </c>
      <c r="AO635" t="s">
        <v>122</v>
      </c>
      <c r="AP635">
        <v>12</v>
      </c>
      <c r="AQ635">
        <v>384.48</v>
      </c>
      <c r="AR635">
        <v>540771.12</v>
      </c>
      <c r="AT635">
        <v>24000</v>
      </c>
      <c r="AU635">
        <v>640.79999999999995</v>
      </c>
      <c r="AV635">
        <v>33756000</v>
      </c>
      <c r="AW635">
        <v>901285.2</v>
      </c>
    </row>
    <row r="636" spans="1:49" hidden="1" x14ac:dyDescent="0.35">
      <c r="A636">
        <v>5827210</v>
      </c>
      <c r="B636">
        <v>1090005827201</v>
      </c>
      <c r="D636">
        <v>30712215646</v>
      </c>
      <c r="E636" t="s">
        <v>1072</v>
      </c>
      <c r="F636" t="s">
        <v>1</v>
      </c>
      <c r="G636" t="s">
        <v>370</v>
      </c>
      <c r="H636" t="s">
        <v>58</v>
      </c>
      <c r="I636">
        <v>6333</v>
      </c>
      <c r="J636">
        <v>21</v>
      </c>
      <c r="K636" t="s">
        <v>33</v>
      </c>
      <c r="L636">
        <v>6127</v>
      </c>
      <c r="M636" t="s">
        <v>118</v>
      </c>
      <c r="N636">
        <v>2</v>
      </c>
      <c r="O636" t="s">
        <v>119</v>
      </c>
      <c r="P636" t="s">
        <v>1075</v>
      </c>
      <c r="Q636">
        <v>2136</v>
      </c>
      <c r="R636">
        <v>80000</v>
      </c>
      <c r="S636">
        <v>200</v>
      </c>
      <c r="T636">
        <v>400</v>
      </c>
      <c r="U636">
        <v>26</v>
      </c>
      <c r="V636">
        <v>1406.5</v>
      </c>
      <c r="W636" t="s">
        <v>121</v>
      </c>
      <c r="X636" t="s">
        <v>1</v>
      </c>
      <c r="Y636">
        <v>3004284</v>
      </c>
      <c r="Z636">
        <v>112520000</v>
      </c>
      <c r="AA636">
        <v>562600</v>
      </c>
      <c r="AB636">
        <v>106</v>
      </c>
      <c r="AC636" s="34">
        <v>45977</v>
      </c>
      <c r="AD636" s="34">
        <v>46173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 t="s">
        <v>122</v>
      </c>
      <c r="AT636">
        <v>48000</v>
      </c>
      <c r="AU636">
        <v>1281.5999999999999</v>
      </c>
      <c r="AV636">
        <v>67512000</v>
      </c>
      <c r="AW636">
        <v>1802570.4</v>
      </c>
    </row>
    <row r="637" spans="1:49" hidden="1" x14ac:dyDescent="0.35">
      <c r="A637">
        <v>5827410</v>
      </c>
      <c r="B637">
        <v>1090005827401</v>
      </c>
      <c r="D637">
        <v>20231303791</v>
      </c>
      <c r="E637" t="s">
        <v>1060</v>
      </c>
      <c r="F637" t="s">
        <v>1</v>
      </c>
      <c r="G637" t="s">
        <v>568</v>
      </c>
      <c r="H637" t="s">
        <v>57</v>
      </c>
      <c r="I637">
        <v>6360</v>
      </c>
      <c r="J637">
        <v>21</v>
      </c>
      <c r="K637" t="s">
        <v>33</v>
      </c>
      <c r="L637">
        <v>6127</v>
      </c>
      <c r="M637" t="s">
        <v>118</v>
      </c>
      <c r="N637">
        <v>1</v>
      </c>
      <c r="O637" t="s">
        <v>119</v>
      </c>
      <c r="P637" t="s">
        <v>1076</v>
      </c>
      <c r="Q637">
        <v>1461.82</v>
      </c>
      <c r="R637">
        <v>56880</v>
      </c>
      <c r="S637">
        <v>158</v>
      </c>
      <c r="T637">
        <v>360</v>
      </c>
      <c r="U637">
        <v>26</v>
      </c>
      <c r="V637">
        <v>1406.5</v>
      </c>
      <c r="W637" t="s">
        <v>121</v>
      </c>
      <c r="X637" t="s">
        <v>1</v>
      </c>
      <c r="Y637">
        <v>2056049.83</v>
      </c>
      <c r="Z637">
        <v>80001720</v>
      </c>
      <c r="AA637">
        <v>506340</v>
      </c>
      <c r="AB637">
        <v>106</v>
      </c>
      <c r="AC637" s="34">
        <v>45977</v>
      </c>
      <c r="AD637" s="34">
        <v>46188</v>
      </c>
      <c r="AF637">
        <v>1</v>
      </c>
      <c r="AG637">
        <v>1461.82</v>
      </c>
      <c r="AH637">
        <v>0</v>
      </c>
      <c r="AI637">
        <v>2056049.83</v>
      </c>
      <c r="AJ637">
        <v>0</v>
      </c>
      <c r="AK637">
        <v>0</v>
      </c>
      <c r="AL637">
        <v>516058.92</v>
      </c>
      <c r="AM637">
        <v>0</v>
      </c>
      <c r="AN637">
        <v>2572108.75</v>
      </c>
      <c r="AO637" t="s">
        <v>122</v>
      </c>
      <c r="AP637">
        <v>12</v>
      </c>
      <c r="AQ637">
        <v>175.42</v>
      </c>
      <c r="AR637">
        <v>246728.23</v>
      </c>
      <c r="AT637">
        <v>34128</v>
      </c>
      <c r="AU637">
        <v>877.09</v>
      </c>
      <c r="AV637">
        <v>48001032</v>
      </c>
      <c r="AW637">
        <v>1233627.0900000001</v>
      </c>
    </row>
    <row r="638" spans="1:49" hidden="1" x14ac:dyDescent="0.35">
      <c r="A638">
        <v>5827510</v>
      </c>
      <c r="B638">
        <v>1090005827501</v>
      </c>
      <c r="D638">
        <v>20231303791</v>
      </c>
      <c r="E638" t="s">
        <v>1060</v>
      </c>
      <c r="F638" t="s">
        <v>1</v>
      </c>
      <c r="G638" t="s">
        <v>57</v>
      </c>
      <c r="H638" t="s">
        <v>57</v>
      </c>
      <c r="I638">
        <v>8200</v>
      </c>
      <c r="J638">
        <v>21</v>
      </c>
      <c r="K638" t="s">
        <v>33</v>
      </c>
      <c r="L638">
        <v>6127</v>
      </c>
      <c r="M638" t="s">
        <v>118</v>
      </c>
      <c r="N638">
        <v>1</v>
      </c>
      <c r="O638" t="s">
        <v>119</v>
      </c>
      <c r="P638" t="s">
        <v>1077</v>
      </c>
      <c r="Q638">
        <v>1603.68</v>
      </c>
      <c r="R638">
        <v>62400</v>
      </c>
      <c r="S638">
        <v>78</v>
      </c>
      <c r="T638">
        <v>800</v>
      </c>
      <c r="U638">
        <v>26</v>
      </c>
      <c r="V638">
        <v>1406.5</v>
      </c>
      <c r="W638" t="s">
        <v>121</v>
      </c>
      <c r="X638" t="s">
        <v>1</v>
      </c>
      <c r="Y638">
        <v>2255575.92</v>
      </c>
      <c r="Z638">
        <v>87765600</v>
      </c>
      <c r="AA638">
        <v>1125200</v>
      </c>
      <c r="AB638">
        <v>106</v>
      </c>
      <c r="AC638" s="34">
        <v>45977</v>
      </c>
      <c r="AD638" s="34">
        <v>46188</v>
      </c>
      <c r="AF638">
        <v>1</v>
      </c>
      <c r="AG638">
        <v>1603.68</v>
      </c>
      <c r="AH638">
        <v>0</v>
      </c>
      <c r="AI638">
        <v>2255575.92</v>
      </c>
      <c r="AJ638">
        <v>0</v>
      </c>
      <c r="AK638">
        <v>0</v>
      </c>
      <c r="AL638">
        <v>566144.38</v>
      </c>
      <c r="AM638">
        <v>0</v>
      </c>
      <c r="AN638">
        <v>2821720.3</v>
      </c>
      <c r="AO638" t="s">
        <v>122</v>
      </c>
      <c r="AP638">
        <v>12</v>
      </c>
      <c r="AQ638">
        <v>192.44</v>
      </c>
      <c r="AR638">
        <v>270666.86</v>
      </c>
      <c r="AT638">
        <v>37440</v>
      </c>
      <c r="AU638">
        <v>962.21</v>
      </c>
      <c r="AV638">
        <v>52659360</v>
      </c>
      <c r="AW638">
        <v>1353348.37</v>
      </c>
    </row>
    <row r="639" spans="1:49" hidden="1" x14ac:dyDescent="0.35">
      <c r="A639">
        <v>5827610</v>
      </c>
      <c r="B639">
        <v>1090005827601</v>
      </c>
      <c r="D639">
        <v>20146559523</v>
      </c>
      <c r="E639" t="s">
        <v>381</v>
      </c>
      <c r="F639" t="s">
        <v>1</v>
      </c>
      <c r="G639" t="s">
        <v>19</v>
      </c>
      <c r="H639" t="s">
        <v>19</v>
      </c>
      <c r="I639">
        <v>6430</v>
      </c>
      <c r="J639">
        <v>1</v>
      </c>
      <c r="K639" t="s">
        <v>16</v>
      </c>
      <c r="L639">
        <v>6039</v>
      </c>
      <c r="M639" t="s">
        <v>274</v>
      </c>
      <c r="N639">
        <v>1</v>
      </c>
      <c r="O639" t="s">
        <v>119</v>
      </c>
      <c r="P639" t="s">
        <v>1078</v>
      </c>
      <c r="Q639">
        <v>3564</v>
      </c>
      <c r="R639">
        <v>90000</v>
      </c>
      <c r="S639">
        <v>300</v>
      </c>
      <c r="T639">
        <v>300</v>
      </c>
      <c r="U639">
        <v>26</v>
      </c>
      <c r="V639">
        <v>1406.5</v>
      </c>
      <c r="W639" t="s">
        <v>121</v>
      </c>
      <c r="X639" t="s">
        <v>1</v>
      </c>
      <c r="Y639">
        <v>5012766</v>
      </c>
      <c r="Z639">
        <v>126585000</v>
      </c>
      <c r="AA639">
        <v>421950</v>
      </c>
      <c r="AB639">
        <v>106</v>
      </c>
      <c r="AC639" s="34">
        <v>45981</v>
      </c>
      <c r="AD639" s="34">
        <v>46112</v>
      </c>
      <c r="AF639">
        <v>0</v>
      </c>
      <c r="AG639">
        <v>3564</v>
      </c>
      <c r="AH639">
        <v>0</v>
      </c>
      <c r="AI639">
        <v>5012766</v>
      </c>
      <c r="AJ639">
        <v>0</v>
      </c>
      <c r="AK639">
        <v>0</v>
      </c>
      <c r="AL639">
        <v>1268226.99</v>
      </c>
      <c r="AM639">
        <v>0</v>
      </c>
      <c r="AN639">
        <v>6280992.9900000002</v>
      </c>
      <c r="AO639" t="s">
        <v>122</v>
      </c>
      <c r="AP639">
        <v>12</v>
      </c>
      <c r="AQ639">
        <v>427.68</v>
      </c>
      <c r="AR639">
        <v>601531.92000000004</v>
      </c>
      <c r="AT639">
        <v>54000</v>
      </c>
      <c r="AU639">
        <v>2138.4</v>
      </c>
      <c r="AV639">
        <v>75951000</v>
      </c>
      <c r="AW639">
        <v>3007659.6</v>
      </c>
    </row>
    <row r="640" spans="1:49" hidden="1" x14ac:dyDescent="0.35">
      <c r="A640">
        <v>5827710</v>
      </c>
      <c r="B640">
        <v>1250005827701</v>
      </c>
      <c r="D640">
        <v>20066481914</v>
      </c>
      <c r="E640" t="s">
        <v>1079</v>
      </c>
      <c r="F640" t="s">
        <v>1</v>
      </c>
      <c r="G640" t="s">
        <v>49</v>
      </c>
      <c r="H640" t="s">
        <v>49</v>
      </c>
      <c r="I640">
        <v>5800</v>
      </c>
      <c r="J640">
        <v>3</v>
      </c>
      <c r="K640" t="s">
        <v>32</v>
      </c>
      <c r="L640">
        <v>9341</v>
      </c>
      <c r="M640" t="s">
        <v>1080</v>
      </c>
      <c r="N640">
        <v>1</v>
      </c>
      <c r="O640" t="s">
        <v>119</v>
      </c>
      <c r="P640" t="s">
        <v>1081</v>
      </c>
      <c r="Q640">
        <v>6991974</v>
      </c>
      <c r="R640">
        <v>95782500</v>
      </c>
      <c r="S640">
        <v>215</v>
      </c>
      <c r="T640">
        <v>445500</v>
      </c>
      <c r="U640">
        <v>1</v>
      </c>
      <c r="V640">
        <v>1</v>
      </c>
      <c r="W640" t="s">
        <v>127</v>
      </c>
      <c r="X640">
        <v>29700</v>
      </c>
      <c r="Y640">
        <v>6991974</v>
      </c>
      <c r="Z640">
        <v>95782500</v>
      </c>
      <c r="AA640">
        <v>445500</v>
      </c>
      <c r="AB640">
        <v>105</v>
      </c>
      <c r="AC640" s="34">
        <v>45983</v>
      </c>
      <c r="AD640" s="34">
        <v>46173</v>
      </c>
      <c r="AF640">
        <v>0</v>
      </c>
      <c r="AG640">
        <v>6991974</v>
      </c>
      <c r="AH640">
        <v>0</v>
      </c>
      <c r="AI640">
        <v>6991974</v>
      </c>
      <c r="AJ640">
        <v>0</v>
      </c>
      <c r="AK640">
        <v>0</v>
      </c>
      <c r="AL640">
        <v>1824905.21</v>
      </c>
      <c r="AM640">
        <v>0</v>
      </c>
      <c r="AN640">
        <v>8816879.2100000009</v>
      </c>
      <c r="AO640" t="s">
        <v>122</v>
      </c>
      <c r="AP640">
        <v>10</v>
      </c>
      <c r="AQ640">
        <v>699197.4</v>
      </c>
      <c r="AR640">
        <v>699197.4</v>
      </c>
      <c r="AT640">
        <v>57469500</v>
      </c>
      <c r="AU640">
        <v>4195184.4000000004</v>
      </c>
      <c r="AV640">
        <v>57469500</v>
      </c>
      <c r="AW640">
        <v>4195184.4000000004</v>
      </c>
    </row>
    <row r="641" spans="1:49" hidden="1" x14ac:dyDescent="0.35">
      <c r="A641">
        <v>5827810</v>
      </c>
      <c r="B641">
        <v>1170005827801</v>
      </c>
      <c r="D641">
        <v>20126196793</v>
      </c>
      <c r="E641" t="s">
        <v>255</v>
      </c>
      <c r="F641" t="s">
        <v>1</v>
      </c>
      <c r="G641" t="s">
        <v>256</v>
      </c>
      <c r="H641" t="s">
        <v>71</v>
      </c>
      <c r="I641">
        <v>2520</v>
      </c>
      <c r="J641">
        <v>12</v>
      </c>
      <c r="K641" t="s">
        <v>34</v>
      </c>
      <c r="L641">
        <v>18076</v>
      </c>
      <c r="M641" t="s">
        <v>257</v>
      </c>
      <c r="N641">
        <v>1</v>
      </c>
      <c r="O641" t="s">
        <v>119</v>
      </c>
      <c r="P641" t="s">
        <v>1082</v>
      </c>
      <c r="Q641">
        <v>484110</v>
      </c>
      <c r="R641">
        <v>19602000</v>
      </c>
      <c r="S641">
        <v>22</v>
      </c>
      <c r="T641">
        <v>891000</v>
      </c>
      <c r="U641">
        <v>1</v>
      </c>
      <c r="V641">
        <v>1</v>
      </c>
      <c r="W641" t="s">
        <v>127</v>
      </c>
      <c r="X641">
        <v>29700</v>
      </c>
      <c r="Y641">
        <v>484110</v>
      </c>
      <c r="Z641">
        <v>19602000</v>
      </c>
      <c r="AA641">
        <v>891000</v>
      </c>
      <c r="AB641">
        <v>105</v>
      </c>
      <c r="AC641" s="34">
        <v>45983</v>
      </c>
      <c r="AD641" s="34">
        <v>46173</v>
      </c>
      <c r="AF641">
        <v>0</v>
      </c>
      <c r="AG641">
        <v>484110</v>
      </c>
      <c r="AH641">
        <v>0</v>
      </c>
      <c r="AI641">
        <v>484110</v>
      </c>
      <c r="AJ641">
        <v>0</v>
      </c>
      <c r="AK641">
        <v>0</v>
      </c>
      <c r="AL641">
        <v>123932.16</v>
      </c>
      <c r="AM641">
        <v>0</v>
      </c>
      <c r="AN641">
        <v>608042.16</v>
      </c>
      <c r="AO641" t="s">
        <v>122</v>
      </c>
      <c r="AP641">
        <v>10</v>
      </c>
      <c r="AQ641">
        <v>48411</v>
      </c>
      <c r="AR641">
        <v>48411</v>
      </c>
      <c r="AT641">
        <v>11761200</v>
      </c>
      <c r="AU641">
        <v>290466</v>
      </c>
      <c r="AV641">
        <v>11761200</v>
      </c>
      <c r="AW641">
        <v>290466</v>
      </c>
    </row>
    <row r="642" spans="1:49" hidden="1" x14ac:dyDescent="0.35">
      <c r="A642">
        <v>5828010</v>
      </c>
      <c r="B642">
        <v>1090005828001</v>
      </c>
      <c r="D642">
        <v>20255268784</v>
      </c>
      <c r="E642" t="s">
        <v>1066</v>
      </c>
      <c r="F642" t="s">
        <v>1</v>
      </c>
      <c r="G642" t="s">
        <v>568</v>
      </c>
      <c r="H642" t="s">
        <v>57</v>
      </c>
      <c r="I642">
        <v>6360</v>
      </c>
      <c r="J642">
        <v>21</v>
      </c>
      <c r="K642" t="s">
        <v>33</v>
      </c>
      <c r="L642">
        <v>6127</v>
      </c>
      <c r="M642" t="s">
        <v>118</v>
      </c>
      <c r="N642">
        <v>1</v>
      </c>
      <c r="O642" t="s">
        <v>119</v>
      </c>
      <c r="P642" t="s">
        <v>1061</v>
      </c>
      <c r="Q642">
        <v>1281.5999999999999</v>
      </c>
      <c r="R642">
        <v>48000</v>
      </c>
      <c r="S642">
        <v>120</v>
      </c>
      <c r="T642">
        <v>400</v>
      </c>
      <c r="U642">
        <v>26</v>
      </c>
      <c r="V642">
        <v>1425</v>
      </c>
      <c r="W642" t="s">
        <v>121</v>
      </c>
      <c r="X642" t="s">
        <v>1</v>
      </c>
      <c r="Y642">
        <v>1826280</v>
      </c>
      <c r="Z642">
        <v>68400000</v>
      </c>
      <c r="AA642">
        <v>570000</v>
      </c>
      <c r="AB642">
        <v>211</v>
      </c>
      <c r="AC642" s="34">
        <v>45977</v>
      </c>
      <c r="AD642" s="34">
        <v>46188</v>
      </c>
      <c r="AF642">
        <v>0</v>
      </c>
      <c r="AG642">
        <v>1281.5999999999999</v>
      </c>
      <c r="AH642">
        <v>0</v>
      </c>
      <c r="AI642">
        <v>1826280</v>
      </c>
      <c r="AJ642">
        <v>0</v>
      </c>
      <c r="AK642">
        <v>0</v>
      </c>
      <c r="AL642">
        <v>458408.25</v>
      </c>
      <c r="AM642">
        <v>0</v>
      </c>
      <c r="AN642">
        <v>2284688.25</v>
      </c>
      <c r="AO642" t="s">
        <v>122</v>
      </c>
      <c r="AP642">
        <v>12</v>
      </c>
      <c r="AQ642">
        <v>153.79</v>
      </c>
      <c r="AR642">
        <v>219150.75</v>
      </c>
      <c r="AT642">
        <v>28800</v>
      </c>
      <c r="AU642">
        <v>768.96</v>
      </c>
      <c r="AV642">
        <v>41040000</v>
      </c>
      <c r="AW642">
        <v>1095768</v>
      </c>
    </row>
    <row r="643" spans="1:49" hidden="1" x14ac:dyDescent="0.35">
      <c r="A643">
        <v>5828110</v>
      </c>
      <c r="B643">
        <v>1090005828101</v>
      </c>
      <c r="D643">
        <v>20255268784</v>
      </c>
      <c r="E643" t="s">
        <v>1066</v>
      </c>
      <c r="F643" t="s">
        <v>1</v>
      </c>
      <c r="G643" t="s">
        <v>1062</v>
      </c>
      <c r="H643" t="s">
        <v>1062</v>
      </c>
      <c r="I643">
        <v>6330</v>
      </c>
      <c r="J643">
        <v>21</v>
      </c>
      <c r="K643" t="s">
        <v>33</v>
      </c>
      <c r="L643">
        <v>6127</v>
      </c>
      <c r="M643" t="s">
        <v>118</v>
      </c>
      <c r="N643">
        <v>1</v>
      </c>
      <c r="O643" t="s">
        <v>119</v>
      </c>
      <c r="P643" t="s">
        <v>1070</v>
      </c>
      <c r="Q643">
        <v>971.46</v>
      </c>
      <c r="R643">
        <v>37800</v>
      </c>
      <c r="S643">
        <v>378</v>
      </c>
      <c r="T643">
        <v>100</v>
      </c>
      <c r="U643">
        <v>26</v>
      </c>
      <c r="V643">
        <v>1425</v>
      </c>
      <c r="W643" t="s">
        <v>121</v>
      </c>
      <c r="X643" t="s">
        <v>1</v>
      </c>
      <c r="Y643">
        <v>1384330.5</v>
      </c>
      <c r="Z643">
        <v>53865000</v>
      </c>
      <c r="AA643">
        <v>142500</v>
      </c>
      <c r="AB643">
        <v>106</v>
      </c>
      <c r="AC643" s="34">
        <v>45977</v>
      </c>
      <c r="AD643" s="34">
        <v>46188</v>
      </c>
      <c r="AF643">
        <v>0</v>
      </c>
      <c r="AG643">
        <v>1410.93</v>
      </c>
      <c r="AH643">
        <v>0</v>
      </c>
      <c r="AI643">
        <v>2010575.25</v>
      </c>
      <c r="AJ643">
        <v>0</v>
      </c>
      <c r="AK643">
        <v>0</v>
      </c>
      <c r="AL643">
        <v>504663.75</v>
      </c>
      <c r="AM643">
        <v>0</v>
      </c>
      <c r="AN643">
        <v>2515239</v>
      </c>
      <c r="AO643" t="s">
        <v>122</v>
      </c>
      <c r="AP643">
        <v>12</v>
      </c>
      <c r="AQ643">
        <v>169.31</v>
      </c>
      <c r="AR643">
        <v>241266.75</v>
      </c>
      <c r="AT643">
        <v>22680</v>
      </c>
      <c r="AU643">
        <v>582.88</v>
      </c>
      <c r="AV643">
        <v>32319000</v>
      </c>
      <c r="AW643">
        <v>830604</v>
      </c>
    </row>
    <row r="644" spans="1:49" hidden="1" x14ac:dyDescent="0.35">
      <c r="A644">
        <v>5828110</v>
      </c>
      <c r="B644">
        <v>1090005828101</v>
      </c>
      <c r="D644">
        <v>20255268784</v>
      </c>
      <c r="E644" t="s">
        <v>1066</v>
      </c>
      <c r="F644" t="s">
        <v>1</v>
      </c>
      <c r="G644" t="s">
        <v>1062</v>
      </c>
      <c r="H644" t="s">
        <v>1062</v>
      </c>
      <c r="I644">
        <v>6330</v>
      </c>
      <c r="J644">
        <v>21</v>
      </c>
      <c r="K644" t="s">
        <v>33</v>
      </c>
      <c r="L644">
        <v>6127</v>
      </c>
      <c r="M644" t="s">
        <v>118</v>
      </c>
      <c r="N644">
        <v>2</v>
      </c>
      <c r="O644" t="s">
        <v>119</v>
      </c>
      <c r="P644" t="s">
        <v>1071</v>
      </c>
      <c r="Q644">
        <v>439.47</v>
      </c>
      <c r="R644">
        <v>17100</v>
      </c>
      <c r="S644">
        <v>171</v>
      </c>
      <c r="T644">
        <v>100</v>
      </c>
      <c r="U644">
        <v>26</v>
      </c>
      <c r="V644">
        <v>1425</v>
      </c>
      <c r="W644" t="s">
        <v>121</v>
      </c>
      <c r="X644" t="s">
        <v>1</v>
      </c>
      <c r="Y644">
        <v>626244.75</v>
      </c>
      <c r="Z644">
        <v>24367500</v>
      </c>
      <c r="AA644">
        <v>142500</v>
      </c>
      <c r="AB644">
        <v>106</v>
      </c>
      <c r="AC644" s="34">
        <v>45977</v>
      </c>
      <c r="AD644" s="34">
        <v>46188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 t="s">
        <v>122</v>
      </c>
      <c r="AT644">
        <v>10260</v>
      </c>
      <c r="AU644">
        <v>263.68</v>
      </c>
      <c r="AV644">
        <v>14620500</v>
      </c>
      <c r="AW644">
        <v>375744</v>
      </c>
    </row>
    <row r="645" spans="1:49" hidden="1" x14ac:dyDescent="0.35">
      <c r="A645">
        <v>5828210</v>
      </c>
      <c r="B645">
        <v>1090005828201</v>
      </c>
      <c r="D645">
        <v>30712215646</v>
      </c>
      <c r="E645" t="s">
        <v>1072</v>
      </c>
      <c r="F645" t="s">
        <v>1</v>
      </c>
      <c r="G645" t="s">
        <v>568</v>
      </c>
      <c r="H645" t="s">
        <v>57</v>
      </c>
      <c r="I645">
        <v>6360</v>
      </c>
      <c r="J645">
        <v>21</v>
      </c>
      <c r="K645" t="s">
        <v>33</v>
      </c>
      <c r="L645">
        <v>6127</v>
      </c>
      <c r="M645" t="s">
        <v>118</v>
      </c>
      <c r="N645">
        <v>1</v>
      </c>
      <c r="O645" t="s">
        <v>119</v>
      </c>
      <c r="P645" t="s">
        <v>1083</v>
      </c>
      <c r="Q645">
        <v>2419.1999999999998</v>
      </c>
      <c r="R645">
        <v>48000</v>
      </c>
      <c r="S645">
        <v>120</v>
      </c>
      <c r="T645">
        <v>400</v>
      </c>
      <c r="U645">
        <v>26</v>
      </c>
      <c r="V645">
        <v>1425</v>
      </c>
      <c r="W645" t="s">
        <v>121</v>
      </c>
      <c r="X645" t="s">
        <v>1</v>
      </c>
      <c r="Y645">
        <v>3447360</v>
      </c>
      <c r="Z645">
        <v>68400000</v>
      </c>
      <c r="AA645">
        <v>570000</v>
      </c>
      <c r="AB645">
        <v>211</v>
      </c>
      <c r="AC645" s="34">
        <v>45977</v>
      </c>
      <c r="AD645" s="34">
        <v>46112</v>
      </c>
      <c r="AE645" t="s">
        <v>355</v>
      </c>
      <c r="AF645">
        <v>0</v>
      </c>
      <c r="AG645">
        <v>4435.2</v>
      </c>
      <c r="AH645">
        <v>0</v>
      </c>
      <c r="AI645">
        <v>6320160</v>
      </c>
      <c r="AJ645">
        <v>0</v>
      </c>
      <c r="AK645">
        <v>0</v>
      </c>
      <c r="AL645">
        <v>1586367</v>
      </c>
      <c r="AM645">
        <v>0</v>
      </c>
      <c r="AN645">
        <v>7906527</v>
      </c>
      <c r="AO645" t="s">
        <v>122</v>
      </c>
      <c r="AP645">
        <v>12</v>
      </c>
      <c r="AQ645">
        <v>532.22</v>
      </c>
      <c r="AR645">
        <v>758413.5</v>
      </c>
      <c r="AT645">
        <v>28800</v>
      </c>
      <c r="AU645">
        <v>1451.52</v>
      </c>
      <c r="AV645">
        <v>41040000</v>
      </c>
      <c r="AW645">
        <v>2068416</v>
      </c>
    </row>
    <row r="646" spans="1:49" hidden="1" x14ac:dyDescent="0.35">
      <c r="A646">
        <v>5828210</v>
      </c>
      <c r="B646">
        <v>1090005828201</v>
      </c>
      <c r="D646">
        <v>30712215646</v>
      </c>
      <c r="E646" t="s">
        <v>1072</v>
      </c>
      <c r="F646" t="s">
        <v>1</v>
      </c>
      <c r="G646" t="s">
        <v>568</v>
      </c>
      <c r="H646" t="s">
        <v>57</v>
      </c>
      <c r="I646">
        <v>6360</v>
      </c>
      <c r="J646">
        <v>21</v>
      </c>
      <c r="K646" t="s">
        <v>33</v>
      </c>
      <c r="L646">
        <v>6127</v>
      </c>
      <c r="M646" t="s">
        <v>118</v>
      </c>
      <c r="N646">
        <v>2</v>
      </c>
      <c r="O646" t="s">
        <v>119</v>
      </c>
      <c r="P646" t="s">
        <v>1084</v>
      </c>
      <c r="Q646">
        <v>2016</v>
      </c>
      <c r="R646">
        <v>40000</v>
      </c>
      <c r="S646">
        <v>100</v>
      </c>
      <c r="T646">
        <v>400</v>
      </c>
      <c r="U646">
        <v>26</v>
      </c>
      <c r="V646">
        <v>1425</v>
      </c>
      <c r="W646" t="s">
        <v>121</v>
      </c>
      <c r="X646" t="s">
        <v>1</v>
      </c>
      <c r="Y646">
        <v>2872800</v>
      </c>
      <c r="Z646">
        <v>57000000</v>
      </c>
      <c r="AA646">
        <v>570000</v>
      </c>
      <c r="AB646">
        <v>211</v>
      </c>
      <c r="AC646" s="34">
        <v>45977</v>
      </c>
      <c r="AD646" s="34">
        <v>46112</v>
      </c>
      <c r="AE646" t="s">
        <v>355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 t="s">
        <v>122</v>
      </c>
      <c r="AT646">
        <v>24000</v>
      </c>
      <c r="AU646">
        <v>1209.5999999999999</v>
      </c>
      <c r="AV646">
        <v>34200000</v>
      </c>
      <c r="AW646">
        <v>1723680</v>
      </c>
    </row>
    <row r="647" spans="1:49" hidden="1" x14ac:dyDescent="0.35">
      <c r="A647">
        <v>5828310</v>
      </c>
      <c r="B647">
        <v>1090005828301</v>
      </c>
      <c r="D647">
        <v>30714798800</v>
      </c>
      <c r="E647" t="s">
        <v>1065</v>
      </c>
      <c r="F647" t="s">
        <v>1</v>
      </c>
      <c r="G647" t="s">
        <v>57</v>
      </c>
      <c r="H647" t="s">
        <v>57</v>
      </c>
      <c r="I647">
        <v>8200</v>
      </c>
      <c r="J647">
        <v>21</v>
      </c>
      <c r="K647" t="s">
        <v>33</v>
      </c>
      <c r="L647">
        <v>6127</v>
      </c>
      <c r="M647" t="s">
        <v>118</v>
      </c>
      <c r="N647">
        <v>1</v>
      </c>
      <c r="O647" t="s">
        <v>119</v>
      </c>
      <c r="P647" t="s">
        <v>1076</v>
      </c>
      <c r="Q647">
        <v>1461.82</v>
      </c>
      <c r="R647">
        <v>56880</v>
      </c>
      <c r="S647">
        <v>158</v>
      </c>
      <c r="T647">
        <v>360</v>
      </c>
      <c r="U647">
        <v>26</v>
      </c>
      <c r="V647">
        <v>1425</v>
      </c>
      <c r="W647" t="s">
        <v>121</v>
      </c>
      <c r="X647" t="s">
        <v>1</v>
      </c>
      <c r="Y647">
        <v>2083093.5</v>
      </c>
      <c r="Z647">
        <v>81054000</v>
      </c>
      <c r="AA647">
        <v>513000</v>
      </c>
      <c r="AB647">
        <v>106</v>
      </c>
      <c r="AC647" s="34">
        <v>45977</v>
      </c>
      <c r="AD647" s="34">
        <v>46188</v>
      </c>
      <c r="AF647">
        <v>1</v>
      </c>
      <c r="AG647">
        <v>1461.82</v>
      </c>
      <c r="AH647">
        <v>0</v>
      </c>
      <c r="AI647">
        <v>2083093.5</v>
      </c>
      <c r="AJ647">
        <v>0</v>
      </c>
      <c r="AK647">
        <v>0</v>
      </c>
      <c r="AL647">
        <v>522846.75</v>
      </c>
      <c r="AM647">
        <v>0</v>
      </c>
      <c r="AN647">
        <v>2605940.25</v>
      </c>
      <c r="AO647" t="s">
        <v>122</v>
      </c>
      <c r="AP647">
        <v>12</v>
      </c>
      <c r="AQ647">
        <v>175.42</v>
      </c>
      <c r="AR647">
        <v>249973.5</v>
      </c>
      <c r="AT647">
        <v>34128</v>
      </c>
      <c r="AU647">
        <v>877.09</v>
      </c>
      <c r="AV647">
        <v>48632400</v>
      </c>
      <c r="AW647">
        <v>1249853.25</v>
      </c>
    </row>
    <row r="648" spans="1:49" hidden="1" x14ac:dyDescent="0.35">
      <c r="A648">
        <v>5828410</v>
      </c>
      <c r="B648">
        <v>1090005828401</v>
      </c>
      <c r="D648">
        <v>20149280430</v>
      </c>
      <c r="E648" t="s">
        <v>411</v>
      </c>
      <c r="F648" t="s">
        <v>1</v>
      </c>
      <c r="G648" t="s">
        <v>412</v>
      </c>
      <c r="H648" t="s">
        <v>412</v>
      </c>
      <c r="I648">
        <v>6369</v>
      </c>
      <c r="J648">
        <v>21</v>
      </c>
      <c r="K648" t="s">
        <v>33</v>
      </c>
      <c r="L648">
        <v>6127</v>
      </c>
      <c r="M648" t="s">
        <v>118</v>
      </c>
      <c r="N648">
        <v>1</v>
      </c>
      <c r="O648" t="s">
        <v>119</v>
      </c>
      <c r="P648" t="s">
        <v>1085</v>
      </c>
      <c r="Q648">
        <v>2457</v>
      </c>
      <c r="R648">
        <v>63000</v>
      </c>
      <c r="S648">
        <v>210</v>
      </c>
      <c r="T648">
        <v>300</v>
      </c>
      <c r="U648">
        <v>26</v>
      </c>
      <c r="V648">
        <v>1425</v>
      </c>
      <c r="W648" t="s">
        <v>121</v>
      </c>
      <c r="X648" t="s">
        <v>1</v>
      </c>
      <c r="Y648">
        <v>3501225</v>
      </c>
      <c r="Z648">
        <v>89775000</v>
      </c>
      <c r="AA648">
        <v>427500</v>
      </c>
      <c r="AB648">
        <v>211</v>
      </c>
      <c r="AC648" s="34">
        <v>45979</v>
      </c>
      <c r="AD648" s="34">
        <v>46112</v>
      </c>
      <c r="AF648">
        <v>1</v>
      </c>
      <c r="AG648">
        <v>2843.1</v>
      </c>
      <c r="AH648">
        <v>0</v>
      </c>
      <c r="AI648">
        <v>4051417.5</v>
      </c>
      <c r="AJ648">
        <v>0</v>
      </c>
      <c r="AK648">
        <v>0</v>
      </c>
      <c r="AL648">
        <v>1016908.5</v>
      </c>
      <c r="AM648">
        <v>0</v>
      </c>
      <c r="AN648">
        <v>5068326</v>
      </c>
      <c r="AO648" t="s">
        <v>122</v>
      </c>
      <c r="AP648">
        <v>12</v>
      </c>
      <c r="AQ648">
        <v>341.17</v>
      </c>
      <c r="AR648">
        <v>486167.25</v>
      </c>
      <c r="AT648">
        <v>37800</v>
      </c>
      <c r="AU648">
        <v>1474.2</v>
      </c>
      <c r="AV648">
        <v>53865000</v>
      </c>
      <c r="AW648">
        <v>2100735</v>
      </c>
    </row>
    <row r="649" spans="1:49" hidden="1" x14ac:dyDescent="0.35">
      <c r="A649">
        <v>5828410</v>
      </c>
      <c r="B649">
        <v>1090005828401</v>
      </c>
      <c r="D649">
        <v>20149280430</v>
      </c>
      <c r="E649" t="s">
        <v>411</v>
      </c>
      <c r="F649" t="s">
        <v>1</v>
      </c>
      <c r="G649" t="s">
        <v>1086</v>
      </c>
      <c r="H649" t="s">
        <v>55</v>
      </c>
      <c r="I649">
        <v>6365</v>
      </c>
      <c r="J649">
        <v>21</v>
      </c>
      <c r="K649" t="s">
        <v>33</v>
      </c>
      <c r="L649">
        <v>6127</v>
      </c>
      <c r="M649" t="s">
        <v>118</v>
      </c>
      <c r="N649">
        <v>2</v>
      </c>
      <c r="O649" t="s">
        <v>119</v>
      </c>
      <c r="P649" t="s">
        <v>1087</v>
      </c>
      <c r="Q649">
        <v>386.1</v>
      </c>
      <c r="R649">
        <v>9900</v>
      </c>
      <c r="S649">
        <v>33</v>
      </c>
      <c r="T649">
        <v>300</v>
      </c>
      <c r="U649">
        <v>26</v>
      </c>
      <c r="V649">
        <v>1425</v>
      </c>
      <c r="W649" t="s">
        <v>121</v>
      </c>
      <c r="X649" t="s">
        <v>1</v>
      </c>
      <c r="Y649">
        <v>550192.5</v>
      </c>
      <c r="Z649">
        <v>14107500</v>
      </c>
      <c r="AA649">
        <v>427500</v>
      </c>
      <c r="AB649">
        <v>211</v>
      </c>
      <c r="AC649" s="34">
        <v>45979</v>
      </c>
      <c r="AD649" s="34">
        <v>46112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 t="s">
        <v>122</v>
      </c>
      <c r="AT649">
        <v>5940</v>
      </c>
      <c r="AU649">
        <v>231.66</v>
      </c>
      <c r="AV649">
        <v>8464500</v>
      </c>
      <c r="AW649">
        <v>330115.5</v>
      </c>
    </row>
    <row r="650" spans="1:49" hidden="1" x14ac:dyDescent="0.35">
      <c r="A650">
        <v>5828510</v>
      </c>
      <c r="B650">
        <v>1090005828501</v>
      </c>
      <c r="D650">
        <v>20149280430</v>
      </c>
      <c r="E650" t="s">
        <v>411</v>
      </c>
      <c r="F650" t="s">
        <v>1</v>
      </c>
      <c r="G650" t="s">
        <v>57</v>
      </c>
      <c r="H650" t="s">
        <v>57</v>
      </c>
      <c r="I650">
        <v>8200</v>
      </c>
      <c r="J650">
        <v>21</v>
      </c>
      <c r="K650" t="s">
        <v>33</v>
      </c>
      <c r="L650">
        <v>6127</v>
      </c>
      <c r="M650" t="s">
        <v>118</v>
      </c>
      <c r="N650">
        <v>1</v>
      </c>
      <c r="O650" t="s">
        <v>119</v>
      </c>
      <c r="P650" t="s">
        <v>1088</v>
      </c>
      <c r="Q650">
        <v>1602</v>
      </c>
      <c r="R650">
        <v>60000</v>
      </c>
      <c r="S650">
        <v>150</v>
      </c>
      <c r="T650">
        <v>400</v>
      </c>
      <c r="U650">
        <v>26</v>
      </c>
      <c r="V650">
        <v>1425</v>
      </c>
      <c r="W650" t="s">
        <v>121</v>
      </c>
      <c r="X650" t="s">
        <v>1</v>
      </c>
      <c r="Y650">
        <v>2282850</v>
      </c>
      <c r="Z650">
        <v>85500000</v>
      </c>
      <c r="AA650">
        <v>570000</v>
      </c>
      <c r="AB650">
        <v>106</v>
      </c>
      <c r="AC650" s="34">
        <v>45979</v>
      </c>
      <c r="AD650" s="34">
        <v>46173</v>
      </c>
      <c r="AF650">
        <v>0</v>
      </c>
      <c r="AG650">
        <v>3295.6</v>
      </c>
      <c r="AH650">
        <v>0</v>
      </c>
      <c r="AI650">
        <v>4696230</v>
      </c>
      <c r="AJ650">
        <v>0</v>
      </c>
      <c r="AK650">
        <v>0</v>
      </c>
      <c r="AL650">
        <v>1178760</v>
      </c>
      <c r="AM650">
        <v>0</v>
      </c>
      <c r="AN650">
        <v>5874990</v>
      </c>
      <c r="AO650" t="s">
        <v>122</v>
      </c>
      <c r="AP650">
        <v>12</v>
      </c>
      <c r="AQ650">
        <v>395.47</v>
      </c>
      <c r="AR650">
        <v>563544.75</v>
      </c>
      <c r="AT650">
        <v>36000</v>
      </c>
      <c r="AU650">
        <v>961.2</v>
      </c>
      <c r="AV650">
        <v>51300000</v>
      </c>
      <c r="AW650">
        <v>1369710</v>
      </c>
    </row>
    <row r="651" spans="1:49" hidden="1" x14ac:dyDescent="0.35">
      <c r="A651">
        <v>5828510</v>
      </c>
      <c r="B651">
        <v>1090005828501</v>
      </c>
      <c r="D651">
        <v>20149280430</v>
      </c>
      <c r="E651" t="s">
        <v>411</v>
      </c>
      <c r="F651" t="s">
        <v>1</v>
      </c>
      <c r="G651" t="s">
        <v>1086</v>
      </c>
      <c r="H651" t="s">
        <v>55</v>
      </c>
      <c r="I651">
        <v>6365</v>
      </c>
      <c r="J651">
        <v>21</v>
      </c>
      <c r="K651" t="s">
        <v>33</v>
      </c>
      <c r="L651">
        <v>6127</v>
      </c>
      <c r="M651" t="s">
        <v>118</v>
      </c>
      <c r="N651">
        <v>2</v>
      </c>
      <c r="O651" t="s">
        <v>119</v>
      </c>
      <c r="P651" t="s">
        <v>1089</v>
      </c>
      <c r="Q651">
        <v>1693.6</v>
      </c>
      <c r="R651">
        <v>46400</v>
      </c>
      <c r="S651">
        <v>116</v>
      </c>
      <c r="T651">
        <v>400</v>
      </c>
      <c r="U651">
        <v>26</v>
      </c>
      <c r="V651">
        <v>1425</v>
      </c>
      <c r="W651" t="s">
        <v>121</v>
      </c>
      <c r="X651" t="s">
        <v>1</v>
      </c>
      <c r="Y651">
        <v>2413380</v>
      </c>
      <c r="Z651">
        <v>66120000</v>
      </c>
      <c r="AA651">
        <v>570000</v>
      </c>
      <c r="AB651">
        <v>106</v>
      </c>
      <c r="AC651" s="34">
        <v>45979</v>
      </c>
      <c r="AD651" s="34">
        <v>46173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 t="s">
        <v>122</v>
      </c>
      <c r="AT651">
        <v>27840</v>
      </c>
      <c r="AU651">
        <v>1016.16</v>
      </c>
      <c r="AV651">
        <v>39672000</v>
      </c>
      <c r="AW651">
        <v>1448028</v>
      </c>
    </row>
    <row r="652" spans="1:49" hidden="1" x14ac:dyDescent="0.35">
      <c r="A652">
        <v>5828610</v>
      </c>
      <c r="B652">
        <v>1090005828601</v>
      </c>
      <c r="D652">
        <v>20149280430</v>
      </c>
      <c r="E652" t="s">
        <v>411</v>
      </c>
      <c r="F652" t="s">
        <v>1</v>
      </c>
      <c r="G652" t="s">
        <v>57</v>
      </c>
      <c r="H652" t="s">
        <v>57</v>
      </c>
      <c r="I652">
        <v>8200</v>
      </c>
      <c r="J652">
        <v>21</v>
      </c>
      <c r="K652" t="s">
        <v>33</v>
      </c>
      <c r="L652">
        <v>6127</v>
      </c>
      <c r="M652" t="s">
        <v>118</v>
      </c>
      <c r="N652">
        <v>1</v>
      </c>
      <c r="O652" t="s">
        <v>119</v>
      </c>
      <c r="P652" t="s">
        <v>1090</v>
      </c>
      <c r="Q652">
        <v>1408.36</v>
      </c>
      <c r="R652">
        <v>54800</v>
      </c>
      <c r="S652">
        <v>137</v>
      </c>
      <c r="T652">
        <v>400</v>
      </c>
      <c r="U652">
        <v>26</v>
      </c>
      <c r="V652">
        <v>1425</v>
      </c>
      <c r="W652" t="s">
        <v>121</v>
      </c>
      <c r="X652" t="s">
        <v>1</v>
      </c>
      <c r="Y652">
        <v>2006913</v>
      </c>
      <c r="Z652">
        <v>78090000</v>
      </c>
      <c r="AA652">
        <v>570000</v>
      </c>
      <c r="AB652">
        <v>210</v>
      </c>
      <c r="AC652" s="34">
        <v>45979</v>
      </c>
      <c r="AD652" s="34">
        <v>46142</v>
      </c>
      <c r="AF652">
        <v>0</v>
      </c>
      <c r="AG652">
        <v>2847.56</v>
      </c>
      <c r="AH652">
        <v>0</v>
      </c>
      <c r="AI652">
        <v>4057773</v>
      </c>
      <c r="AJ652">
        <v>0</v>
      </c>
      <c r="AK652">
        <v>0</v>
      </c>
      <c r="AL652">
        <v>1018518.75</v>
      </c>
      <c r="AM652">
        <v>0</v>
      </c>
      <c r="AN652">
        <v>5076291.75</v>
      </c>
      <c r="AO652" t="s">
        <v>122</v>
      </c>
      <c r="AP652">
        <v>12</v>
      </c>
      <c r="AQ652">
        <v>341.71</v>
      </c>
      <c r="AR652">
        <v>486936.75</v>
      </c>
      <c r="AT652">
        <v>32880</v>
      </c>
      <c r="AU652">
        <v>845.02</v>
      </c>
      <c r="AV652">
        <v>46854000</v>
      </c>
      <c r="AW652">
        <v>1204153.5</v>
      </c>
    </row>
    <row r="653" spans="1:49" hidden="1" x14ac:dyDescent="0.35">
      <c r="A653">
        <v>5828610</v>
      </c>
      <c r="B653">
        <v>1090005828601</v>
      </c>
      <c r="D653">
        <v>20149280430</v>
      </c>
      <c r="E653" t="s">
        <v>411</v>
      </c>
      <c r="F653" t="s">
        <v>1</v>
      </c>
      <c r="G653" t="s">
        <v>370</v>
      </c>
      <c r="H653" t="s">
        <v>58</v>
      </c>
      <c r="I653">
        <v>6333</v>
      </c>
      <c r="J653">
        <v>21</v>
      </c>
      <c r="K653" t="s">
        <v>33</v>
      </c>
      <c r="L653">
        <v>6127</v>
      </c>
      <c r="M653" t="s">
        <v>118</v>
      </c>
      <c r="N653">
        <v>2</v>
      </c>
      <c r="O653" t="s">
        <v>119</v>
      </c>
      <c r="P653" t="s">
        <v>1091</v>
      </c>
      <c r="Q653">
        <v>719.6</v>
      </c>
      <c r="R653">
        <v>28000</v>
      </c>
      <c r="S653">
        <v>70</v>
      </c>
      <c r="T653">
        <v>400</v>
      </c>
      <c r="U653">
        <v>26</v>
      </c>
      <c r="V653">
        <v>1425</v>
      </c>
      <c r="W653" t="s">
        <v>121</v>
      </c>
      <c r="X653" t="s">
        <v>1</v>
      </c>
      <c r="Y653">
        <v>1025430</v>
      </c>
      <c r="Z653">
        <v>39900000</v>
      </c>
      <c r="AA653">
        <v>570000</v>
      </c>
      <c r="AB653">
        <v>210</v>
      </c>
      <c r="AC653" s="34">
        <v>45979</v>
      </c>
      <c r="AD653" s="34">
        <v>46142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 t="s">
        <v>122</v>
      </c>
      <c r="AT653">
        <v>16800</v>
      </c>
      <c r="AU653">
        <v>431.76</v>
      </c>
      <c r="AV653">
        <v>23940000</v>
      </c>
      <c r="AW653">
        <v>615258</v>
      </c>
    </row>
    <row r="654" spans="1:49" hidden="1" x14ac:dyDescent="0.35">
      <c r="A654">
        <v>5828610</v>
      </c>
      <c r="B654">
        <v>1090005828601</v>
      </c>
      <c r="D654">
        <v>20149280430</v>
      </c>
      <c r="E654" t="s">
        <v>411</v>
      </c>
      <c r="F654" t="s">
        <v>1</v>
      </c>
      <c r="G654" t="s">
        <v>370</v>
      </c>
      <c r="H654" t="s">
        <v>58</v>
      </c>
      <c r="I654">
        <v>6333</v>
      </c>
      <c r="J654">
        <v>21</v>
      </c>
      <c r="K654" t="s">
        <v>33</v>
      </c>
      <c r="L654">
        <v>6127</v>
      </c>
      <c r="M654" t="s">
        <v>118</v>
      </c>
      <c r="N654">
        <v>3</v>
      </c>
      <c r="O654" t="s">
        <v>119</v>
      </c>
      <c r="P654" t="s">
        <v>1092</v>
      </c>
      <c r="Q654">
        <v>719.6</v>
      </c>
      <c r="R654">
        <v>28000</v>
      </c>
      <c r="S654">
        <v>70</v>
      </c>
      <c r="T654">
        <v>400</v>
      </c>
      <c r="U654">
        <v>26</v>
      </c>
      <c r="V654">
        <v>1425</v>
      </c>
      <c r="W654" t="s">
        <v>121</v>
      </c>
      <c r="X654" t="s">
        <v>1</v>
      </c>
      <c r="Y654">
        <v>1025430</v>
      </c>
      <c r="Z654">
        <v>39900000</v>
      </c>
      <c r="AA654">
        <v>570000</v>
      </c>
      <c r="AB654">
        <v>210</v>
      </c>
      <c r="AC654" s="34">
        <v>45979</v>
      </c>
      <c r="AD654" s="34">
        <v>46142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 t="s">
        <v>122</v>
      </c>
      <c r="AT654">
        <v>16800</v>
      </c>
      <c r="AU654">
        <v>431.76</v>
      </c>
      <c r="AV654">
        <v>23940000</v>
      </c>
      <c r="AW654">
        <v>615258</v>
      </c>
    </row>
    <row r="655" spans="1:49" hidden="1" x14ac:dyDescent="0.35">
      <c r="A655">
        <v>5828710</v>
      </c>
      <c r="B655">
        <v>1090005828701</v>
      </c>
      <c r="D655">
        <v>20300162585</v>
      </c>
      <c r="E655" t="s">
        <v>1093</v>
      </c>
      <c r="F655" t="s">
        <v>1</v>
      </c>
      <c r="G655" t="s">
        <v>57</v>
      </c>
      <c r="H655" t="s">
        <v>57</v>
      </c>
      <c r="I655">
        <v>8200</v>
      </c>
      <c r="J655">
        <v>21</v>
      </c>
      <c r="K655" t="s">
        <v>33</v>
      </c>
      <c r="L655">
        <v>6127</v>
      </c>
      <c r="M655" t="s">
        <v>118</v>
      </c>
      <c r="N655">
        <v>1</v>
      </c>
      <c r="O655" t="s">
        <v>119</v>
      </c>
      <c r="P655" t="s">
        <v>1094</v>
      </c>
      <c r="Q655">
        <v>802.56</v>
      </c>
      <c r="R655">
        <v>26400</v>
      </c>
      <c r="S655">
        <v>80</v>
      </c>
      <c r="T655">
        <v>330</v>
      </c>
      <c r="U655">
        <v>26</v>
      </c>
      <c r="V655">
        <v>1425</v>
      </c>
      <c r="W655" t="s">
        <v>121</v>
      </c>
      <c r="X655" t="s">
        <v>1</v>
      </c>
      <c r="Y655">
        <v>1143648</v>
      </c>
      <c r="Z655">
        <v>37620000</v>
      </c>
      <c r="AA655">
        <v>470250</v>
      </c>
      <c r="AB655">
        <v>106</v>
      </c>
      <c r="AC655" s="34">
        <v>45980</v>
      </c>
      <c r="AD655" s="34">
        <v>46112</v>
      </c>
      <c r="AF655">
        <v>0</v>
      </c>
      <c r="AG655">
        <v>802.56</v>
      </c>
      <c r="AH655">
        <v>0</v>
      </c>
      <c r="AI655">
        <v>1143648</v>
      </c>
      <c r="AJ655">
        <v>0</v>
      </c>
      <c r="AK655">
        <v>0</v>
      </c>
      <c r="AL655">
        <v>287066.25</v>
      </c>
      <c r="AM655">
        <v>0</v>
      </c>
      <c r="AN655">
        <v>1430714.25</v>
      </c>
      <c r="AO655" t="s">
        <v>122</v>
      </c>
      <c r="AP655">
        <v>12</v>
      </c>
      <c r="AQ655">
        <v>96.31</v>
      </c>
      <c r="AR655">
        <v>137241.75</v>
      </c>
      <c r="AT655">
        <v>15840</v>
      </c>
      <c r="AU655">
        <v>481.54</v>
      </c>
      <c r="AV655">
        <v>22572000</v>
      </c>
      <c r="AW655">
        <v>686194.5</v>
      </c>
    </row>
    <row r="656" spans="1:49" hidden="1" x14ac:dyDescent="0.35">
      <c r="A656">
        <v>5828810</v>
      </c>
      <c r="B656">
        <v>1250005828801</v>
      </c>
      <c r="D656">
        <v>20166544514</v>
      </c>
      <c r="E656" t="s">
        <v>1095</v>
      </c>
      <c r="F656" t="s">
        <v>1</v>
      </c>
      <c r="G656" t="s">
        <v>174</v>
      </c>
      <c r="H656" t="s">
        <v>51</v>
      </c>
      <c r="I656">
        <v>5929</v>
      </c>
      <c r="J656">
        <v>3</v>
      </c>
      <c r="K656" t="s">
        <v>32</v>
      </c>
      <c r="L656">
        <v>6435</v>
      </c>
      <c r="M656" t="s">
        <v>175</v>
      </c>
      <c r="N656">
        <v>1</v>
      </c>
      <c r="O656" t="s">
        <v>119</v>
      </c>
      <c r="P656" t="s">
        <v>1096</v>
      </c>
      <c r="Q656">
        <v>3432132</v>
      </c>
      <c r="R656">
        <v>63558000</v>
      </c>
      <c r="S656">
        <v>107</v>
      </c>
      <c r="T656">
        <v>594000</v>
      </c>
      <c r="U656">
        <v>1</v>
      </c>
      <c r="V656">
        <v>1</v>
      </c>
      <c r="W656" t="s">
        <v>127</v>
      </c>
      <c r="X656">
        <v>29700</v>
      </c>
      <c r="Y656">
        <v>3432132</v>
      </c>
      <c r="Z656">
        <v>63558000</v>
      </c>
      <c r="AA656">
        <v>594000</v>
      </c>
      <c r="AB656">
        <v>105</v>
      </c>
      <c r="AC656" s="34">
        <v>45977</v>
      </c>
      <c r="AD656" s="34">
        <v>46173</v>
      </c>
      <c r="AF656">
        <v>0</v>
      </c>
      <c r="AG656">
        <v>3432132</v>
      </c>
      <c r="AH656">
        <v>0</v>
      </c>
      <c r="AI656">
        <v>3432132</v>
      </c>
      <c r="AJ656">
        <v>0</v>
      </c>
      <c r="AK656">
        <v>0</v>
      </c>
      <c r="AL656">
        <v>895786.45</v>
      </c>
      <c r="AM656">
        <v>0</v>
      </c>
      <c r="AN656">
        <v>4327918.45</v>
      </c>
      <c r="AO656" t="s">
        <v>122</v>
      </c>
      <c r="AP656">
        <v>15</v>
      </c>
      <c r="AQ656">
        <v>514819.8</v>
      </c>
      <c r="AR656">
        <v>514819.8</v>
      </c>
      <c r="AT656">
        <v>38134800</v>
      </c>
      <c r="AU656">
        <v>2059279.2</v>
      </c>
      <c r="AV656">
        <v>38134800</v>
      </c>
      <c r="AW656">
        <v>2059279.2</v>
      </c>
    </row>
    <row r="657" spans="1:49" hidden="1" x14ac:dyDescent="0.35">
      <c r="A657">
        <v>5828910</v>
      </c>
      <c r="B657">
        <v>1250005828901</v>
      </c>
      <c r="D657">
        <v>30716827778</v>
      </c>
      <c r="E657" t="s">
        <v>764</v>
      </c>
      <c r="F657" t="s">
        <v>1</v>
      </c>
      <c r="G657" t="s">
        <v>174</v>
      </c>
      <c r="H657" t="s">
        <v>51</v>
      </c>
      <c r="I657">
        <v>5929</v>
      </c>
      <c r="J657">
        <v>3</v>
      </c>
      <c r="K657" t="s">
        <v>32</v>
      </c>
      <c r="L657">
        <v>6435</v>
      </c>
      <c r="M657" t="s">
        <v>175</v>
      </c>
      <c r="N657">
        <v>1</v>
      </c>
      <c r="O657" t="s">
        <v>119</v>
      </c>
      <c r="P657" t="s">
        <v>1097</v>
      </c>
      <c r="Q657">
        <v>2256282</v>
      </c>
      <c r="R657">
        <v>60007500</v>
      </c>
      <c r="S657">
        <v>45</v>
      </c>
      <c r="T657">
        <v>1333500</v>
      </c>
      <c r="U657">
        <v>1</v>
      </c>
      <c r="V657">
        <v>1</v>
      </c>
      <c r="W657" t="s">
        <v>121</v>
      </c>
      <c r="X657" t="s">
        <v>1</v>
      </c>
      <c r="Y657">
        <v>2256282</v>
      </c>
      <c r="Z657">
        <v>60007500</v>
      </c>
      <c r="AA657">
        <v>1333500</v>
      </c>
      <c r="AB657">
        <v>105</v>
      </c>
      <c r="AC657" s="34">
        <v>45978</v>
      </c>
      <c r="AD657" s="34">
        <v>46173</v>
      </c>
      <c r="AF657">
        <v>0</v>
      </c>
      <c r="AG657">
        <v>2256282</v>
      </c>
      <c r="AH657">
        <v>0</v>
      </c>
      <c r="AI657">
        <v>2256282</v>
      </c>
      <c r="AJ657">
        <v>0</v>
      </c>
      <c r="AK657">
        <v>0</v>
      </c>
      <c r="AL657">
        <v>588889.59999999998</v>
      </c>
      <c r="AM657">
        <v>0</v>
      </c>
      <c r="AN657">
        <v>2845171.6</v>
      </c>
      <c r="AO657" t="s">
        <v>122</v>
      </c>
      <c r="AP657">
        <v>15</v>
      </c>
      <c r="AQ657">
        <v>338442.3</v>
      </c>
      <c r="AR657">
        <v>338442.3</v>
      </c>
      <c r="AT657">
        <v>36004500</v>
      </c>
      <c r="AU657">
        <v>1353769.2</v>
      </c>
      <c r="AV657">
        <v>36004500</v>
      </c>
      <c r="AW657">
        <v>1353769.2</v>
      </c>
    </row>
    <row r="658" spans="1:49" hidden="1" x14ac:dyDescent="0.35">
      <c r="A658">
        <v>5829110</v>
      </c>
      <c r="B658">
        <v>5010005829101</v>
      </c>
      <c r="D658">
        <v>30709218790</v>
      </c>
      <c r="E658" t="s">
        <v>1098</v>
      </c>
      <c r="F658" t="s">
        <v>1</v>
      </c>
      <c r="G658" t="s">
        <v>1099</v>
      </c>
      <c r="H658" t="s">
        <v>24</v>
      </c>
      <c r="I658">
        <v>6077</v>
      </c>
      <c r="J658">
        <v>1</v>
      </c>
      <c r="K658" t="s">
        <v>16</v>
      </c>
      <c r="L658">
        <v>10847</v>
      </c>
      <c r="M658" t="s">
        <v>1100</v>
      </c>
      <c r="N658">
        <v>1</v>
      </c>
      <c r="O658" t="s">
        <v>119</v>
      </c>
      <c r="P658" t="s">
        <v>1101</v>
      </c>
      <c r="Q658">
        <v>295145.40000000002</v>
      </c>
      <c r="R658">
        <v>13002000</v>
      </c>
      <c r="S658">
        <v>16.5</v>
      </c>
      <c r="T658">
        <v>788000</v>
      </c>
      <c r="U658">
        <v>1</v>
      </c>
      <c r="V658">
        <v>1</v>
      </c>
      <c r="W658" t="s">
        <v>127</v>
      </c>
      <c r="X658">
        <v>19700</v>
      </c>
      <c r="Y658">
        <v>295145.40000000002</v>
      </c>
      <c r="Z658">
        <v>13002000</v>
      </c>
      <c r="AA658">
        <v>788000</v>
      </c>
      <c r="AB658">
        <v>105</v>
      </c>
      <c r="AC658" s="34">
        <v>45983</v>
      </c>
      <c r="AD658" s="34">
        <v>46142</v>
      </c>
      <c r="AF658">
        <v>0</v>
      </c>
      <c r="AG658">
        <v>295145.40000000002</v>
      </c>
      <c r="AH658">
        <v>0</v>
      </c>
      <c r="AI658">
        <v>295145.40000000002</v>
      </c>
      <c r="AJ658">
        <v>0</v>
      </c>
      <c r="AK658">
        <v>0</v>
      </c>
      <c r="AL658">
        <v>74081.490000000005</v>
      </c>
      <c r="AM658">
        <v>0</v>
      </c>
      <c r="AN658">
        <v>369226.89</v>
      </c>
      <c r="AO658" t="s">
        <v>122</v>
      </c>
      <c r="AP658">
        <v>10</v>
      </c>
      <c r="AQ658">
        <v>29514.54</v>
      </c>
      <c r="AR658">
        <v>29514.54</v>
      </c>
      <c r="AT658">
        <v>7801200</v>
      </c>
      <c r="AU658">
        <v>177087.24</v>
      </c>
      <c r="AV658">
        <v>7801200</v>
      </c>
      <c r="AW658">
        <v>177087.24</v>
      </c>
    </row>
    <row r="659" spans="1:49" hidden="1" x14ac:dyDescent="0.35">
      <c r="A659">
        <v>5829210</v>
      </c>
      <c r="B659">
        <v>1090005829201</v>
      </c>
      <c r="D659">
        <v>30710575890</v>
      </c>
      <c r="E659" t="s">
        <v>1102</v>
      </c>
      <c r="F659" t="s">
        <v>1</v>
      </c>
      <c r="G659" t="s">
        <v>56</v>
      </c>
      <c r="H659" t="s">
        <v>56</v>
      </c>
      <c r="I659">
        <v>6381</v>
      </c>
      <c r="J659">
        <v>21</v>
      </c>
      <c r="K659" t="s">
        <v>33</v>
      </c>
      <c r="L659">
        <v>82963</v>
      </c>
      <c r="M659" t="s">
        <v>396</v>
      </c>
      <c r="N659">
        <v>1</v>
      </c>
      <c r="O659" t="s">
        <v>119</v>
      </c>
      <c r="P659" t="s">
        <v>1000</v>
      </c>
      <c r="Q659">
        <v>5053750</v>
      </c>
      <c r="R659">
        <v>155500000</v>
      </c>
      <c r="S659">
        <v>311</v>
      </c>
      <c r="T659">
        <v>500000</v>
      </c>
      <c r="U659">
        <v>1</v>
      </c>
      <c r="V659">
        <v>1</v>
      </c>
      <c r="W659" t="s">
        <v>121</v>
      </c>
      <c r="X659" t="s">
        <v>1</v>
      </c>
      <c r="Y659">
        <v>5053750</v>
      </c>
      <c r="Z659">
        <v>155500000</v>
      </c>
      <c r="AA659">
        <v>500000</v>
      </c>
      <c r="AB659">
        <v>105</v>
      </c>
      <c r="AC659" s="34">
        <v>45971</v>
      </c>
      <c r="AD659" s="34">
        <v>46112</v>
      </c>
      <c r="AE659" t="s">
        <v>161</v>
      </c>
      <c r="AF659">
        <v>0</v>
      </c>
      <c r="AG659">
        <v>5053750</v>
      </c>
      <c r="AH659">
        <v>0</v>
      </c>
      <c r="AI659">
        <v>5053750</v>
      </c>
      <c r="AJ659">
        <v>0</v>
      </c>
      <c r="AK659">
        <v>0</v>
      </c>
      <c r="AL659">
        <v>1268491.25</v>
      </c>
      <c r="AM659">
        <v>0</v>
      </c>
      <c r="AN659">
        <v>6322241.25</v>
      </c>
      <c r="AO659" t="s">
        <v>122</v>
      </c>
      <c r="AP659">
        <v>10</v>
      </c>
      <c r="AQ659">
        <v>505375</v>
      </c>
      <c r="AR659">
        <v>505375</v>
      </c>
      <c r="AT659">
        <v>93300000</v>
      </c>
      <c r="AU659">
        <v>3032250</v>
      </c>
      <c r="AV659">
        <v>93300000</v>
      </c>
      <c r="AW659">
        <v>3032250</v>
      </c>
    </row>
    <row r="660" spans="1:49" hidden="1" x14ac:dyDescent="0.35">
      <c r="A660">
        <v>5829310</v>
      </c>
      <c r="B660">
        <v>1170005829301</v>
      </c>
      <c r="D660">
        <v>20214217075</v>
      </c>
      <c r="E660" t="s">
        <v>148</v>
      </c>
      <c r="F660" t="s">
        <v>1</v>
      </c>
      <c r="G660" t="s">
        <v>226</v>
      </c>
      <c r="H660" t="s">
        <v>63</v>
      </c>
      <c r="I660">
        <v>2535</v>
      </c>
      <c r="J660">
        <v>12</v>
      </c>
      <c r="K660" t="s">
        <v>34</v>
      </c>
      <c r="L660">
        <v>83429</v>
      </c>
      <c r="M660" t="s">
        <v>140</v>
      </c>
      <c r="N660">
        <v>1</v>
      </c>
      <c r="O660" t="s">
        <v>119</v>
      </c>
      <c r="P660" t="s">
        <v>1103</v>
      </c>
      <c r="Q660">
        <v>516186</v>
      </c>
      <c r="R660">
        <v>24948000</v>
      </c>
      <c r="S660">
        <v>28</v>
      </c>
      <c r="T660">
        <v>891000</v>
      </c>
      <c r="U660">
        <v>1</v>
      </c>
      <c r="V660">
        <v>1</v>
      </c>
      <c r="W660" t="s">
        <v>127</v>
      </c>
      <c r="X660">
        <v>29700</v>
      </c>
      <c r="Y660">
        <v>516186</v>
      </c>
      <c r="Z660">
        <v>24948000</v>
      </c>
      <c r="AA660">
        <v>891000</v>
      </c>
      <c r="AB660">
        <v>210</v>
      </c>
      <c r="AC660" s="34">
        <v>45985</v>
      </c>
      <c r="AD660" s="34">
        <v>46173</v>
      </c>
      <c r="AF660">
        <v>0</v>
      </c>
      <c r="AG660">
        <v>2543508</v>
      </c>
      <c r="AH660">
        <v>0</v>
      </c>
      <c r="AI660">
        <v>2543508</v>
      </c>
      <c r="AJ660">
        <v>0</v>
      </c>
      <c r="AK660">
        <v>0</v>
      </c>
      <c r="AL660">
        <v>651138.05000000005</v>
      </c>
      <c r="AM660">
        <v>0</v>
      </c>
      <c r="AN660">
        <v>3194646.05</v>
      </c>
      <c r="AO660" t="s">
        <v>122</v>
      </c>
      <c r="AP660">
        <v>15</v>
      </c>
      <c r="AQ660">
        <v>381526.2</v>
      </c>
      <c r="AR660">
        <v>381526.2</v>
      </c>
      <c r="AT660">
        <v>14968800</v>
      </c>
      <c r="AU660">
        <v>309711.59999999998</v>
      </c>
      <c r="AV660">
        <v>14968800</v>
      </c>
      <c r="AW660">
        <v>309711.59999999998</v>
      </c>
    </row>
    <row r="661" spans="1:49" hidden="1" x14ac:dyDescent="0.35">
      <c r="A661">
        <v>5829310</v>
      </c>
      <c r="B661">
        <v>1170005829301</v>
      </c>
      <c r="D661">
        <v>20214217075</v>
      </c>
      <c r="E661" t="s">
        <v>148</v>
      </c>
      <c r="F661" t="s">
        <v>1</v>
      </c>
      <c r="G661" t="s">
        <v>226</v>
      </c>
      <c r="H661" t="s">
        <v>63</v>
      </c>
      <c r="I661">
        <v>2535</v>
      </c>
      <c r="J661">
        <v>12</v>
      </c>
      <c r="K661" t="s">
        <v>34</v>
      </c>
      <c r="L661">
        <v>83429</v>
      </c>
      <c r="M661" t="s">
        <v>140</v>
      </c>
      <c r="N661">
        <v>2</v>
      </c>
      <c r="O661" t="s">
        <v>119</v>
      </c>
      <c r="P661" t="s">
        <v>1104</v>
      </c>
      <c r="Q661">
        <v>1198098</v>
      </c>
      <c r="R661">
        <v>57915000</v>
      </c>
      <c r="S661">
        <v>65</v>
      </c>
      <c r="T661">
        <v>891000</v>
      </c>
      <c r="U661">
        <v>1</v>
      </c>
      <c r="V661">
        <v>1</v>
      </c>
      <c r="W661" t="s">
        <v>127</v>
      </c>
      <c r="X661">
        <v>29700</v>
      </c>
      <c r="Y661">
        <v>1198098</v>
      </c>
      <c r="Z661">
        <v>57915000</v>
      </c>
      <c r="AA661">
        <v>891000</v>
      </c>
      <c r="AB661">
        <v>210</v>
      </c>
      <c r="AC661" s="34">
        <v>45985</v>
      </c>
      <c r="AD661" s="34">
        <v>46173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 t="s">
        <v>122</v>
      </c>
      <c r="AT661">
        <v>34749000</v>
      </c>
      <c r="AU661">
        <v>718858.8</v>
      </c>
      <c r="AV661">
        <v>34749000</v>
      </c>
      <c r="AW661">
        <v>718858.8</v>
      </c>
    </row>
    <row r="662" spans="1:49" hidden="1" x14ac:dyDescent="0.35">
      <c r="A662">
        <v>5829310</v>
      </c>
      <c r="B662">
        <v>1170005829301</v>
      </c>
      <c r="D662">
        <v>20214217075</v>
      </c>
      <c r="E662" t="s">
        <v>148</v>
      </c>
      <c r="F662" t="s">
        <v>1</v>
      </c>
      <c r="G662" t="s">
        <v>226</v>
      </c>
      <c r="H662" t="s">
        <v>63</v>
      </c>
      <c r="I662">
        <v>2535</v>
      </c>
      <c r="J662">
        <v>12</v>
      </c>
      <c r="K662" t="s">
        <v>34</v>
      </c>
      <c r="L662">
        <v>83429</v>
      </c>
      <c r="M662" t="s">
        <v>140</v>
      </c>
      <c r="N662">
        <v>3</v>
      </c>
      <c r="O662" t="s">
        <v>119</v>
      </c>
      <c r="P662" t="s">
        <v>1105</v>
      </c>
      <c r="Q662">
        <v>829224</v>
      </c>
      <c r="R662">
        <v>40095000</v>
      </c>
      <c r="S662">
        <v>45</v>
      </c>
      <c r="T662">
        <v>891000</v>
      </c>
      <c r="U662">
        <v>1</v>
      </c>
      <c r="V662">
        <v>1</v>
      </c>
      <c r="W662" t="s">
        <v>127</v>
      </c>
      <c r="X662">
        <v>29700</v>
      </c>
      <c r="Y662">
        <v>829224</v>
      </c>
      <c r="Z662">
        <v>40095000</v>
      </c>
      <c r="AA662">
        <v>891000</v>
      </c>
      <c r="AB662">
        <v>210</v>
      </c>
      <c r="AC662" s="34">
        <v>45985</v>
      </c>
      <c r="AD662" s="34">
        <v>46173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 t="s">
        <v>122</v>
      </c>
      <c r="AT662">
        <v>24057000</v>
      </c>
      <c r="AU662">
        <v>497534.4</v>
      </c>
      <c r="AV662">
        <v>24057000</v>
      </c>
      <c r="AW662">
        <v>497534.4</v>
      </c>
    </row>
    <row r="663" spans="1:49" hidden="1" x14ac:dyDescent="0.35">
      <c r="A663">
        <v>5829410</v>
      </c>
      <c r="B663">
        <v>5010005829401</v>
      </c>
      <c r="D663">
        <v>20286933697</v>
      </c>
      <c r="E663" t="s">
        <v>427</v>
      </c>
      <c r="F663" t="s">
        <v>1</v>
      </c>
      <c r="G663" t="s">
        <v>680</v>
      </c>
      <c r="H663" t="s">
        <v>55</v>
      </c>
      <c r="I663">
        <v>6220</v>
      </c>
      <c r="J663">
        <v>21</v>
      </c>
      <c r="K663" t="s">
        <v>33</v>
      </c>
      <c r="L663">
        <v>13212</v>
      </c>
      <c r="M663" t="s">
        <v>429</v>
      </c>
      <c r="N663">
        <v>1</v>
      </c>
      <c r="O663" t="s">
        <v>119</v>
      </c>
      <c r="P663" t="s">
        <v>1106</v>
      </c>
      <c r="Q663">
        <v>2381729.94</v>
      </c>
      <c r="R663">
        <v>45438120</v>
      </c>
      <c r="S663">
        <v>112</v>
      </c>
      <c r="T663">
        <v>405697.5</v>
      </c>
      <c r="U663">
        <v>1</v>
      </c>
      <c r="V663">
        <v>1</v>
      </c>
      <c r="W663" t="s">
        <v>127</v>
      </c>
      <c r="X663">
        <v>54093</v>
      </c>
      <c r="Y663">
        <v>2381729.94</v>
      </c>
      <c r="Z663" s="60">
        <v>45438120</v>
      </c>
      <c r="AA663">
        <v>405697.5</v>
      </c>
      <c r="AB663">
        <v>210</v>
      </c>
      <c r="AC663" s="34">
        <v>45944</v>
      </c>
      <c r="AD663" s="34">
        <v>46112</v>
      </c>
      <c r="AE663" t="s">
        <v>355</v>
      </c>
      <c r="AF663">
        <v>0</v>
      </c>
      <c r="AG663">
        <v>6209510.1900000004</v>
      </c>
      <c r="AH663">
        <v>0</v>
      </c>
      <c r="AI663">
        <v>6209510.1900000004</v>
      </c>
      <c r="AJ663">
        <v>0</v>
      </c>
      <c r="AK663">
        <v>0</v>
      </c>
      <c r="AL663">
        <v>1558587.06</v>
      </c>
      <c r="AM663">
        <v>0</v>
      </c>
      <c r="AN663">
        <v>7768097.25</v>
      </c>
      <c r="AO663" t="s">
        <v>122</v>
      </c>
      <c r="AP663">
        <v>15</v>
      </c>
      <c r="AQ663">
        <v>931426.53</v>
      </c>
      <c r="AR663">
        <v>931426.53</v>
      </c>
      <c r="AT663">
        <v>27262872</v>
      </c>
      <c r="AU663">
        <v>1429037.96</v>
      </c>
      <c r="AV663">
        <v>27262872</v>
      </c>
      <c r="AW663">
        <v>1429037.96</v>
      </c>
    </row>
    <row r="664" spans="1:49" hidden="1" x14ac:dyDescent="0.35">
      <c r="A664">
        <v>5829410</v>
      </c>
      <c r="B664">
        <v>5010005829401</v>
      </c>
      <c r="D664">
        <v>20286933697</v>
      </c>
      <c r="E664" t="s">
        <v>427</v>
      </c>
      <c r="F664" t="s">
        <v>1</v>
      </c>
      <c r="G664" t="s">
        <v>680</v>
      </c>
      <c r="H664" t="s">
        <v>55</v>
      </c>
      <c r="I664">
        <v>6220</v>
      </c>
      <c r="J664">
        <v>21</v>
      </c>
      <c r="K664" t="s">
        <v>33</v>
      </c>
      <c r="L664">
        <v>13212</v>
      </c>
      <c r="M664" t="s">
        <v>429</v>
      </c>
      <c r="N664">
        <v>2</v>
      </c>
      <c r="O664" t="s">
        <v>119</v>
      </c>
      <c r="P664" t="s">
        <v>1107</v>
      </c>
      <c r="Q664">
        <v>3827780.25</v>
      </c>
      <c r="R664">
        <v>73025550</v>
      </c>
      <c r="S664">
        <v>90</v>
      </c>
      <c r="T664">
        <v>811395</v>
      </c>
      <c r="U664">
        <v>1</v>
      </c>
      <c r="V664">
        <v>1</v>
      </c>
      <c r="W664" t="s">
        <v>127</v>
      </c>
      <c r="X664">
        <v>54093</v>
      </c>
      <c r="Y664">
        <v>3827780.25</v>
      </c>
      <c r="Z664" s="60">
        <v>73025550</v>
      </c>
      <c r="AA664">
        <v>811395</v>
      </c>
      <c r="AB664">
        <v>210</v>
      </c>
      <c r="AC664" s="34">
        <v>45944</v>
      </c>
      <c r="AD664" s="34">
        <v>46112</v>
      </c>
      <c r="AE664" t="s">
        <v>355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 t="s">
        <v>122</v>
      </c>
      <c r="AT664">
        <v>43815330</v>
      </c>
      <c r="AU664">
        <v>2296668.15</v>
      </c>
      <c r="AV664">
        <v>43815330</v>
      </c>
      <c r="AW664">
        <v>2296668.15</v>
      </c>
    </row>
    <row r="665" spans="1:49" hidden="1" x14ac:dyDescent="0.35">
      <c r="A665">
        <v>5829510</v>
      </c>
      <c r="B665">
        <v>5010005829501</v>
      </c>
      <c r="D665">
        <v>20319620932</v>
      </c>
      <c r="E665" t="s">
        <v>1108</v>
      </c>
      <c r="F665" t="s">
        <v>1</v>
      </c>
      <c r="G665" t="s">
        <v>680</v>
      </c>
      <c r="H665" t="s">
        <v>55</v>
      </c>
      <c r="I665">
        <v>6220</v>
      </c>
      <c r="J665">
        <v>21</v>
      </c>
      <c r="K665" t="s">
        <v>33</v>
      </c>
      <c r="L665">
        <v>13212</v>
      </c>
      <c r="M665" t="s">
        <v>429</v>
      </c>
      <c r="N665">
        <v>1</v>
      </c>
      <c r="O665" t="s">
        <v>119</v>
      </c>
      <c r="P665" t="s">
        <v>1106</v>
      </c>
      <c r="Q665">
        <v>2381729.94</v>
      </c>
      <c r="R665">
        <v>45438120</v>
      </c>
      <c r="S665">
        <v>112</v>
      </c>
      <c r="T665">
        <v>405697.5</v>
      </c>
      <c r="U665">
        <v>1</v>
      </c>
      <c r="V665">
        <v>1</v>
      </c>
      <c r="W665" t="s">
        <v>127</v>
      </c>
      <c r="X665">
        <v>54093</v>
      </c>
      <c r="Y665">
        <v>2381729.94</v>
      </c>
      <c r="Z665" s="60">
        <v>45438120</v>
      </c>
      <c r="AA665">
        <v>405697.5</v>
      </c>
      <c r="AB665">
        <v>210</v>
      </c>
      <c r="AC665" s="34">
        <v>45944</v>
      </c>
      <c r="AD665" s="34">
        <v>46112</v>
      </c>
      <c r="AE665" t="s">
        <v>355</v>
      </c>
      <c r="AF665">
        <v>0</v>
      </c>
      <c r="AG665">
        <v>2381729.94</v>
      </c>
      <c r="AH665">
        <v>0</v>
      </c>
      <c r="AI665">
        <v>2381729.94</v>
      </c>
      <c r="AJ665">
        <v>0</v>
      </c>
      <c r="AK665">
        <v>0</v>
      </c>
      <c r="AL665">
        <v>597814.21</v>
      </c>
      <c r="AM665">
        <v>0</v>
      </c>
      <c r="AN665">
        <v>2979544.15</v>
      </c>
      <c r="AO665" t="s">
        <v>122</v>
      </c>
      <c r="AP665">
        <v>15</v>
      </c>
      <c r="AQ665">
        <v>357259.49</v>
      </c>
      <c r="AR665">
        <v>357259.49</v>
      </c>
      <c r="AT665">
        <v>27262872</v>
      </c>
      <c r="AU665">
        <v>1429037.96</v>
      </c>
      <c r="AV665">
        <v>27262872</v>
      </c>
      <c r="AW665">
        <v>1429037.96</v>
      </c>
    </row>
    <row r="666" spans="1:49" hidden="1" x14ac:dyDescent="0.35">
      <c r="A666">
        <v>5829810</v>
      </c>
      <c r="B666">
        <v>1150005829801</v>
      </c>
      <c r="D666">
        <v>30689760224</v>
      </c>
      <c r="E666" t="s">
        <v>1109</v>
      </c>
      <c r="F666" t="s">
        <v>1</v>
      </c>
      <c r="G666" t="s">
        <v>901</v>
      </c>
      <c r="H666" t="s">
        <v>50</v>
      </c>
      <c r="I666">
        <v>5949</v>
      </c>
      <c r="J666">
        <v>3</v>
      </c>
      <c r="K666" t="s">
        <v>32</v>
      </c>
      <c r="L666">
        <v>9262</v>
      </c>
      <c r="M666" t="s">
        <v>183</v>
      </c>
      <c r="N666">
        <v>1</v>
      </c>
      <c r="O666" t="s">
        <v>119</v>
      </c>
      <c r="P666" t="s">
        <v>1110</v>
      </c>
      <c r="Q666">
        <v>5954211.2400000002</v>
      </c>
      <c r="R666">
        <v>202524192</v>
      </c>
      <c r="S666">
        <v>208</v>
      </c>
      <c r="T666">
        <v>973674</v>
      </c>
      <c r="U666">
        <v>1</v>
      </c>
      <c r="V666">
        <v>1</v>
      </c>
      <c r="W666" t="s">
        <v>127</v>
      </c>
      <c r="X666">
        <v>54093</v>
      </c>
      <c r="Y666">
        <v>5954211.2400000002</v>
      </c>
      <c r="Z666">
        <v>202524192</v>
      </c>
      <c r="AA666">
        <v>973674</v>
      </c>
      <c r="AB666">
        <v>105</v>
      </c>
      <c r="AC666" s="34">
        <v>45949</v>
      </c>
      <c r="AD666" s="34">
        <v>46112</v>
      </c>
      <c r="AF666">
        <v>0</v>
      </c>
      <c r="AG666">
        <v>6898869.75</v>
      </c>
      <c r="AH666">
        <v>0</v>
      </c>
      <c r="AI666">
        <v>6898869.75</v>
      </c>
      <c r="AJ666">
        <v>0</v>
      </c>
      <c r="AK666">
        <v>0</v>
      </c>
      <c r="AL666">
        <v>1800605.01</v>
      </c>
      <c r="AM666">
        <v>0</v>
      </c>
      <c r="AN666">
        <v>8699474.7599999998</v>
      </c>
      <c r="AO666" t="s">
        <v>122</v>
      </c>
      <c r="AP666">
        <v>15</v>
      </c>
      <c r="AQ666">
        <v>1034830.46</v>
      </c>
      <c r="AR666">
        <v>1034830.46</v>
      </c>
      <c r="AT666">
        <v>121514515.2</v>
      </c>
      <c r="AU666">
        <v>3572526.74</v>
      </c>
      <c r="AV666">
        <v>121514515.2</v>
      </c>
      <c r="AW666">
        <v>3572526.74</v>
      </c>
    </row>
    <row r="667" spans="1:49" hidden="1" x14ac:dyDescent="0.35">
      <c r="A667">
        <v>5829810</v>
      </c>
      <c r="B667">
        <v>1150005829801</v>
      </c>
      <c r="D667">
        <v>30689760224</v>
      </c>
      <c r="E667" t="s">
        <v>1109</v>
      </c>
      <c r="F667" t="s">
        <v>1</v>
      </c>
      <c r="G667" t="s">
        <v>901</v>
      </c>
      <c r="H667" t="s">
        <v>50</v>
      </c>
      <c r="I667">
        <v>5949</v>
      </c>
      <c r="J667">
        <v>3</v>
      </c>
      <c r="K667" t="s">
        <v>32</v>
      </c>
      <c r="L667">
        <v>9262</v>
      </c>
      <c r="M667" t="s">
        <v>183</v>
      </c>
      <c r="N667">
        <v>2</v>
      </c>
      <c r="O667" t="s">
        <v>119</v>
      </c>
      <c r="P667" t="s">
        <v>1111</v>
      </c>
      <c r="Q667">
        <v>944658.51</v>
      </c>
      <c r="R667">
        <v>32131242</v>
      </c>
      <c r="S667">
        <v>33</v>
      </c>
      <c r="T667">
        <v>973674</v>
      </c>
      <c r="U667">
        <v>1</v>
      </c>
      <c r="V667">
        <v>1</v>
      </c>
      <c r="W667" t="s">
        <v>127</v>
      </c>
      <c r="X667">
        <v>54093</v>
      </c>
      <c r="Y667">
        <v>944658.51</v>
      </c>
      <c r="Z667">
        <v>32131242</v>
      </c>
      <c r="AA667">
        <v>973674</v>
      </c>
      <c r="AB667">
        <v>105</v>
      </c>
      <c r="AC667" s="34">
        <v>45949</v>
      </c>
      <c r="AD667" s="34">
        <v>46112</v>
      </c>
      <c r="AF667">
        <v>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 t="s">
        <v>122</v>
      </c>
      <c r="AT667">
        <v>19278745.199999999</v>
      </c>
      <c r="AU667">
        <v>566795.11</v>
      </c>
      <c r="AV667">
        <v>19278745.199999999</v>
      </c>
      <c r="AW667">
        <v>566795.11</v>
      </c>
    </row>
    <row r="668" spans="1:49" hidden="1" x14ac:dyDescent="0.35">
      <c r="A668">
        <v>5829910</v>
      </c>
      <c r="B668">
        <v>1090005829901</v>
      </c>
      <c r="D668">
        <v>20117223273</v>
      </c>
      <c r="E668" t="s">
        <v>1035</v>
      </c>
      <c r="F668" t="s">
        <v>1</v>
      </c>
      <c r="G668" t="s">
        <v>680</v>
      </c>
      <c r="H668" t="s">
        <v>55</v>
      </c>
      <c r="I668">
        <v>6220</v>
      </c>
      <c r="J668">
        <v>21</v>
      </c>
      <c r="K668" t="s">
        <v>33</v>
      </c>
      <c r="L668">
        <v>6127</v>
      </c>
      <c r="M668" t="s">
        <v>118</v>
      </c>
      <c r="N668">
        <v>1</v>
      </c>
      <c r="O668" t="s">
        <v>119</v>
      </c>
      <c r="P668" t="s">
        <v>1112</v>
      </c>
      <c r="Q668">
        <v>633.6</v>
      </c>
      <c r="R668">
        <v>18000</v>
      </c>
      <c r="S668">
        <v>30</v>
      </c>
      <c r="T668">
        <v>600</v>
      </c>
      <c r="U668">
        <v>26</v>
      </c>
      <c r="V668">
        <v>1447.5</v>
      </c>
      <c r="W668" t="s">
        <v>121</v>
      </c>
      <c r="X668" t="s">
        <v>1</v>
      </c>
      <c r="Y668">
        <v>917136</v>
      </c>
      <c r="Z668">
        <v>26055000</v>
      </c>
      <c r="AA668">
        <v>868500</v>
      </c>
      <c r="AB668">
        <v>210</v>
      </c>
      <c r="AC668" s="34">
        <v>45970</v>
      </c>
      <c r="AD668" s="34">
        <v>46142</v>
      </c>
      <c r="AF668">
        <v>0</v>
      </c>
      <c r="AG668">
        <v>633.6</v>
      </c>
      <c r="AH668">
        <v>0</v>
      </c>
      <c r="AI668">
        <v>917136</v>
      </c>
      <c r="AJ668">
        <v>0</v>
      </c>
      <c r="AK668">
        <v>0</v>
      </c>
      <c r="AL668">
        <v>230210.4</v>
      </c>
      <c r="AM668">
        <v>0</v>
      </c>
      <c r="AN668">
        <v>1147346.3999999999</v>
      </c>
      <c r="AO668" t="s">
        <v>122</v>
      </c>
      <c r="AP668">
        <v>12</v>
      </c>
      <c r="AQ668">
        <v>76.03</v>
      </c>
      <c r="AR668">
        <v>110053.43</v>
      </c>
      <c r="AT668">
        <v>10800</v>
      </c>
      <c r="AU668">
        <v>380.16</v>
      </c>
      <c r="AV668">
        <v>15633000</v>
      </c>
      <c r="AW668">
        <v>550281.6</v>
      </c>
    </row>
    <row r="669" spans="1:49" hidden="1" x14ac:dyDescent="0.35">
      <c r="A669">
        <v>5830010</v>
      </c>
      <c r="B669">
        <v>1090005830001</v>
      </c>
      <c r="D669">
        <v>30711827257</v>
      </c>
      <c r="E669" t="s">
        <v>1113</v>
      </c>
      <c r="F669" t="s">
        <v>1</v>
      </c>
      <c r="G669" t="s">
        <v>1086</v>
      </c>
      <c r="H669" t="s">
        <v>55</v>
      </c>
      <c r="I669">
        <v>6365</v>
      </c>
      <c r="J669">
        <v>21</v>
      </c>
      <c r="K669" t="s">
        <v>33</v>
      </c>
      <c r="L669">
        <v>6127</v>
      </c>
      <c r="M669" t="s">
        <v>118</v>
      </c>
      <c r="N669">
        <v>1</v>
      </c>
      <c r="O669" t="s">
        <v>119</v>
      </c>
      <c r="P669" t="s">
        <v>1114</v>
      </c>
      <c r="Q669">
        <v>4854.5</v>
      </c>
      <c r="R669">
        <v>133000</v>
      </c>
      <c r="S669">
        <v>190</v>
      </c>
      <c r="T669">
        <v>700</v>
      </c>
      <c r="U669">
        <v>26</v>
      </c>
      <c r="V669">
        <v>1447.5</v>
      </c>
      <c r="W669" t="s">
        <v>121</v>
      </c>
      <c r="X669" t="s">
        <v>1</v>
      </c>
      <c r="Y669">
        <v>7026888.75</v>
      </c>
      <c r="Z669">
        <v>192517500</v>
      </c>
      <c r="AA669">
        <v>1013250</v>
      </c>
      <c r="AB669">
        <v>106</v>
      </c>
      <c r="AC669" s="34">
        <v>45983</v>
      </c>
      <c r="AD669" s="34">
        <v>46173</v>
      </c>
      <c r="AF669">
        <v>0</v>
      </c>
      <c r="AG669">
        <v>7613.9</v>
      </c>
      <c r="AH669">
        <v>0</v>
      </c>
      <c r="AI669">
        <v>11021120.25</v>
      </c>
      <c r="AJ669">
        <v>0</v>
      </c>
      <c r="AK669">
        <v>0</v>
      </c>
      <c r="AL669">
        <v>2766302.78</v>
      </c>
      <c r="AM669">
        <v>0</v>
      </c>
      <c r="AN669">
        <v>13787423.029999999</v>
      </c>
      <c r="AO669" t="s">
        <v>122</v>
      </c>
      <c r="AP669">
        <v>12</v>
      </c>
      <c r="AQ669">
        <v>913.67</v>
      </c>
      <c r="AR669">
        <v>1322537.33</v>
      </c>
      <c r="AT669">
        <v>79800</v>
      </c>
      <c r="AU669">
        <v>2912.7</v>
      </c>
      <c r="AV669">
        <v>115510500</v>
      </c>
      <c r="AW669">
        <v>4216133.25</v>
      </c>
    </row>
    <row r="670" spans="1:49" hidden="1" x14ac:dyDescent="0.35">
      <c r="A670">
        <v>5830010</v>
      </c>
      <c r="B670">
        <v>1090005830001</v>
      </c>
      <c r="D670">
        <v>30711827257</v>
      </c>
      <c r="E670" t="s">
        <v>1113</v>
      </c>
      <c r="F670" t="s">
        <v>1</v>
      </c>
      <c r="G670" t="s">
        <v>1086</v>
      </c>
      <c r="H670" t="s">
        <v>55</v>
      </c>
      <c r="I670">
        <v>6365</v>
      </c>
      <c r="J670">
        <v>21</v>
      </c>
      <c r="K670" t="s">
        <v>33</v>
      </c>
      <c r="L670">
        <v>6127</v>
      </c>
      <c r="M670" t="s">
        <v>118</v>
      </c>
      <c r="N670">
        <v>2</v>
      </c>
      <c r="O670" t="s">
        <v>119</v>
      </c>
      <c r="P670" t="s">
        <v>1115</v>
      </c>
      <c r="Q670">
        <v>2759.4</v>
      </c>
      <c r="R670">
        <v>75600</v>
      </c>
      <c r="S670">
        <v>108</v>
      </c>
      <c r="T670">
        <v>700</v>
      </c>
      <c r="U670">
        <v>26</v>
      </c>
      <c r="V670">
        <v>1447.5</v>
      </c>
      <c r="W670" t="s">
        <v>121</v>
      </c>
      <c r="X670" t="s">
        <v>1</v>
      </c>
      <c r="Y670">
        <v>3994231.5</v>
      </c>
      <c r="Z670">
        <v>109431000</v>
      </c>
      <c r="AA670">
        <v>1013250</v>
      </c>
      <c r="AB670">
        <v>106</v>
      </c>
      <c r="AC670" s="34">
        <v>45983</v>
      </c>
      <c r="AD670" s="34">
        <v>46173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 t="s">
        <v>122</v>
      </c>
      <c r="AT670">
        <v>45360</v>
      </c>
      <c r="AU670">
        <v>1655.64</v>
      </c>
      <c r="AV670">
        <v>65658600</v>
      </c>
      <c r="AW670">
        <v>2396538.9</v>
      </c>
    </row>
    <row r="671" spans="1:49" hidden="1" x14ac:dyDescent="0.35">
      <c r="A671">
        <v>5830110</v>
      </c>
      <c r="B671">
        <v>1090005830101</v>
      </c>
      <c r="D671">
        <v>30711827257</v>
      </c>
      <c r="E671" t="s">
        <v>1113</v>
      </c>
      <c r="F671" t="s">
        <v>1</v>
      </c>
      <c r="G671" t="s">
        <v>1086</v>
      </c>
      <c r="H671" t="s">
        <v>55</v>
      </c>
      <c r="I671">
        <v>6365</v>
      </c>
      <c r="J671">
        <v>21</v>
      </c>
      <c r="K671" t="s">
        <v>33</v>
      </c>
      <c r="L671">
        <v>6127</v>
      </c>
      <c r="M671" t="s">
        <v>118</v>
      </c>
      <c r="N671">
        <v>1</v>
      </c>
      <c r="O671" t="s">
        <v>119</v>
      </c>
      <c r="P671" t="s">
        <v>1116</v>
      </c>
      <c r="Q671">
        <v>2562.56</v>
      </c>
      <c r="R671">
        <v>72800</v>
      </c>
      <c r="S671">
        <v>104</v>
      </c>
      <c r="T671">
        <v>700</v>
      </c>
      <c r="U671">
        <v>26</v>
      </c>
      <c r="V671">
        <v>1447.5</v>
      </c>
      <c r="W671" t="s">
        <v>121</v>
      </c>
      <c r="X671" t="s">
        <v>1</v>
      </c>
      <c r="Y671">
        <v>3709305.6</v>
      </c>
      <c r="Z671">
        <v>105378000</v>
      </c>
      <c r="AA671">
        <v>1013250</v>
      </c>
      <c r="AB671">
        <v>106</v>
      </c>
      <c r="AC671" s="34">
        <v>45983</v>
      </c>
      <c r="AD671" s="34">
        <v>46188</v>
      </c>
      <c r="AF671">
        <v>0</v>
      </c>
      <c r="AG671">
        <v>5396.16</v>
      </c>
      <c r="AH671">
        <v>0</v>
      </c>
      <c r="AI671">
        <v>7810941.5999999996</v>
      </c>
      <c r="AJ671">
        <v>0</v>
      </c>
      <c r="AK671">
        <v>0</v>
      </c>
      <c r="AL671">
        <v>1960537.43</v>
      </c>
      <c r="AM671">
        <v>0</v>
      </c>
      <c r="AN671">
        <v>9771479.0299999993</v>
      </c>
      <c r="AO671" t="s">
        <v>122</v>
      </c>
      <c r="AP671">
        <v>12</v>
      </c>
      <c r="AQ671">
        <v>647.54</v>
      </c>
      <c r="AR671">
        <v>937314.15</v>
      </c>
      <c r="AT671">
        <v>43680</v>
      </c>
      <c r="AU671">
        <v>1537.54</v>
      </c>
      <c r="AV671">
        <v>63226800</v>
      </c>
      <c r="AW671">
        <v>2225589.15</v>
      </c>
    </row>
    <row r="672" spans="1:49" hidden="1" x14ac:dyDescent="0.35">
      <c r="A672">
        <v>5830110</v>
      </c>
      <c r="B672">
        <v>1090005830101</v>
      </c>
      <c r="D672">
        <v>30711827257</v>
      </c>
      <c r="E672" t="s">
        <v>1113</v>
      </c>
      <c r="F672" t="s">
        <v>1</v>
      </c>
      <c r="G672" t="s">
        <v>1086</v>
      </c>
      <c r="H672" t="s">
        <v>55</v>
      </c>
      <c r="I672">
        <v>6365</v>
      </c>
      <c r="J672">
        <v>21</v>
      </c>
      <c r="K672" t="s">
        <v>33</v>
      </c>
      <c r="L672">
        <v>6127</v>
      </c>
      <c r="M672" t="s">
        <v>118</v>
      </c>
      <c r="N672">
        <v>2</v>
      </c>
      <c r="O672" t="s">
        <v>119</v>
      </c>
      <c r="P672" t="s">
        <v>1117</v>
      </c>
      <c r="Q672">
        <v>2833.6</v>
      </c>
      <c r="R672">
        <v>80500</v>
      </c>
      <c r="S672">
        <v>115</v>
      </c>
      <c r="T672">
        <v>700</v>
      </c>
      <c r="U672">
        <v>26</v>
      </c>
      <c r="V672">
        <v>1447.5</v>
      </c>
      <c r="W672" t="s">
        <v>121</v>
      </c>
      <c r="X672" t="s">
        <v>1</v>
      </c>
      <c r="Y672">
        <v>4101636</v>
      </c>
      <c r="Z672">
        <v>116523750</v>
      </c>
      <c r="AA672">
        <v>1013250</v>
      </c>
      <c r="AB672">
        <v>106</v>
      </c>
      <c r="AC672" s="34">
        <v>45983</v>
      </c>
      <c r="AD672" s="34">
        <v>46188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 t="s">
        <v>122</v>
      </c>
      <c r="AT672">
        <v>48300</v>
      </c>
      <c r="AU672">
        <v>1700.16</v>
      </c>
      <c r="AV672">
        <v>69914250</v>
      </c>
      <c r="AW672">
        <v>2460981.6</v>
      </c>
    </row>
    <row r="673" spans="1:49" hidden="1" x14ac:dyDescent="0.35">
      <c r="A673">
        <v>5830210</v>
      </c>
      <c r="B673">
        <v>1090005830201</v>
      </c>
      <c r="D673">
        <v>30712215646</v>
      </c>
      <c r="E673" t="s">
        <v>1072</v>
      </c>
      <c r="F673" t="s">
        <v>1</v>
      </c>
      <c r="G673" t="s">
        <v>57</v>
      </c>
      <c r="H673" t="s">
        <v>57</v>
      </c>
      <c r="I673">
        <v>8200</v>
      </c>
      <c r="J673">
        <v>21</v>
      </c>
      <c r="K673" t="s">
        <v>33</v>
      </c>
      <c r="L673">
        <v>6127</v>
      </c>
      <c r="M673" t="s">
        <v>118</v>
      </c>
      <c r="N673">
        <v>1</v>
      </c>
      <c r="O673" t="s">
        <v>119</v>
      </c>
      <c r="P673" t="s">
        <v>1076</v>
      </c>
      <c r="Q673">
        <v>406.06</v>
      </c>
      <c r="R673">
        <v>15800</v>
      </c>
      <c r="S673">
        <v>158</v>
      </c>
      <c r="T673">
        <v>100</v>
      </c>
      <c r="U673">
        <v>26</v>
      </c>
      <c r="V673">
        <v>1453.5</v>
      </c>
      <c r="W673" t="s">
        <v>121</v>
      </c>
      <c r="X673" t="s">
        <v>1</v>
      </c>
      <c r="Y673">
        <v>590208.21</v>
      </c>
      <c r="Z673">
        <v>22965300</v>
      </c>
      <c r="AA673">
        <v>145350</v>
      </c>
      <c r="AB673">
        <v>106</v>
      </c>
      <c r="AC673" s="34">
        <v>45977</v>
      </c>
      <c r="AD673" s="34">
        <v>46188</v>
      </c>
      <c r="AF673">
        <v>1</v>
      </c>
      <c r="AG673">
        <v>406.06</v>
      </c>
      <c r="AH673">
        <v>0</v>
      </c>
      <c r="AI673">
        <v>590208.21</v>
      </c>
      <c r="AJ673">
        <v>0</v>
      </c>
      <c r="AK673">
        <v>0</v>
      </c>
      <c r="AL673">
        <v>148140.72</v>
      </c>
      <c r="AM673">
        <v>0</v>
      </c>
      <c r="AN673">
        <v>738348.93</v>
      </c>
      <c r="AO673" t="s">
        <v>122</v>
      </c>
      <c r="AP673">
        <v>12.000999999999999</v>
      </c>
      <c r="AQ673">
        <v>48.73</v>
      </c>
      <c r="AR673">
        <v>70829.06</v>
      </c>
      <c r="AT673">
        <v>9480</v>
      </c>
      <c r="AU673">
        <v>243.64</v>
      </c>
      <c r="AV673">
        <v>13779180</v>
      </c>
      <c r="AW673">
        <v>354130.74</v>
      </c>
    </row>
    <row r="674" spans="1:49" hidden="1" x14ac:dyDescent="0.35">
      <c r="A674">
        <v>5830310</v>
      </c>
      <c r="B674">
        <v>1070005830301</v>
      </c>
      <c r="D674">
        <v>30511512073</v>
      </c>
      <c r="E674" t="s">
        <v>1118</v>
      </c>
      <c r="F674" t="s">
        <v>1</v>
      </c>
      <c r="G674" t="s">
        <v>23</v>
      </c>
      <c r="H674" t="s">
        <v>23</v>
      </c>
      <c r="I674">
        <v>6230</v>
      </c>
      <c r="J674">
        <v>1</v>
      </c>
      <c r="K674" t="s">
        <v>16</v>
      </c>
      <c r="L674">
        <v>14232</v>
      </c>
      <c r="M674" t="s">
        <v>1119</v>
      </c>
      <c r="N674">
        <v>1</v>
      </c>
      <c r="O674" t="s">
        <v>125</v>
      </c>
      <c r="P674" t="s">
        <v>1120</v>
      </c>
      <c r="Q674">
        <v>3531.03</v>
      </c>
      <c r="R674">
        <v>122181</v>
      </c>
      <c r="S674">
        <v>879</v>
      </c>
      <c r="T674">
        <v>139</v>
      </c>
      <c r="U674">
        <v>26</v>
      </c>
      <c r="V674">
        <v>1450</v>
      </c>
      <c r="W674" t="s">
        <v>121</v>
      </c>
      <c r="X674" t="s">
        <v>1</v>
      </c>
      <c r="Y674">
        <v>5119993.5</v>
      </c>
      <c r="Z674">
        <v>177162450</v>
      </c>
      <c r="AA674">
        <v>201550</v>
      </c>
      <c r="AB674">
        <v>214</v>
      </c>
      <c r="AC674" s="34">
        <v>45924</v>
      </c>
      <c r="AD674" s="34">
        <v>46022</v>
      </c>
      <c r="AF674">
        <v>0</v>
      </c>
      <c r="AG674">
        <v>3904.88</v>
      </c>
      <c r="AH674">
        <v>0</v>
      </c>
      <c r="AI674">
        <v>5662076</v>
      </c>
      <c r="AJ674">
        <v>0</v>
      </c>
      <c r="AK674">
        <v>0</v>
      </c>
      <c r="AL674">
        <v>1421174</v>
      </c>
      <c r="AM674">
        <v>0</v>
      </c>
      <c r="AN674">
        <v>7083250</v>
      </c>
      <c r="AO674" t="s">
        <v>122</v>
      </c>
      <c r="AP674">
        <v>10</v>
      </c>
      <c r="AQ674">
        <v>390.49</v>
      </c>
      <c r="AR674">
        <v>566210.5</v>
      </c>
      <c r="AT674">
        <v>73308.600000000006</v>
      </c>
      <c r="AU674">
        <v>2118.62</v>
      </c>
      <c r="AV674">
        <v>106297470</v>
      </c>
      <c r="AW674">
        <v>3071999</v>
      </c>
    </row>
    <row r="675" spans="1:49" hidden="1" x14ac:dyDescent="0.35">
      <c r="A675">
        <v>5830310</v>
      </c>
      <c r="B675">
        <v>1070005830301</v>
      </c>
      <c r="D675">
        <v>30511512073</v>
      </c>
      <c r="E675" t="s">
        <v>1118</v>
      </c>
      <c r="F675" t="s">
        <v>1</v>
      </c>
      <c r="G675" t="s">
        <v>23</v>
      </c>
      <c r="H675" t="s">
        <v>23</v>
      </c>
      <c r="I675">
        <v>6230</v>
      </c>
      <c r="J675">
        <v>1</v>
      </c>
      <c r="K675" t="s">
        <v>16</v>
      </c>
      <c r="L675">
        <v>14232</v>
      </c>
      <c r="M675" t="s">
        <v>1119</v>
      </c>
      <c r="N675">
        <v>2</v>
      </c>
      <c r="O675" t="s">
        <v>125</v>
      </c>
      <c r="P675" t="s">
        <v>1121</v>
      </c>
      <c r="Q675">
        <v>373.85</v>
      </c>
      <c r="R675">
        <v>12936</v>
      </c>
      <c r="S675">
        <v>84</v>
      </c>
      <c r="T675">
        <v>154</v>
      </c>
      <c r="U675">
        <v>26</v>
      </c>
      <c r="V675">
        <v>1450</v>
      </c>
      <c r="W675" t="s">
        <v>121</v>
      </c>
      <c r="X675" t="s">
        <v>1</v>
      </c>
      <c r="Y675">
        <v>542082.5</v>
      </c>
      <c r="Z675">
        <v>18757200</v>
      </c>
      <c r="AA675">
        <v>223300</v>
      </c>
      <c r="AB675">
        <v>214</v>
      </c>
      <c r="AC675" s="34">
        <v>45924</v>
      </c>
      <c r="AD675" s="34">
        <v>46022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 t="s">
        <v>122</v>
      </c>
      <c r="AT675">
        <v>7761.6</v>
      </c>
      <c r="AU675">
        <v>224.31</v>
      </c>
      <c r="AV675">
        <v>11254320</v>
      </c>
      <c r="AW675">
        <v>325249.5</v>
      </c>
    </row>
    <row r="676" spans="1:49" hidden="1" x14ac:dyDescent="0.35">
      <c r="A676">
        <v>5830410</v>
      </c>
      <c r="B676">
        <v>1070005830401</v>
      </c>
      <c r="D676">
        <v>30511512073</v>
      </c>
      <c r="E676" t="s">
        <v>1118</v>
      </c>
      <c r="F676" t="s">
        <v>1</v>
      </c>
      <c r="G676" t="s">
        <v>23</v>
      </c>
      <c r="H676" t="s">
        <v>23</v>
      </c>
      <c r="I676">
        <v>6230</v>
      </c>
      <c r="J676">
        <v>1</v>
      </c>
      <c r="K676" t="s">
        <v>16</v>
      </c>
      <c r="L676">
        <v>14232</v>
      </c>
      <c r="M676" t="s">
        <v>1119</v>
      </c>
      <c r="N676">
        <v>1</v>
      </c>
      <c r="O676" t="s">
        <v>119</v>
      </c>
      <c r="P676" t="s">
        <v>1122</v>
      </c>
      <c r="Q676">
        <v>808.55</v>
      </c>
      <c r="R676">
        <v>21504</v>
      </c>
      <c r="S676">
        <v>112</v>
      </c>
      <c r="T676">
        <v>192</v>
      </c>
      <c r="U676">
        <v>26</v>
      </c>
      <c r="V676">
        <v>1450</v>
      </c>
      <c r="W676" t="s">
        <v>121</v>
      </c>
      <c r="X676" t="s">
        <v>1</v>
      </c>
      <c r="Y676">
        <v>1172397.5</v>
      </c>
      <c r="Z676">
        <v>31180800</v>
      </c>
      <c r="AA676">
        <v>278400</v>
      </c>
      <c r="AB676">
        <v>211</v>
      </c>
      <c r="AC676" s="34">
        <v>45924</v>
      </c>
      <c r="AD676" s="34">
        <v>46112</v>
      </c>
      <c r="AE676" t="s">
        <v>355</v>
      </c>
      <c r="AF676">
        <v>0</v>
      </c>
      <c r="AG676">
        <v>808.55</v>
      </c>
      <c r="AH676">
        <v>0</v>
      </c>
      <c r="AI676">
        <v>1172397.5</v>
      </c>
      <c r="AJ676">
        <v>0</v>
      </c>
      <c r="AK676">
        <v>0</v>
      </c>
      <c r="AL676">
        <v>294277.5</v>
      </c>
      <c r="AM676">
        <v>0</v>
      </c>
      <c r="AN676">
        <v>1466675</v>
      </c>
      <c r="AO676" t="s">
        <v>122</v>
      </c>
      <c r="AP676">
        <v>10.000999999999999</v>
      </c>
      <c r="AQ676">
        <v>80.86</v>
      </c>
      <c r="AR676">
        <v>117247</v>
      </c>
      <c r="AT676">
        <v>12902.4</v>
      </c>
      <c r="AU676">
        <v>485.13</v>
      </c>
      <c r="AV676">
        <v>18708480</v>
      </c>
      <c r="AW676">
        <v>703438.5</v>
      </c>
    </row>
    <row r="677" spans="1:49" hidden="1" x14ac:dyDescent="0.35">
      <c r="A677">
        <v>5830510</v>
      </c>
      <c r="B677">
        <v>1070005830501</v>
      </c>
      <c r="D677">
        <v>30511512073</v>
      </c>
      <c r="E677" t="s">
        <v>1118</v>
      </c>
      <c r="F677" t="s">
        <v>1</v>
      </c>
      <c r="G677" t="s">
        <v>23</v>
      </c>
      <c r="H677" t="s">
        <v>23</v>
      </c>
      <c r="I677">
        <v>6230</v>
      </c>
      <c r="J677">
        <v>1</v>
      </c>
      <c r="K677" t="s">
        <v>16</v>
      </c>
      <c r="L677">
        <v>14232</v>
      </c>
      <c r="M677" t="s">
        <v>1119</v>
      </c>
      <c r="N677">
        <v>1</v>
      </c>
      <c r="O677" t="s">
        <v>119</v>
      </c>
      <c r="P677" t="s">
        <v>1123</v>
      </c>
      <c r="Q677">
        <v>4647.33</v>
      </c>
      <c r="R677">
        <v>262561</v>
      </c>
      <c r="S677">
        <v>1063</v>
      </c>
      <c r="T677">
        <v>247</v>
      </c>
      <c r="U677">
        <v>26</v>
      </c>
      <c r="V677">
        <v>1450</v>
      </c>
      <c r="W677" t="s">
        <v>121</v>
      </c>
      <c r="X677" t="s">
        <v>1</v>
      </c>
      <c r="Y677">
        <v>6738628.5</v>
      </c>
      <c r="Z677">
        <v>380713450</v>
      </c>
      <c r="AA677">
        <v>358150</v>
      </c>
      <c r="AB677">
        <v>210</v>
      </c>
      <c r="AC677" s="34">
        <v>45924</v>
      </c>
      <c r="AD677" s="34">
        <v>46142</v>
      </c>
      <c r="AF677">
        <v>0</v>
      </c>
      <c r="AG677">
        <v>4647.33</v>
      </c>
      <c r="AH677">
        <v>0</v>
      </c>
      <c r="AI677">
        <v>6738628.5</v>
      </c>
      <c r="AJ677">
        <v>0</v>
      </c>
      <c r="AK677">
        <v>0</v>
      </c>
      <c r="AL677">
        <v>1691396</v>
      </c>
      <c r="AM677">
        <v>0</v>
      </c>
      <c r="AN677">
        <v>8430024.5</v>
      </c>
      <c r="AO677" t="s">
        <v>122</v>
      </c>
      <c r="AP677">
        <v>10</v>
      </c>
      <c r="AQ677">
        <v>464.73</v>
      </c>
      <c r="AR677">
        <v>673858.5</v>
      </c>
      <c r="AT677">
        <v>157536.6</v>
      </c>
      <c r="AU677">
        <v>2788.4</v>
      </c>
      <c r="AV677">
        <v>228428070</v>
      </c>
      <c r="AW677">
        <v>4043180</v>
      </c>
    </row>
    <row r="678" spans="1:49" hidden="1" x14ac:dyDescent="0.35">
      <c r="A678">
        <v>5830610</v>
      </c>
      <c r="B678">
        <v>1070005830601</v>
      </c>
      <c r="D678">
        <v>30511512073</v>
      </c>
      <c r="E678" t="s">
        <v>1118</v>
      </c>
      <c r="F678" t="s">
        <v>1</v>
      </c>
      <c r="G678" t="s">
        <v>23</v>
      </c>
      <c r="H678" t="s">
        <v>23</v>
      </c>
      <c r="I678">
        <v>6230</v>
      </c>
      <c r="J678">
        <v>1</v>
      </c>
      <c r="K678" t="s">
        <v>16</v>
      </c>
      <c r="L678">
        <v>14232</v>
      </c>
      <c r="M678" t="s">
        <v>1119</v>
      </c>
      <c r="N678">
        <v>1</v>
      </c>
      <c r="O678" t="s">
        <v>119</v>
      </c>
      <c r="P678" t="s">
        <v>1124</v>
      </c>
      <c r="Q678">
        <v>1141.07</v>
      </c>
      <c r="R678">
        <v>64467</v>
      </c>
      <c r="S678">
        <v>261</v>
      </c>
      <c r="T678">
        <v>247</v>
      </c>
      <c r="U678">
        <v>26</v>
      </c>
      <c r="V678">
        <v>1450</v>
      </c>
      <c r="W678" t="s">
        <v>121</v>
      </c>
      <c r="X678" t="s">
        <v>1</v>
      </c>
      <c r="Y678">
        <v>1654551.5</v>
      </c>
      <c r="Z678">
        <v>93477150</v>
      </c>
      <c r="AA678">
        <v>358150</v>
      </c>
      <c r="AB678">
        <v>106</v>
      </c>
      <c r="AC678" s="34">
        <v>45924</v>
      </c>
      <c r="AD678" s="34">
        <v>46188</v>
      </c>
      <c r="AF678">
        <v>0</v>
      </c>
      <c r="AG678">
        <v>1141.07</v>
      </c>
      <c r="AH678">
        <v>0</v>
      </c>
      <c r="AI678">
        <v>1654551.5</v>
      </c>
      <c r="AJ678">
        <v>0</v>
      </c>
      <c r="AK678">
        <v>0</v>
      </c>
      <c r="AL678">
        <v>415294.5</v>
      </c>
      <c r="AM678">
        <v>0</v>
      </c>
      <c r="AN678">
        <v>2069846</v>
      </c>
      <c r="AO678" t="s">
        <v>122</v>
      </c>
      <c r="AP678">
        <v>10</v>
      </c>
      <c r="AQ678">
        <v>114.11</v>
      </c>
      <c r="AR678">
        <v>165459.5</v>
      </c>
      <c r="AT678">
        <v>38680.199999999997</v>
      </c>
      <c r="AU678">
        <v>684.64</v>
      </c>
      <c r="AV678">
        <v>56086290</v>
      </c>
      <c r="AW678">
        <v>992728</v>
      </c>
    </row>
    <row r="679" spans="1:49" hidden="1" x14ac:dyDescent="0.35">
      <c r="A679">
        <v>5830710</v>
      </c>
      <c r="B679">
        <v>1070005830701</v>
      </c>
      <c r="D679">
        <v>30511512073</v>
      </c>
      <c r="E679" t="s">
        <v>1118</v>
      </c>
      <c r="F679" t="s">
        <v>1</v>
      </c>
      <c r="G679" t="s">
        <v>23</v>
      </c>
      <c r="H679" t="s">
        <v>23</v>
      </c>
      <c r="I679">
        <v>6230</v>
      </c>
      <c r="J679">
        <v>1</v>
      </c>
      <c r="K679" t="s">
        <v>16</v>
      </c>
      <c r="L679">
        <v>14232</v>
      </c>
      <c r="M679" t="s">
        <v>1119</v>
      </c>
      <c r="N679">
        <v>1</v>
      </c>
      <c r="O679" t="s">
        <v>119</v>
      </c>
      <c r="P679" t="s">
        <v>1125</v>
      </c>
      <c r="Q679">
        <v>5782.05</v>
      </c>
      <c r="R679">
        <v>284830</v>
      </c>
      <c r="S679">
        <v>1565</v>
      </c>
      <c r="T679">
        <v>182</v>
      </c>
      <c r="U679">
        <v>26</v>
      </c>
      <c r="V679">
        <v>1450</v>
      </c>
      <c r="W679" t="s">
        <v>121</v>
      </c>
      <c r="X679" t="s">
        <v>1</v>
      </c>
      <c r="Y679">
        <v>8383972.5</v>
      </c>
      <c r="Z679">
        <v>413003500</v>
      </c>
      <c r="AA679">
        <v>263900</v>
      </c>
      <c r="AB679">
        <v>106</v>
      </c>
      <c r="AC679" s="34">
        <v>45924</v>
      </c>
      <c r="AD679" s="34">
        <v>46173</v>
      </c>
      <c r="AF679">
        <v>0</v>
      </c>
      <c r="AG679">
        <v>5782.05</v>
      </c>
      <c r="AH679">
        <v>0</v>
      </c>
      <c r="AI679">
        <v>8383972.5</v>
      </c>
      <c r="AJ679">
        <v>0</v>
      </c>
      <c r="AK679">
        <v>0</v>
      </c>
      <c r="AL679">
        <v>2104370.5</v>
      </c>
      <c r="AM679">
        <v>0</v>
      </c>
      <c r="AN679">
        <v>10488343</v>
      </c>
      <c r="AO679" t="s">
        <v>122</v>
      </c>
      <c r="AP679">
        <v>10</v>
      </c>
      <c r="AQ679">
        <v>578.21</v>
      </c>
      <c r="AR679">
        <v>838404.5</v>
      </c>
      <c r="AT679">
        <v>170898</v>
      </c>
      <c r="AU679">
        <v>3469.23</v>
      </c>
      <c r="AV679">
        <v>247802100</v>
      </c>
      <c r="AW679">
        <v>5030383.5</v>
      </c>
    </row>
    <row r="680" spans="1:49" hidden="1" x14ac:dyDescent="0.35">
      <c r="A680">
        <v>5830810</v>
      </c>
      <c r="B680">
        <v>1250005830801</v>
      </c>
      <c r="D680">
        <v>20065948266</v>
      </c>
      <c r="E680" t="s">
        <v>1126</v>
      </c>
      <c r="F680" t="s">
        <v>1</v>
      </c>
      <c r="G680" t="s">
        <v>979</v>
      </c>
      <c r="H680" t="s">
        <v>51</v>
      </c>
      <c r="I680">
        <v>5933</v>
      </c>
      <c r="J680">
        <v>3</v>
      </c>
      <c r="K680" t="s">
        <v>32</v>
      </c>
      <c r="L680">
        <v>6435</v>
      </c>
      <c r="M680" t="s">
        <v>175</v>
      </c>
      <c r="N680">
        <v>1</v>
      </c>
      <c r="O680" t="s">
        <v>119</v>
      </c>
      <c r="P680" t="s">
        <v>1127</v>
      </c>
      <c r="Q680">
        <v>4811400</v>
      </c>
      <c r="R680">
        <v>89100000</v>
      </c>
      <c r="S680">
        <v>120</v>
      </c>
      <c r="T680">
        <v>742500</v>
      </c>
      <c r="U680">
        <v>1</v>
      </c>
      <c r="V680">
        <v>1</v>
      </c>
      <c r="W680" t="s">
        <v>127</v>
      </c>
      <c r="X680">
        <v>29700</v>
      </c>
      <c r="Y680">
        <v>4811400</v>
      </c>
      <c r="Z680">
        <v>89100000</v>
      </c>
      <c r="AA680">
        <v>742500</v>
      </c>
      <c r="AB680">
        <v>105</v>
      </c>
      <c r="AC680" s="34">
        <v>45981</v>
      </c>
      <c r="AD680" s="34">
        <v>46173</v>
      </c>
      <c r="AF680">
        <v>0</v>
      </c>
      <c r="AG680">
        <v>4811400</v>
      </c>
      <c r="AH680">
        <v>0</v>
      </c>
      <c r="AI680">
        <v>4811400</v>
      </c>
      <c r="AJ680">
        <v>0</v>
      </c>
      <c r="AK680">
        <v>0</v>
      </c>
      <c r="AL680">
        <v>1255775.3999999999</v>
      </c>
      <c r="AM680">
        <v>0</v>
      </c>
      <c r="AN680">
        <v>6067175.4000000004</v>
      </c>
      <c r="AO680" t="s">
        <v>122</v>
      </c>
      <c r="AP680">
        <v>15</v>
      </c>
      <c r="AQ680">
        <v>721710</v>
      </c>
      <c r="AR680">
        <v>721710</v>
      </c>
      <c r="AT680">
        <v>53460000</v>
      </c>
      <c r="AU680">
        <v>2886840</v>
      </c>
      <c r="AV680">
        <v>53460000</v>
      </c>
      <c r="AW680">
        <v>2886840</v>
      </c>
    </row>
    <row r="681" spans="1:49" hidden="1" x14ac:dyDescent="0.35">
      <c r="A681">
        <v>5830910</v>
      </c>
      <c r="B681">
        <v>1070005830901</v>
      </c>
      <c r="D681">
        <v>30511512073</v>
      </c>
      <c r="E681" t="s">
        <v>1118</v>
      </c>
      <c r="F681" t="s">
        <v>1</v>
      </c>
      <c r="G681" t="s">
        <v>23</v>
      </c>
      <c r="H681" t="s">
        <v>23</v>
      </c>
      <c r="I681">
        <v>6230</v>
      </c>
      <c r="J681">
        <v>1</v>
      </c>
      <c r="K681" t="s">
        <v>16</v>
      </c>
      <c r="L681">
        <v>14232</v>
      </c>
      <c r="M681" t="s">
        <v>1119</v>
      </c>
      <c r="N681">
        <v>1</v>
      </c>
      <c r="O681" t="s">
        <v>119</v>
      </c>
      <c r="P681" t="s">
        <v>1128</v>
      </c>
      <c r="Q681">
        <v>4268.58</v>
      </c>
      <c r="R681">
        <v>115994</v>
      </c>
      <c r="S681">
        <v>983</v>
      </c>
      <c r="T681">
        <v>118</v>
      </c>
      <c r="U681">
        <v>26</v>
      </c>
      <c r="V681">
        <v>1450</v>
      </c>
      <c r="W681" t="s">
        <v>121</v>
      </c>
      <c r="X681" t="s">
        <v>1</v>
      </c>
      <c r="Y681">
        <v>6189441</v>
      </c>
      <c r="Z681">
        <v>168191300</v>
      </c>
      <c r="AA681">
        <v>171100</v>
      </c>
      <c r="AB681">
        <v>106</v>
      </c>
      <c r="AC681" s="34">
        <v>45924</v>
      </c>
      <c r="AD681" s="34">
        <v>46188</v>
      </c>
      <c r="AE681" t="s">
        <v>134</v>
      </c>
      <c r="AF681">
        <v>0</v>
      </c>
      <c r="AG681">
        <v>4268.58</v>
      </c>
      <c r="AH681">
        <v>0</v>
      </c>
      <c r="AI681">
        <v>6189441</v>
      </c>
      <c r="AJ681">
        <v>0</v>
      </c>
      <c r="AK681">
        <v>0</v>
      </c>
      <c r="AL681">
        <v>1553544.5</v>
      </c>
      <c r="AM681">
        <v>0</v>
      </c>
      <c r="AN681">
        <v>7742985.5</v>
      </c>
      <c r="AO681" t="s">
        <v>122</v>
      </c>
      <c r="AP681">
        <v>10</v>
      </c>
      <c r="AQ681">
        <v>426.86</v>
      </c>
      <c r="AR681">
        <v>618947</v>
      </c>
      <c r="AT681">
        <v>69596.399999999994</v>
      </c>
      <c r="AU681">
        <v>2561.15</v>
      </c>
      <c r="AV681">
        <v>100914780</v>
      </c>
      <c r="AW681">
        <v>3713667.5</v>
      </c>
    </row>
    <row r="682" spans="1:49" hidden="1" x14ac:dyDescent="0.35">
      <c r="A682">
        <v>5831010</v>
      </c>
      <c r="B682">
        <v>1090005831001</v>
      </c>
      <c r="D682">
        <v>30708003138</v>
      </c>
      <c r="E682" t="s">
        <v>769</v>
      </c>
      <c r="F682" t="s">
        <v>1</v>
      </c>
      <c r="G682" t="s">
        <v>370</v>
      </c>
      <c r="H682" t="s">
        <v>58</v>
      </c>
      <c r="I682">
        <v>6333</v>
      </c>
      <c r="J682">
        <v>21</v>
      </c>
      <c r="K682" t="s">
        <v>33</v>
      </c>
      <c r="L682">
        <v>6864</v>
      </c>
      <c r="M682" t="s">
        <v>371</v>
      </c>
      <c r="N682">
        <v>1</v>
      </c>
      <c r="O682" t="s">
        <v>119</v>
      </c>
      <c r="P682" t="s">
        <v>1129</v>
      </c>
      <c r="Q682">
        <v>1372.8</v>
      </c>
      <c r="R682">
        <v>44000</v>
      </c>
      <c r="S682">
        <v>88</v>
      </c>
      <c r="T682">
        <v>500</v>
      </c>
      <c r="U682">
        <v>26</v>
      </c>
      <c r="V682">
        <v>1450</v>
      </c>
      <c r="W682" t="s">
        <v>121</v>
      </c>
      <c r="X682" t="s">
        <v>1</v>
      </c>
      <c r="Y682">
        <v>1990560</v>
      </c>
      <c r="Z682">
        <v>63800000</v>
      </c>
      <c r="AA682">
        <v>725000</v>
      </c>
      <c r="AB682">
        <v>211</v>
      </c>
      <c r="AC682" s="34">
        <v>45990</v>
      </c>
      <c r="AD682" s="34">
        <v>46112</v>
      </c>
      <c r="AF682">
        <v>0</v>
      </c>
      <c r="AG682">
        <v>8580</v>
      </c>
      <c r="AH682">
        <v>0</v>
      </c>
      <c r="AI682">
        <v>12441000</v>
      </c>
      <c r="AJ682">
        <v>0</v>
      </c>
      <c r="AK682">
        <v>0</v>
      </c>
      <c r="AL682">
        <v>3122691</v>
      </c>
      <c r="AM682">
        <v>0</v>
      </c>
      <c r="AN682">
        <v>15563691</v>
      </c>
      <c r="AO682" t="s">
        <v>122</v>
      </c>
      <c r="AP682">
        <v>15</v>
      </c>
      <c r="AQ682">
        <v>1287</v>
      </c>
      <c r="AR682">
        <v>1866150</v>
      </c>
      <c r="AT682">
        <v>26400</v>
      </c>
      <c r="AU682">
        <v>823.68</v>
      </c>
      <c r="AV682">
        <v>38280000</v>
      </c>
      <c r="AW682">
        <v>1194336</v>
      </c>
    </row>
    <row r="683" spans="1:49" hidden="1" x14ac:dyDescent="0.35">
      <c r="A683">
        <v>5831010</v>
      </c>
      <c r="B683">
        <v>1090005831001</v>
      </c>
      <c r="D683">
        <v>30708003138</v>
      </c>
      <c r="E683" t="s">
        <v>769</v>
      </c>
      <c r="F683" t="s">
        <v>1</v>
      </c>
      <c r="G683" t="s">
        <v>370</v>
      </c>
      <c r="H683" t="s">
        <v>58</v>
      </c>
      <c r="I683">
        <v>6333</v>
      </c>
      <c r="J683">
        <v>21</v>
      </c>
      <c r="K683" t="s">
        <v>33</v>
      </c>
      <c r="L683">
        <v>6864</v>
      </c>
      <c r="M683" t="s">
        <v>371</v>
      </c>
      <c r="N683">
        <v>2</v>
      </c>
      <c r="O683" t="s">
        <v>119</v>
      </c>
      <c r="P683" t="s">
        <v>1130</v>
      </c>
      <c r="Q683">
        <v>1123.2</v>
      </c>
      <c r="R683">
        <v>36000</v>
      </c>
      <c r="S683">
        <v>72</v>
      </c>
      <c r="T683">
        <v>500</v>
      </c>
      <c r="U683">
        <v>26</v>
      </c>
      <c r="V683">
        <v>1450</v>
      </c>
      <c r="W683" t="s">
        <v>121</v>
      </c>
      <c r="X683" t="s">
        <v>1</v>
      </c>
      <c r="Y683">
        <v>1628640</v>
      </c>
      <c r="Z683">
        <v>52200000</v>
      </c>
      <c r="AA683">
        <v>725000</v>
      </c>
      <c r="AB683">
        <v>211</v>
      </c>
      <c r="AC683" s="34">
        <v>45990</v>
      </c>
      <c r="AD683" s="34">
        <v>46112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 t="s">
        <v>122</v>
      </c>
      <c r="AT683">
        <v>21600</v>
      </c>
      <c r="AU683">
        <v>673.92</v>
      </c>
      <c r="AV683">
        <v>31320000</v>
      </c>
      <c r="AW683">
        <v>977184</v>
      </c>
    </row>
    <row r="684" spans="1:49" hidden="1" x14ac:dyDescent="0.35">
      <c r="A684">
        <v>5831010</v>
      </c>
      <c r="B684">
        <v>1090005831001</v>
      </c>
      <c r="D684">
        <v>30708003138</v>
      </c>
      <c r="E684" t="s">
        <v>769</v>
      </c>
      <c r="F684" t="s">
        <v>1</v>
      </c>
      <c r="G684" t="s">
        <v>370</v>
      </c>
      <c r="H684" t="s">
        <v>58</v>
      </c>
      <c r="I684">
        <v>6333</v>
      </c>
      <c r="J684">
        <v>21</v>
      </c>
      <c r="K684" t="s">
        <v>33</v>
      </c>
      <c r="L684">
        <v>6864</v>
      </c>
      <c r="M684" t="s">
        <v>371</v>
      </c>
      <c r="N684">
        <v>3</v>
      </c>
      <c r="O684" t="s">
        <v>119</v>
      </c>
      <c r="P684" t="s">
        <v>1131</v>
      </c>
      <c r="Q684">
        <v>2605.1999999999998</v>
      </c>
      <c r="R684">
        <v>83500</v>
      </c>
      <c r="S684">
        <v>167</v>
      </c>
      <c r="T684">
        <v>500</v>
      </c>
      <c r="U684">
        <v>26</v>
      </c>
      <c r="V684">
        <v>1450</v>
      </c>
      <c r="W684" t="s">
        <v>121</v>
      </c>
      <c r="X684" t="s">
        <v>1</v>
      </c>
      <c r="Y684">
        <v>3777540</v>
      </c>
      <c r="Z684">
        <v>121075000</v>
      </c>
      <c r="AA684">
        <v>725000</v>
      </c>
      <c r="AB684">
        <v>211</v>
      </c>
      <c r="AC684" s="34">
        <v>45990</v>
      </c>
      <c r="AD684" s="34">
        <v>46112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 t="s">
        <v>122</v>
      </c>
      <c r="AT684">
        <v>50100</v>
      </c>
      <c r="AU684">
        <v>1563.12</v>
      </c>
      <c r="AV684">
        <v>72645000</v>
      </c>
      <c r="AW684">
        <v>2266524</v>
      </c>
    </row>
    <row r="685" spans="1:49" hidden="1" x14ac:dyDescent="0.35">
      <c r="A685">
        <v>5831010</v>
      </c>
      <c r="B685">
        <v>1090005831001</v>
      </c>
      <c r="D685">
        <v>30708003138</v>
      </c>
      <c r="E685" t="s">
        <v>769</v>
      </c>
      <c r="F685" t="s">
        <v>1</v>
      </c>
      <c r="G685" t="s">
        <v>370</v>
      </c>
      <c r="H685" t="s">
        <v>58</v>
      </c>
      <c r="I685">
        <v>6333</v>
      </c>
      <c r="J685">
        <v>21</v>
      </c>
      <c r="K685" t="s">
        <v>33</v>
      </c>
      <c r="L685">
        <v>6864</v>
      </c>
      <c r="M685" t="s">
        <v>371</v>
      </c>
      <c r="N685">
        <v>4</v>
      </c>
      <c r="O685" t="s">
        <v>119</v>
      </c>
      <c r="P685" t="s">
        <v>1132</v>
      </c>
      <c r="Q685">
        <v>780</v>
      </c>
      <c r="R685">
        <v>25000</v>
      </c>
      <c r="S685">
        <v>50</v>
      </c>
      <c r="T685">
        <v>500</v>
      </c>
      <c r="U685">
        <v>26</v>
      </c>
      <c r="V685">
        <v>1450</v>
      </c>
      <c r="W685" t="s">
        <v>121</v>
      </c>
      <c r="X685" t="s">
        <v>1</v>
      </c>
      <c r="Y685">
        <v>1131000</v>
      </c>
      <c r="Z685">
        <v>36250000</v>
      </c>
      <c r="AA685">
        <v>725000</v>
      </c>
      <c r="AB685">
        <v>211</v>
      </c>
      <c r="AC685" s="34">
        <v>45990</v>
      </c>
      <c r="AD685" s="34">
        <v>46112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 t="s">
        <v>122</v>
      </c>
      <c r="AT685">
        <v>15000</v>
      </c>
      <c r="AU685">
        <v>468</v>
      </c>
      <c r="AV685">
        <v>21750000</v>
      </c>
      <c r="AW685">
        <v>678600</v>
      </c>
    </row>
    <row r="686" spans="1:49" hidden="1" x14ac:dyDescent="0.35">
      <c r="A686">
        <v>5831010</v>
      </c>
      <c r="B686">
        <v>1090005831001</v>
      </c>
      <c r="D686">
        <v>30708003138</v>
      </c>
      <c r="E686" t="s">
        <v>769</v>
      </c>
      <c r="F686" t="s">
        <v>1</v>
      </c>
      <c r="G686" t="s">
        <v>370</v>
      </c>
      <c r="H686" t="s">
        <v>58</v>
      </c>
      <c r="I686">
        <v>6333</v>
      </c>
      <c r="J686">
        <v>21</v>
      </c>
      <c r="K686" t="s">
        <v>33</v>
      </c>
      <c r="L686">
        <v>6864</v>
      </c>
      <c r="M686" t="s">
        <v>371</v>
      </c>
      <c r="N686">
        <v>5</v>
      </c>
      <c r="O686" t="s">
        <v>119</v>
      </c>
      <c r="P686" t="s">
        <v>1133</v>
      </c>
      <c r="Q686">
        <v>686.4</v>
      </c>
      <c r="R686">
        <v>22000</v>
      </c>
      <c r="S686">
        <v>44</v>
      </c>
      <c r="T686">
        <v>500</v>
      </c>
      <c r="U686">
        <v>26</v>
      </c>
      <c r="V686">
        <v>1450</v>
      </c>
      <c r="W686" t="s">
        <v>121</v>
      </c>
      <c r="X686" t="s">
        <v>1</v>
      </c>
      <c r="Y686">
        <v>995280</v>
      </c>
      <c r="Z686">
        <v>31900000</v>
      </c>
      <c r="AA686">
        <v>725000</v>
      </c>
      <c r="AB686">
        <v>211</v>
      </c>
      <c r="AC686" s="34">
        <v>45990</v>
      </c>
      <c r="AD686" s="34">
        <v>46112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 t="s">
        <v>122</v>
      </c>
      <c r="AT686">
        <v>13200</v>
      </c>
      <c r="AU686">
        <v>411.84</v>
      </c>
      <c r="AV686">
        <v>19140000</v>
      </c>
      <c r="AW686">
        <v>597168</v>
      </c>
    </row>
    <row r="687" spans="1:49" hidden="1" x14ac:dyDescent="0.35">
      <c r="A687">
        <v>5831010</v>
      </c>
      <c r="B687">
        <v>1090005831001</v>
      </c>
      <c r="D687">
        <v>30708003138</v>
      </c>
      <c r="E687" t="s">
        <v>769</v>
      </c>
      <c r="F687" t="s">
        <v>1</v>
      </c>
      <c r="G687" t="s">
        <v>370</v>
      </c>
      <c r="H687" t="s">
        <v>58</v>
      </c>
      <c r="I687">
        <v>6333</v>
      </c>
      <c r="J687">
        <v>21</v>
      </c>
      <c r="K687" t="s">
        <v>33</v>
      </c>
      <c r="L687">
        <v>6864</v>
      </c>
      <c r="M687" t="s">
        <v>371</v>
      </c>
      <c r="N687">
        <v>6</v>
      </c>
      <c r="O687" t="s">
        <v>119</v>
      </c>
      <c r="P687" t="s">
        <v>1134</v>
      </c>
      <c r="Q687">
        <v>452.4</v>
      </c>
      <c r="R687">
        <v>14500</v>
      </c>
      <c r="S687">
        <v>29</v>
      </c>
      <c r="T687">
        <v>500</v>
      </c>
      <c r="U687">
        <v>26</v>
      </c>
      <c r="V687">
        <v>1450</v>
      </c>
      <c r="W687" t="s">
        <v>121</v>
      </c>
      <c r="X687" t="s">
        <v>1</v>
      </c>
      <c r="Y687">
        <v>655980</v>
      </c>
      <c r="Z687">
        <v>21025000</v>
      </c>
      <c r="AA687">
        <v>725000</v>
      </c>
      <c r="AB687">
        <v>211</v>
      </c>
      <c r="AC687" s="34">
        <v>45990</v>
      </c>
      <c r="AD687" s="34">
        <v>46112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 t="s">
        <v>122</v>
      </c>
      <c r="AT687">
        <v>8700</v>
      </c>
      <c r="AU687">
        <v>271.44</v>
      </c>
      <c r="AV687">
        <v>12615000</v>
      </c>
      <c r="AW687">
        <v>393588</v>
      </c>
    </row>
    <row r="688" spans="1:49" hidden="1" x14ac:dyDescent="0.35">
      <c r="A688">
        <v>5831010</v>
      </c>
      <c r="B688">
        <v>1090005831001</v>
      </c>
      <c r="D688">
        <v>30708003138</v>
      </c>
      <c r="E688" t="s">
        <v>769</v>
      </c>
      <c r="F688" t="s">
        <v>1</v>
      </c>
      <c r="G688" t="s">
        <v>370</v>
      </c>
      <c r="H688" t="s">
        <v>58</v>
      </c>
      <c r="I688">
        <v>6333</v>
      </c>
      <c r="J688">
        <v>21</v>
      </c>
      <c r="K688" t="s">
        <v>33</v>
      </c>
      <c r="L688">
        <v>6864</v>
      </c>
      <c r="M688" t="s">
        <v>371</v>
      </c>
      <c r="N688">
        <v>7</v>
      </c>
      <c r="O688" t="s">
        <v>119</v>
      </c>
      <c r="P688" t="s">
        <v>1135</v>
      </c>
      <c r="Q688">
        <v>1029.5999999999999</v>
      </c>
      <c r="R688">
        <v>33000</v>
      </c>
      <c r="S688">
        <v>66</v>
      </c>
      <c r="T688">
        <v>500</v>
      </c>
      <c r="U688">
        <v>26</v>
      </c>
      <c r="V688">
        <v>1450</v>
      </c>
      <c r="W688" t="s">
        <v>121</v>
      </c>
      <c r="X688" t="s">
        <v>1</v>
      </c>
      <c r="Y688">
        <v>1492920</v>
      </c>
      <c r="Z688">
        <v>47850000</v>
      </c>
      <c r="AA688">
        <v>725000</v>
      </c>
      <c r="AB688">
        <v>211</v>
      </c>
      <c r="AC688" s="34">
        <v>45990</v>
      </c>
      <c r="AD688" s="34">
        <v>46112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 t="s">
        <v>122</v>
      </c>
      <c r="AT688">
        <v>19800</v>
      </c>
      <c r="AU688">
        <v>617.76</v>
      </c>
      <c r="AV688">
        <v>28710000</v>
      </c>
      <c r="AW688">
        <v>895752</v>
      </c>
    </row>
    <row r="689" spans="1:49" hidden="1" x14ac:dyDescent="0.35">
      <c r="A689">
        <v>5831110</v>
      </c>
      <c r="B689">
        <v>1090005831101</v>
      </c>
      <c r="D689">
        <v>27046115282</v>
      </c>
      <c r="E689" t="s">
        <v>1136</v>
      </c>
      <c r="F689" t="s">
        <v>1</v>
      </c>
      <c r="G689" t="s">
        <v>370</v>
      </c>
      <c r="H689" t="s">
        <v>58</v>
      </c>
      <c r="I689">
        <v>6333</v>
      </c>
      <c r="J689">
        <v>21</v>
      </c>
      <c r="K689" t="s">
        <v>33</v>
      </c>
      <c r="L689">
        <v>6864</v>
      </c>
      <c r="M689" t="s">
        <v>371</v>
      </c>
      <c r="N689">
        <v>1</v>
      </c>
      <c r="O689" t="s">
        <v>119</v>
      </c>
      <c r="P689" t="s">
        <v>1137</v>
      </c>
      <c r="Q689">
        <v>2244.69</v>
      </c>
      <c r="R689">
        <v>44100</v>
      </c>
      <c r="S689">
        <v>98</v>
      </c>
      <c r="T689">
        <v>450</v>
      </c>
      <c r="U689">
        <v>26</v>
      </c>
      <c r="V689">
        <v>1450</v>
      </c>
      <c r="W689" t="s">
        <v>121</v>
      </c>
      <c r="X689" t="s">
        <v>1</v>
      </c>
      <c r="Y689">
        <v>3254800.5</v>
      </c>
      <c r="Z689">
        <v>63945000</v>
      </c>
      <c r="AA689">
        <v>652500</v>
      </c>
      <c r="AB689">
        <v>211</v>
      </c>
      <c r="AC689" s="34">
        <v>45990</v>
      </c>
      <c r="AD689" s="34">
        <v>46112</v>
      </c>
      <c r="AE689" t="s">
        <v>355</v>
      </c>
      <c r="AF689">
        <v>0</v>
      </c>
      <c r="AG689">
        <v>2244.69</v>
      </c>
      <c r="AH689">
        <v>0</v>
      </c>
      <c r="AI689">
        <v>3254800.5</v>
      </c>
      <c r="AJ689">
        <v>0</v>
      </c>
      <c r="AK689">
        <v>0</v>
      </c>
      <c r="AL689">
        <v>816944.5</v>
      </c>
      <c r="AM689">
        <v>0</v>
      </c>
      <c r="AN689">
        <v>4071745</v>
      </c>
      <c r="AO689" t="s">
        <v>122</v>
      </c>
      <c r="AP689">
        <v>15</v>
      </c>
      <c r="AQ689">
        <v>336.7</v>
      </c>
      <c r="AR689">
        <v>488215</v>
      </c>
      <c r="AT689">
        <v>26460</v>
      </c>
      <c r="AU689">
        <v>1346.81</v>
      </c>
      <c r="AV689">
        <v>38367000</v>
      </c>
      <c r="AW689">
        <v>1952874.5</v>
      </c>
    </row>
    <row r="690" spans="1:49" hidden="1" x14ac:dyDescent="0.35">
      <c r="A690">
        <v>5831210</v>
      </c>
      <c r="B690">
        <v>1090005831201</v>
      </c>
      <c r="D690">
        <v>27222977849</v>
      </c>
      <c r="E690" t="s">
        <v>1138</v>
      </c>
      <c r="F690" t="s">
        <v>1</v>
      </c>
      <c r="G690" t="s">
        <v>370</v>
      </c>
      <c r="H690" t="s">
        <v>58</v>
      </c>
      <c r="I690">
        <v>6333</v>
      </c>
      <c r="J690">
        <v>21</v>
      </c>
      <c r="K690" t="s">
        <v>33</v>
      </c>
      <c r="L690">
        <v>6864</v>
      </c>
      <c r="M690" t="s">
        <v>371</v>
      </c>
      <c r="N690">
        <v>1</v>
      </c>
      <c r="O690" t="s">
        <v>119</v>
      </c>
      <c r="P690" t="s">
        <v>1139</v>
      </c>
      <c r="Q690">
        <v>1420.11</v>
      </c>
      <c r="R690">
        <v>27900</v>
      </c>
      <c r="S690">
        <v>62</v>
      </c>
      <c r="T690">
        <v>450</v>
      </c>
      <c r="U690">
        <v>26</v>
      </c>
      <c r="V690">
        <v>1450</v>
      </c>
      <c r="W690" t="s">
        <v>121</v>
      </c>
      <c r="X690" t="s">
        <v>1</v>
      </c>
      <c r="Y690">
        <v>2059159.5</v>
      </c>
      <c r="Z690">
        <v>40455000</v>
      </c>
      <c r="AA690">
        <v>652500</v>
      </c>
      <c r="AB690">
        <v>211</v>
      </c>
      <c r="AC690" s="34">
        <v>45990</v>
      </c>
      <c r="AD690" s="34">
        <v>46112</v>
      </c>
      <c r="AE690" t="s">
        <v>355</v>
      </c>
      <c r="AF690">
        <v>0</v>
      </c>
      <c r="AG690">
        <v>1420.11</v>
      </c>
      <c r="AH690">
        <v>0</v>
      </c>
      <c r="AI690">
        <v>2059159.5</v>
      </c>
      <c r="AJ690">
        <v>0</v>
      </c>
      <c r="AK690">
        <v>0</v>
      </c>
      <c r="AL690">
        <v>516838</v>
      </c>
      <c r="AM690">
        <v>0</v>
      </c>
      <c r="AN690">
        <v>2575997.5</v>
      </c>
      <c r="AO690" t="s">
        <v>122</v>
      </c>
      <c r="AP690">
        <v>15</v>
      </c>
      <c r="AQ690">
        <v>213.02</v>
      </c>
      <c r="AR690">
        <v>308879</v>
      </c>
      <c r="AT690">
        <v>16740</v>
      </c>
      <c r="AU690">
        <v>852.07</v>
      </c>
      <c r="AV690">
        <v>24273000</v>
      </c>
      <c r="AW690">
        <v>1235501.5</v>
      </c>
    </row>
    <row r="691" spans="1:49" hidden="1" x14ac:dyDescent="0.35">
      <c r="A691">
        <v>5831310</v>
      </c>
      <c r="B691">
        <v>1090005831301</v>
      </c>
      <c r="D691">
        <v>20073514100</v>
      </c>
      <c r="E691" t="s">
        <v>1140</v>
      </c>
      <c r="F691" t="s">
        <v>1</v>
      </c>
      <c r="G691" t="s">
        <v>370</v>
      </c>
      <c r="H691" t="s">
        <v>58</v>
      </c>
      <c r="I691">
        <v>6333</v>
      </c>
      <c r="J691">
        <v>21</v>
      </c>
      <c r="K691" t="s">
        <v>33</v>
      </c>
      <c r="L691">
        <v>6864</v>
      </c>
      <c r="M691" t="s">
        <v>371</v>
      </c>
      <c r="N691">
        <v>1</v>
      </c>
      <c r="O691" t="s">
        <v>119</v>
      </c>
      <c r="P691" t="s">
        <v>1141</v>
      </c>
      <c r="Q691">
        <v>503.91</v>
      </c>
      <c r="R691">
        <v>9900</v>
      </c>
      <c r="S691">
        <v>22</v>
      </c>
      <c r="T691">
        <v>450</v>
      </c>
      <c r="U691">
        <v>26</v>
      </c>
      <c r="V691">
        <v>1450</v>
      </c>
      <c r="W691" t="s">
        <v>121</v>
      </c>
      <c r="X691" t="s">
        <v>1</v>
      </c>
      <c r="Y691">
        <v>730669.5</v>
      </c>
      <c r="Z691">
        <v>14355000</v>
      </c>
      <c r="AA691">
        <v>652500</v>
      </c>
      <c r="AB691">
        <v>211</v>
      </c>
      <c r="AC691" s="34">
        <v>45990</v>
      </c>
      <c r="AD691" s="34">
        <v>46112</v>
      </c>
      <c r="AE691" t="s">
        <v>355</v>
      </c>
      <c r="AF691">
        <v>0</v>
      </c>
      <c r="AG691">
        <v>503.91</v>
      </c>
      <c r="AH691">
        <v>0</v>
      </c>
      <c r="AI691">
        <v>730669.5</v>
      </c>
      <c r="AJ691">
        <v>0</v>
      </c>
      <c r="AK691">
        <v>0</v>
      </c>
      <c r="AL691">
        <v>183396</v>
      </c>
      <c r="AM691">
        <v>0</v>
      </c>
      <c r="AN691">
        <v>914065.5</v>
      </c>
      <c r="AO691" t="s">
        <v>122</v>
      </c>
      <c r="AP691">
        <v>15.000999999999999</v>
      </c>
      <c r="AQ691">
        <v>75.59</v>
      </c>
      <c r="AR691">
        <v>109605.5</v>
      </c>
      <c r="AT691">
        <v>5940</v>
      </c>
      <c r="AU691">
        <v>302.35000000000002</v>
      </c>
      <c r="AV691">
        <v>8613000</v>
      </c>
      <c r="AW691">
        <v>438407.5</v>
      </c>
    </row>
    <row r="692" spans="1:49" hidden="1" x14ac:dyDescent="0.35">
      <c r="A692">
        <v>5831410</v>
      </c>
      <c r="B692">
        <v>1090005831401</v>
      </c>
      <c r="D692">
        <v>20073631808</v>
      </c>
      <c r="E692" t="s">
        <v>949</v>
      </c>
      <c r="F692" t="s">
        <v>1</v>
      </c>
      <c r="G692" t="s">
        <v>370</v>
      </c>
      <c r="H692" t="s">
        <v>58</v>
      </c>
      <c r="I692">
        <v>6333</v>
      </c>
      <c r="J692">
        <v>21</v>
      </c>
      <c r="K692" t="s">
        <v>33</v>
      </c>
      <c r="L692">
        <v>6864</v>
      </c>
      <c r="M692" t="s">
        <v>371</v>
      </c>
      <c r="N692">
        <v>1</v>
      </c>
      <c r="O692" t="s">
        <v>119</v>
      </c>
      <c r="P692" t="s">
        <v>1142</v>
      </c>
      <c r="Q692">
        <v>3370500</v>
      </c>
      <c r="R692">
        <v>105000000</v>
      </c>
      <c r="S692">
        <v>150</v>
      </c>
      <c r="T692">
        <v>700000</v>
      </c>
      <c r="U692">
        <v>1</v>
      </c>
      <c r="V692">
        <v>1</v>
      </c>
      <c r="W692" t="s">
        <v>121</v>
      </c>
      <c r="X692" t="s">
        <v>1</v>
      </c>
      <c r="Y692">
        <v>3370500</v>
      </c>
      <c r="Z692">
        <v>105000000</v>
      </c>
      <c r="AA692">
        <v>700000</v>
      </c>
      <c r="AB692">
        <v>105</v>
      </c>
      <c r="AC692" s="34">
        <v>45961</v>
      </c>
      <c r="AD692" s="34">
        <v>46173</v>
      </c>
      <c r="AF692">
        <v>0</v>
      </c>
      <c r="AG692">
        <v>8134140</v>
      </c>
      <c r="AH692">
        <v>0</v>
      </c>
      <c r="AI692">
        <v>8134140</v>
      </c>
      <c r="AJ692">
        <v>0</v>
      </c>
      <c r="AK692">
        <v>0</v>
      </c>
      <c r="AL692">
        <v>2041669.14</v>
      </c>
      <c r="AM692">
        <v>0</v>
      </c>
      <c r="AN692">
        <v>10175809.140000001</v>
      </c>
      <c r="AO692" t="s">
        <v>122</v>
      </c>
      <c r="AP692">
        <v>15</v>
      </c>
      <c r="AQ692">
        <v>1220121</v>
      </c>
      <c r="AR692">
        <v>1220121</v>
      </c>
      <c r="AT692">
        <v>63000000</v>
      </c>
      <c r="AU692">
        <v>2022300</v>
      </c>
      <c r="AV692">
        <v>63000000</v>
      </c>
      <c r="AW692">
        <v>2022300</v>
      </c>
    </row>
    <row r="693" spans="1:49" hidden="1" x14ac:dyDescent="0.35">
      <c r="A693">
        <v>5831510</v>
      </c>
      <c r="B693">
        <v>1090005831501</v>
      </c>
      <c r="D693">
        <v>30708777109</v>
      </c>
      <c r="E693" t="s">
        <v>369</v>
      </c>
      <c r="F693" t="s">
        <v>1</v>
      </c>
      <c r="G693" t="s">
        <v>370</v>
      </c>
      <c r="H693" t="s">
        <v>58</v>
      </c>
      <c r="I693">
        <v>6333</v>
      </c>
      <c r="J693">
        <v>21</v>
      </c>
      <c r="K693" t="s">
        <v>33</v>
      </c>
      <c r="L693">
        <v>6864</v>
      </c>
      <c r="M693" t="s">
        <v>371</v>
      </c>
      <c r="N693">
        <v>1</v>
      </c>
      <c r="O693" t="s">
        <v>119</v>
      </c>
      <c r="P693" t="s">
        <v>1143</v>
      </c>
      <c r="Q693">
        <v>268800</v>
      </c>
      <c r="R693">
        <v>8000000</v>
      </c>
      <c r="S693">
        <v>10</v>
      </c>
      <c r="T693">
        <v>800000</v>
      </c>
      <c r="U693">
        <v>1</v>
      </c>
      <c r="V693">
        <v>1</v>
      </c>
      <c r="W693" t="s">
        <v>121</v>
      </c>
      <c r="X693" t="s">
        <v>1</v>
      </c>
      <c r="Y693">
        <v>268800</v>
      </c>
      <c r="Z693">
        <v>8000000</v>
      </c>
      <c r="AA693">
        <v>800000</v>
      </c>
      <c r="AB693">
        <v>105</v>
      </c>
      <c r="AC693" s="34">
        <v>45979</v>
      </c>
      <c r="AD693" s="34">
        <v>46112</v>
      </c>
      <c r="AF693">
        <v>1</v>
      </c>
      <c r="AG693">
        <v>268800</v>
      </c>
      <c r="AH693">
        <v>0</v>
      </c>
      <c r="AI693">
        <v>268800</v>
      </c>
      <c r="AJ693">
        <v>0</v>
      </c>
      <c r="AK693">
        <v>0</v>
      </c>
      <c r="AL693">
        <v>67468.800000000003</v>
      </c>
      <c r="AM693">
        <v>0</v>
      </c>
      <c r="AN693">
        <v>336268.79999999999</v>
      </c>
      <c r="AO693" t="s">
        <v>122</v>
      </c>
      <c r="AP693">
        <v>15</v>
      </c>
      <c r="AQ693">
        <v>40320</v>
      </c>
      <c r="AR693">
        <v>40320</v>
      </c>
      <c r="AT693">
        <v>4800000</v>
      </c>
      <c r="AU693">
        <v>161280</v>
      </c>
      <c r="AV693">
        <v>4800000</v>
      </c>
      <c r="AW693">
        <v>161280</v>
      </c>
    </row>
    <row r="694" spans="1:49" hidden="1" x14ac:dyDescent="0.35">
      <c r="A694">
        <v>5831610</v>
      </c>
      <c r="B694">
        <v>1090005831601</v>
      </c>
      <c r="D694">
        <v>20117223273</v>
      </c>
      <c r="E694" t="s">
        <v>1035</v>
      </c>
      <c r="F694" t="s">
        <v>1</v>
      </c>
      <c r="G694" t="s">
        <v>1086</v>
      </c>
      <c r="H694" t="s">
        <v>55</v>
      </c>
      <c r="I694">
        <v>6365</v>
      </c>
      <c r="J694">
        <v>21</v>
      </c>
      <c r="K694" t="s">
        <v>33</v>
      </c>
      <c r="L694">
        <v>6127</v>
      </c>
      <c r="M694" t="s">
        <v>118</v>
      </c>
      <c r="N694">
        <v>1</v>
      </c>
      <c r="O694" t="s">
        <v>119</v>
      </c>
      <c r="P694" t="s">
        <v>1144</v>
      </c>
      <c r="Q694">
        <v>1478.4</v>
      </c>
      <c r="R694">
        <v>42000</v>
      </c>
      <c r="S694">
        <v>120</v>
      </c>
      <c r="T694">
        <v>350</v>
      </c>
      <c r="U694">
        <v>26</v>
      </c>
      <c r="V694">
        <v>1450</v>
      </c>
      <c r="W694" t="s">
        <v>121</v>
      </c>
      <c r="X694" t="s">
        <v>1</v>
      </c>
      <c r="Y694">
        <v>2143680</v>
      </c>
      <c r="Z694">
        <v>60900000</v>
      </c>
      <c r="AA694">
        <v>507500</v>
      </c>
      <c r="AB694">
        <v>106</v>
      </c>
      <c r="AC694" s="34">
        <v>45983</v>
      </c>
      <c r="AD694" s="34">
        <v>46203</v>
      </c>
      <c r="AF694">
        <v>0</v>
      </c>
      <c r="AG694">
        <v>9609.6</v>
      </c>
      <c r="AH694">
        <v>0</v>
      </c>
      <c r="AI694">
        <v>13933920</v>
      </c>
      <c r="AJ694">
        <v>0</v>
      </c>
      <c r="AK694">
        <v>0</v>
      </c>
      <c r="AL694">
        <v>3497414.5</v>
      </c>
      <c r="AM694">
        <v>0</v>
      </c>
      <c r="AN694">
        <v>17431334.5</v>
      </c>
      <c r="AO694" t="s">
        <v>122</v>
      </c>
      <c r="AP694">
        <v>12</v>
      </c>
      <c r="AQ694">
        <v>1153.1500000000001</v>
      </c>
      <c r="AR694">
        <v>1672067.5</v>
      </c>
      <c r="AT694">
        <v>25200</v>
      </c>
      <c r="AU694">
        <v>887.04</v>
      </c>
      <c r="AV694">
        <v>36540000</v>
      </c>
      <c r="AW694">
        <v>1286208</v>
      </c>
    </row>
    <row r="695" spans="1:49" hidden="1" x14ac:dyDescent="0.35">
      <c r="A695">
        <v>5831710</v>
      </c>
      <c r="B695">
        <v>1090005831701</v>
      </c>
      <c r="D695">
        <v>30708003138</v>
      </c>
      <c r="E695" t="s">
        <v>769</v>
      </c>
      <c r="F695" t="s">
        <v>1</v>
      </c>
      <c r="G695" t="s">
        <v>370</v>
      </c>
      <c r="H695" t="s">
        <v>58</v>
      </c>
      <c r="I695">
        <v>6333</v>
      </c>
      <c r="J695">
        <v>21</v>
      </c>
      <c r="K695" t="s">
        <v>33</v>
      </c>
      <c r="L695">
        <v>6127</v>
      </c>
      <c r="M695" t="s">
        <v>118</v>
      </c>
      <c r="N695">
        <v>1</v>
      </c>
      <c r="O695" t="s">
        <v>119</v>
      </c>
      <c r="P695" t="s">
        <v>1145</v>
      </c>
      <c r="Q695">
        <v>1271.75</v>
      </c>
      <c r="R695">
        <v>44312</v>
      </c>
      <c r="S695">
        <v>116</v>
      </c>
      <c r="T695">
        <v>382</v>
      </c>
      <c r="U695">
        <v>26</v>
      </c>
      <c r="V695">
        <v>1451.5</v>
      </c>
      <c r="W695" t="s">
        <v>121</v>
      </c>
      <c r="X695" t="s">
        <v>1</v>
      </c>
      <c r="Y695">
        <v>1845945.13</v>
      </c>
      <c r="Z695">
        <v>64318868</v>
      </c>
      <c r="AA695">
        <v>554473</v>
      </c>
      <c r="AB695">
        <v>211</v>
      </c>
      <c r="AC695" s="34">
        <v>45983</v>
      </c>
      <c r="AD695" s="34">
        <v>46112</v>
      </c>
      <c r="AF695">
        <v>0</v>
      </c>
      <c r="AG695">
        <v>6056.39</v>
      </c>
      <c r="AH695">
        <v>0</v>
      </c>
      <c r="AI695">
        <v>8790850.0899999999</v>
      </c>
      <c r="AJ695">
        <v>0</v>
      </c>
      <c r="AK695">
        <v>0</v>
      </c>
      <c r="AL695">
        <v>2206497.73</v>
      </c>
      <c r="AM695">
        <v>0</v>
      </c>
      <c r="AN695">
        <v>10997347.810000001</v>
      </c>
      <c r="AO695" t="s">
        <v>122</v>
      </c>
      <c r="AP695">
        <v>12</v>
      </c>
      <c r="AQ695">
        <v>726.77</v>
      </c>
      <c r="AR695">
        <v>1054906.6599999999</v>
      </c>
      <c r="AT695">
        <v>26587.200000000001</v>
      </c>
      <c r="AU695">
        <v>763.05</v>
      </c>
      <c r="AV695">
        <v>38591320.799999997</v>
      </c>
      <c r="AW695">
        <v>1107567.08</v>
      </c>
    </row>
    <row r="696" spans="1:49" hidden="1" x14ac:dyDescent="0.35">
      <c r="A696">
        <v>5831710</v>
      </c>
      <c r="B696">
        <v>1090005831701</v>
      </c>
      <c r="D696">
        <v>30708003138</v>
      </c>
      <c r="E696" t="s">
        <v>769</v>
      </c>
      <c r="F696" t="s">
        <v>1</v>
      </c>
      <c r="G696" t="s">
        <v>370</v>
      </c>
      <c r="H696" t="s">
        <v>58</v>
      </c>
      <c r="I696">
        <v>6333</v>
      </c>
      <c r="J696">
        <v>21</v>
      </c>
      <c r="K696" t="s">
        <v>33</v>
      </c>
      <c r="L696">
        <v>6127</v>
      </c>
      <c r="M696" t="s">
        <v>118</v>
      </c>
      <c r="N696">
        <v>2</v>
      </c>
      <c r="O696" t="s">
        <v>119</v>
      </c>
      <c r="P696" t="s">
        <v>1146</v>
      </c>
      <c r="Q696">
        <v>2148.83</v>
      </c>
      <c r="R696">
        <v>74872</v>
      </c>
      <c r="S696">
        <v>196</v>
      </c>
      <c r="T696">
        <v>382</v>
      </c>
      <c r="U696">
        <v>26</v>
      </c>
      <c r="V696">
        <v>1451.5</v>
      </c>
      <c r="W696" t="s">
        <v>121</v>
      </c>
      <c r="X696" t="s">
        <v>1</v>
      </c>
      <c r="Y696">
        <v>3119026.75</v>
      </c>
      <c r="Z696">
        <v>108676708</v>
      </c>
      <c r="AA696">
        <v>554473</v>
      </c>
      <c r="AB696">
        <v>211</v>
      </c>
      <c r="AC696" s="34">
        <v>45983</v>
      </c>
      <c r="AD696" s="34">
        <v>46112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 t="s">
        <v>122</v>
      </c>
      <c r="AT696">
        <v>44923.199999999997</v>
      </c>
      <c r="AU696">
        <v>1289.3</v>
      </c>
      <c r="AV696">
        <v>65206024.799999997</v>
      </c>
      <c r="AW696">
        <v>1871418.95</v>
      </c>
    </row>
    <row r="697" spans="1:49" hidden="1" x14ac:dyDescent="0.35">
      <c r="A697">
        <v>5831710</v>
      </c>
      <c r="B697">
        <v>1090005831701</v>
      </c>
      <c r="D697">
        <v>30708003138</v>
      </c>
      <c r="E697" t="s">
        <v>769</v>
      </c>
      <c r="F697" t="s">
        <v>1</v>
      </c>
      <c r="G697" t="s">
        <v>370</v>
      </c>
      <c r="H697" t="s">
        <v>58</v>
      </c>
      <c r="I697">
        <v>6333</v>
      </c>
      <c r="J697">
        <v>21</v>
      </c>
      <c r="K697" t="s">
        <v>33</v>
      </c>
      <c r="L697">
        <v>6127</v>
      </c>
      <c r="M697" t="s">
        <v>118</v>
      </c>
      <c r="N697">
        <v>3</v>
      </c>
      <c r="O697" t="s">
        <v>119</v>
      </c>
      <c r="P697" t="s">
        <v>1147</v>
      </c>
      <c r="Q697">
        <v>2635.81</v>
      </c>
      <c r="R697">
        <v>91840</v>
      </c>
      <c r="S697">
        <v>328</v>
      </c>
      <c r="T697">
        <v>280</v>
      </c>
      <c r="U697">
        <v>26</v>
      </c>
      <c r="V697">
        <v>1451.5</v>
      </c>
      <c r="W697" t="s">
        <v>121</v>
      </c>
      <c r="X697" t="s">
        <v>1</v>
      </c>
      <c r="Y697">
        <v>3825878.22</v>
      </c>
      <c r="Z697">
        <v>133305760</v>
      </c>
      <c r="AA697">
        <v>406420</v>
      </c>
      <c r="AB697">
        <v>211</v>
      </c>
      <c r="AC697" s="34">
        <v>45983</v>
      </c>
      <c r="AD697" s="34">
        <v>46112</v>
      </c>
      <c r="AF697">
        <v>1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 t="s">
        <v>122</v>
      </c>
      <c r="AT697">
        <v>55104</v>
      </c>
      <c r="AU697">
        <v>1581.49</v>
      </c>
      <c r="AV697">
        <v>79983456</v>
      </c>
      <c r="AW697">
        <v>2295532.7400000002</v>
      </c>
    </row>
    <row r="698" spans="1:49" hidden="1" x14ac:dyDescent="0.35">
      <c r="A698">
        <v>5831810</v>
      </c>
      <c r="B698">
        <v>1090005831801</v>
      </c>
      <c r="D698">
        <v>30708003138</v>
      </c>
      <c r="E698" t="s">
        <v>769</v>
      </c>
      <c r="F698" t="s">
        <v>1</v>
      </c>
      <c r="G698" t="s">
        <v>56</v>
      </c>
      <c r="H698" t="s">
        <v>56</v>
      </c>
      <c r="I698">
        <v>6381</v>
      </c>
      <c r="J698">
        <v>21</v>
      </c>
      <c r="K698" t="s">
        <v>33</v>
      </c>
      <c r="L698">
        <v>6127</v>
      </c>
      <c r="M698" t="s">
        <v>118</v>
      </c>
      <c r="N698">
        <v>1</v>
      </c>
      <c r="O698" t="s">
        <v>119</v>
      </c>
      <c r="P698" t="s">
        <v>1148</v>
      </c>
      <c r="Q698">
        <v>1509.88</v>
      </c>
      <c r="R698">
        <v>58750</v>
      </c>
      <c r="S698">
        <v>235</v>
      </c>
      <c r="T698">
        <v>250</v>
      </c>
      <c r="U698">
        <v>26</v>
      </c>
      <c r="V698">
        <v>1451.5</v>
      </c>
      <c r="W698" t="s">
        <v>121</v>
      </c>
      <c r="X698" t="s">
        <v>1</v>
      </c>
      <c r="Y698">
        <v>2191590.8199999998</v>
      </c>
      <c r="Z698">
        <v>85275625</v>
      </c>
      <c r="AA698">
        <v>362875</v>
      </c>
      <c r="AB698">
        <v>106</v>
      </c>
      <c r="AC698" s="34">
        <v>45983</v>
      </c>
      <c r="AD698" s="34">
        <v>46173</v>
      </c>
      <c r="AF698">
        <v>1</v>
      </c>
      <c r="AG698">
        <v>4563.04</v>
      </c>
      <c r="AH698">
        <v>0</v>
      </c>
      <c r="AI698">
        <v>6623252.5599999996</v>
      </c>
      <c r="AJ698">
        <v>0</v>
      </c>
      <c r="AK698">
        <v>0</v>
      </c>
      <c r="AL698">
        <v>1662446.5</v>
      </c>
      <c r="AM698">
        <v>0</v>
      </c>
      <c r="AN698">
        <v>8285699.0599999996</v>
      </c>
      <c r="AO698" t="s">
        <v>122</v>
      </c>
      <c r="AP698">
        <v>12</v>
      </c>
      <c r="AQ698">
        <v>547.55999999999995</v>
      </c>
      <c r="AR698">
        <v>794783.34</v>
      </c>
      <c r="AT698">
        <v>35250</v>
      </c>
      <c r="AU698">
        <v>905.93</v>
      </c>
      <c r="AV698">
        <v>51165375</v>
      </c>
      <c r="AW698">
        <v>1314957.3999999999</v>
      </c>
    </row>
    <row r="699" spans="1:49" hidden="1" x14ac:dyDescent="0.35">
      <c r="A699">
        <v>5831810</v>
      </c>
      <c r="B699">
        <v>1090005831801</v>
      </c>
      <c r="D699">
        <v>30708003138</v>
      </c>
      <c r="E699" t="s">
        <v>769</v>
      </c>
      <c r="F699" t="s">
        <v>1</v>
      </c>
      <c r="G699" t="s">
        <v>370</v>
      </c>
      <c r="H699" t="s">
        <v>58</v>
      </c>
      <c r="I699">
        <v>6333</v>
      </c>
      <c r="J699">
        <v>21</v>
      </c>
      <c r="K699" t="s">
        <v>33</v>
      </c>
      <c r="L699">
        <v>6127</v>
      </c>
      <c r="M699" t="s">
        <v>118</v>
      </c>
      <c r="N699">
        <v>2</v>
      </c>
      <c r="O699" t="s">
        <v>119</v>
      </c>
      <c r="P699" t="s">
        <v>1149</v>
      </c>
      <c r="Q699">
        <v>3053.16</v>
      </c>
      <c r="R699">
        <v>118800</v>
      </c>
      <c r="S699">
        <v>300</v>
      </c>
      <c r="T699">
        <v>396</v>
      </c>
      <c r="U699">
        <v>26</v>
      </c>
      <c r="V699">
        <v>1451.5</v>
      </c>
      <c r="W699" t="s">
        <v>121</v>
      </c>
      <c r="X699" t="s">
        <v>1</v>
      </c>
      <c r="Y699">
        <v>4431661.74</v>
      </c>
      <c r="Z699">
        <v>172438200</v>
      </c>
      <c r="AA699">
        <v>574794</v>
      </c>
      <c r="AB699">
        <v>106</v>
      </c>
      <c r="AC699" s="34">
        <v>45983</v>
      </c>
      <c r="AD699" s="34">
        <v>46173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 t="s">
        <v>122</v>
      </c>
      <c r="AT699">
        <v>71280</v>
      </c>
      <c r="AU699">
        <v>1831.9</v>
      </c>
      <c r="AV699">
        <v>103462920</v>
      </c>
      <c r="AW699">
        <v>2659002.85</v>
      </c>
    </row>
    <row r="700" spans="1:49" hidden="1" x14ac:dyDescent="0.35">
      <c r="A700">
        <v>5831910</v>
      </c>
      <c r="B700">
        <v>1090005831901</v>
      </c>
      <c r="D700">
        <v>30708003138</v>
      </c>
      <c r="E700" t="s">
        <v>769</v>
      </c>
      <c r="F700" t="s">
        <v>1</v>
      </c>
      <c r="G700" t="s">
        <v>56</v>
      </c>
      <c r="H700" t="s">
        <v>56</v>
      </c>
      <c r="I700">
        <v>6381</v>
      </c>
      <c r="J700">
        <v>21</v>
      </c>
      <c r="K700" t="s">
        <v>33</v>
      </c>
      <c r="L700">
        <v>6127</v>
      </c>
      <c r="M700" t="s">
        <v>118</v>
      </c>
      <c r="N700">
        <v>1</v>
      </c>
      <c r="O700" t="s">
        <v>119</v>
      </c>
      <c r="P700" t="s">
        <v>1150</v>
      </c>
      <c r="Q700">
        <v>1716.25</v>
      </c>
      <c r="R700">
        <v>66780</v>
      </c>
      <c r="S700">
        <v>212</v>
      </c>
      <c r="T700">
        <v>315</v>
      </c>
      <c r="U700">
        <v>26</v>
      </c>
      <c r="V700">
        <v>1451.5</v>
      </c>
      <c r="W700" t="s">
        <v>121</v>
      </c>
      <c r="X700" t="s">
        <v>1</v>
      </c>
      <c r="Y700">
        <v>2491136.88</v>
      </c>
      <c r="Z700">
        <v>96931170</v>
      </c>
      <c r="AA700">
        <v>457222.5</v>
      </c>
      <c r="AB700">
        <v>106</v>
      </c>
      <c r="AC700" s="34">
        <v>45983</v>
      </c>
      <c r="AD700" s="34">
        <v>46188</v>
      </c>
      <c r="AF700">
        <v>1</v>
      </c>
      <c r="AG700">
        <v>1716.25</v>
      </c>
      <c r="AH700">
        <v>0</v>
      </c>
      <c r="AI700">
        <v>2491136.88</v>
      </c>
      <c r="AJ700">
        <v>0</v>
      </c>
      <c r="AK700">
        <v>0</v>
      </c>
      <c r="AL700">
        <v>625277.17000000004</v>
      </c>
      <c r="AM700">
        <v>0</v>
      </c>
      <c r="AN700">
        <v>3116414.05</v>
      </c>
      <c r="AO700" t="s">
        <v>122</v>
      </c>
      <c r="AP700">
        <v>12</v>
      </c>
      <c r="AQ700">
        <v>205.95</v>
      </c>
      <c r="AR700">
        <v>298936.43</v>
      </c>
      <c r="AT700">
        <v>40068</v>
      </c>
      <c r="AU700">
        <v>1029.75</v>
      </c>
      <c r="AV700">
        <v>58158702</v>
      </c>
      <c r="AW700">
        <v>1494682.13</v>
      </c>
    </row>
    <row r="701" spans="1:49" hidden="1" x14ac:dyDescent="0.35">
      <c r="A701">
        <v>5832010</v>
      </c>
      <c r="B701">
        <v>1170005832001</v>
      </c>
      <c r="D701">
        <v>20169189723</v>
      </c>
      <c r="E701" t="s">
        <v>1151</v>
      </c>
      <c r="F701" t="s">
        <v>1</v>
      </c>
      <c r="G701" t="s">
        <v>296</v>
      </c>
      <c r="H701" t="s">
        <v>297</v>
      </c>
      <c r="I701">
        <v>2107</v>
      </c>
      <c r="J701">
        <v>12</v>
      </c>
      <c r="K701" t="s">
        <v>34</v>
      </c>
      <c r="L701">
        <v>10987</v>
      </c>
      <c r="M701" t="s">
        <v>298</v>
      </c>
      <c r="N701">
        <v>1</v>
      </c>
      <c r="O701" t="s">
        <v>119</v>
      </c>
      <c r="P701" t="s">
        <v>1152</v>
      </c>
      <c r="Q701">
        <v>2073060</v>
      </c>
      <c r="R701">
        <v>71280000</v>
      </c>
      <c r="S701">
        <v>80</v>
      </c>
      <c r="T701">
        <v>891000</v>
      </c>
      <c r="U701">
        <v>1</v>
      </c>
      <c r="V701">
        <v>1</v>
      </c>
      <c r="W701" t="s">
        <v>127</v>
      </c>
      <c r="X701">
        <v>29700</v>
      </c>
      <c r="Y701">
        <v>2073060</v>
      </c>
      <c r="Z701">
        <v>71280000</v>
      </c>
      <c r="AA701">
        <v>891000</v>
      </c>
      <c r="AB701">
        <v>105</v>
      </c>
      <c r="AC701" s="34">
        <v>45991</v>
      </c>
      <c r="AD701" s="34">
        <v>46173</v>
      </c>
      <c r="AF701">
        <v>0</v>
      </c>
      <c r="AG701">
        <v>2073060</v>
      </c>
      <c r="AH701">
        <v>0</v>
      </c>
      <c r="AI701">
        <v>2073060</v>
      </c>
      <c r="AJ701">
        <v>0</v>
      </c>
      <c r="AK701">
        <v>0</v>
      </c>
      <c r="AL701">
        <v>530703.35999999999</v>
      </c>
      <c r="AM701">
        <v>0</v>
      </c>
      <c r="AN701">
        <v>2603763.36</v>
      </c>
      <c r="AO701" t="s">
        <v>122</v>
      </c>
      <c r="AP701">
        <v>15</v>
      </c>
      <c r="AQ701">
        <v>310959</v>
      </c>
      <c r="AR701">
        <v>310959</v>
      </c>
      <c r="AT701">
        <v>42768000</v>
      </c>
      <c r="AU701">
        <v>1243836</v>
      </c>
      <c r="AV701">
        <v>42768000</v>
      </c>
      <c r="AW701">
        <v>1243836</v>
      </c>
    </row>
    <row r="702" spans="1:49" hidden="1" x14ac:dyDescent="0.35">
      <c r="A702">
        <v>5832110</v>
      </c>
      <c r="B702">
        <v>1250005832101</v>
      </c>
      <c r="D702">
        <v>30709990868</v>
      </c>
      <c r="E702" t="s">
        <v>1153</v>
      </c>
      <c r="F702" t="s">
        <v>1</v>
      </c>
      <c r="G702" t="s">
        <v>454</v>
      </c>
      <c r="H702" t="s">
        <v>48</v>
      </c>
      <c r="I702">
        <v>6123</v>
      </c>
      <c r="J702">
        <v>3</v>
      </c>
      <c r="K702" t="s">
        <v>32</v>
      </c>
      <c r="L702">
        <v>4401</v>
      </c>
      <c r="M702" t="s">
        <v>132</v>
      </c>
      <c r="N702">
        <v>1</v>
      </c>
      <c r="O702" t="s">
        <v>119</v>
      </c>
      <c r="P702" t="s">
        <v>1154</v>
      </c>
      <c r="Q702">
        <v>2723220</v>
      </c>
      <c r="R702">
        <v>66420000</v>
      </c>
      <c r="S702">
        <v>135</v>
      </c>
      <c r="T702">
        <v>492000</v>
      </c>
      <c r="U702">
        <v>1</v>
      </c>
      <c r="V702">
        <v>1</v>
      </c>
      <c r="W702" t="s">
        <v>121</v>
      </c>
      <c r="X702" t="s">
        <v>1</v>
      </c>
      <c r="Y702">
        <v>2723220</v>
      </c>
      <c r="Z702">
        <v>66420000</v>
      </c>
      <c r="AA702">
        <v>492000</v>
      </c>
      <c r="AB702">
        <v>105</v>
      </c>
      <c r="AC702" s="34">
        <v>45979</v>
      </c>
      <c r="AD702" s="34">
        <v>46173</v>
      </c>
      <c r="AF702">
        <v>0</v>
      </c>
      <c r="AG702">
        <v>22237908</v>
      </c>
      <c r="AH702">
        <v>0</v>
      </c>
      <c r="AI702">
        <v>22237908</v>
      </c>
      <c r="AJ702">
        <v>0</v>
      </c>
      <c r="AK702">
        <v>0</v>
      </c>
      <c r="AL702">
        <v>5804093.9900000002</v>
      </c>
      <c r="AM702">
        <v>0</v>
      </c>
      <c r="AN702">
        <v>28042001.989999998</v>
      </c>
      <c r="AO702" t="s">
        <v>122</v>
      </c>
      <c r="AP702">
        <v>12</v>
      </c>
      <c r="AQ702">
        <v>2668548.96</v>
      </c>
      <c r="AR702">
        <v>2668548.96</v>
      </c>
      <c r="AT702">
        <v>39852000</v>
      </c>
      <c r="AU702">
        <v>1633932</v>
      </c>
      <c r="AV702">
        <v>39852000</v>
      </c>
      <c r="AW702">
        <v>1633932</v>
      </c>
    </row>
    <row r="703" spans="1:49" hidden="1" x14ac:dyDescent="0.35">
      <c r="A703">
        <v>5832110</v>
      </c>
      <c r="B703">
        <v>1250005832101</v>
      </c>
      <c r="D703">
        <v>30709990868</v>
      </c>
      <c r="E703" t="s">
        <v>1153</v>
      </c>
      <c r="F703" t="s">
        <v>1</v>
      </c>
      <c r="G703" t="s">
        <v>159</v>
      </c>
      <c r="H703" t="s">
        <v>48</v>
      </c>
      <c r="I703">
        <v>6120</v>
      </c>
      <c r="J703">
        <v>3</v>
      </c>
      <c r="K703" t="s">
        <v>32</v>
      </c>
      <c r="L703">
        <v>4401</v>
      </c>
      <c r="M703" t="s">
        <v>132</v>
      </c>
      <c r="N703">
        <v>2</v>
      </c>
      <c r="O703" t="s">
        <v>119</v>
      </c>
      <c r="P703" t="s">
        <v>1155</v>
      </c>
      <c r="Q703">
        <v>2218920</v>
      </c>
      <c r="R703">
        <v>54120000</v>
      </c>
      <c r="S703">
        <v>110</v>
      </c>
      <c r="T703">
        <v>492000</v>
      </c>
      <c r="U703">
        <v>1</v>
      </c>
      <c r="V703">
        <v>1</v>
      </c>
      <c r="W703" t="s">
        <v>121</v>
      </c>
      <c r="X703" t="s">
        <v>1</v>
      </c>
      <c r="Y703">
        <v>2218920</v>
      </c>
      <c r="Z703">
        <v>54120000</v>
      </c>
      <c r="AA703">
        <v>492000</v>
      </c>
      <c r="AB703">
        <v>105</v>
      </c>
      <c r="AC703" s="34">
        <v>45979</v>
      </c>
      <c r="AD703" s="34">
        <v>46173</v>
      </c>
      <c r="AE703" t="s">
        <v>161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 t="s">
        <v>122</v>
      </c>
      <c r="AT703">
        <v>32472000</v>
      </c>
      <c r="AU703">
        <v>1331352</v>
      </c>
      <c r="AV703">
        <v>32472000</v>
      </c>
      <c r="AW703">
        <v>1331352</v>
      </c>
    </row>
    <row r="704" spans="1:49" hidden="1" x14ac:dyDescent="0.35">
      <c r="A704">
        <v>5832110</v>
      </c>
      <c r="B704">
        <v>1250005832101</v>
      </c>
      <c r="D704">
        <v>30709990868</v>
      </c>
      <c r="E704" t="s">
        <v>1153</v>
      </c>
      <c r="F704" t="s">
        <v>1</v>
      </c>
      <c r="G704" t="s">
        <v>1156</v>
      </c>
      <c r="H704" t="s">
        <v>49</v>
      </c>
      <c r="I704">
        <v>6142</v>
      </c>
      <c r="J704">
        <v>3</v>
      </c>
      <c r="K704" t="s">
        <v>32</v>
      </c>
      <c r="L704">
        <v>4401</v>
      </c>
      <c r="M704" t="s">
        <v>132</v>
      </c>
      <c r="N704">
        <v>3</v>
      </c>
      <c r="O704" t="s">
        <v>119</v>
      </c>
      <c r="P704" t="s">
        <v>1157</v>
      </c>
      <c r="Q704">
        <v>6509160</v>
      </c>
      <c r="R704">
        <v>103320000</v>
      </c>
      <c r="S704">
        <v>210</v>
      </c>
      <c r="T704">
        <v>492000</v>
      </c>
      <c r="U704">
        <v>1</v>
      </c>
      <c r="V704">
        <v>1</v>
      </c>
      <c r="W704" t="s">
        <v>121</v>
      </c>
      <c r="X704" t="s">
        <v>1</v>
      </c>
      <c r="Y704">
        <v>6509160</v>
      </c>
      <c r="Z704">
        <v>103320000</v>
      </c>
      <c r="AA704">
        <v>492000</v>
      </c>
      <c r="AB704">
        <v>105</v>
      </c>
      <c r="AC704" s="34">
        <v>45979</v>
      </c>
      <c r="AD704" s="34">
        <v>46173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 t="s">
        <v>122</v>
      </c>
      <c r="AT704">
        <v>61992000</v>
      </c>
      <c r="AU704">
        <v>3905496</v>
      </c>
      <c r="AV704">
        <v>61992000</v>
      </c>
      <c r="AW704">
        <v>3905496</v>
      </c>
    </row>
    <row r="705" spans="1:49" hidden="1" x14ac:dyDescent="0.35">
      <c r="A705">
        <v>5832110</v>
      </c>
      <c r="B705">
        <v>1250005832101</v>
      </c>
      <c r="D705">
        <v>30709990868</v>
      </c>
      <c r="E705" t="s">
        <v>1153</v>
      </c>
      <c r="F705" t="s">
        <v>1</v>
      </c>
      <c r="G705" t="s">
        <v>1156</v>
      </c>
      <c r="H705" t="s">
        <v>49</v>
      </c>
      <c r="I705">
        <v>6142</v>
      </c>
      <c r="J705">
        <v>3</v>
      </c>
      <c r="K705" t="s">
        <v>32</v>
      </c>
      <c r="L705">
        <v>4401</v>
      </c>
      <c r="M705" t="s">
        <v>132</v>
      </c>
      <c r="N705">
        <v>4</v>
      </c>
      <c r="O705" t="s">
        <v>119</v>
      </c>
      <c r="P705" t="s">
        <v>1158</v>
      </c>
      <c r="Q705">
        <v>2913624</v>
      </c>
      <c r="R705">
        <v>46248000</v>
      </c>
      <c r="S705">
        <v>94</v>
      </c>
      <c r="T705">
        <v>492000</v>
      </c>
      <c r="U705">
        <v>1</v>
      </c>
      <c r="V705">
        <v>1</v>
      </c>
      <c r="W705" t="s">
        <v>121</v>
      </c>
      <c r="X705" t="s">
        <v>1</v>
      </c>
      <c r="Y705">
        <v>2913624</v>
      </c>
      <c r="Z705">
        <v>46248000</v>
      </c>
      <c r="AA705">
        <v>492000</v>
      </c>
      <c r="AB705">
        <v>105</v>
      </c>
      <c r="AC705" s="34">
        <v>45979</v>
      </c>
      <c r="AD705" s="34">
        <v>46173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 t="s">
        <v>122</v>
      </c>
      <c r="AT705">
        <v>27748800</v>
      </c>
      <c r="AU705">
        <v>1748174.4</v>
      </c>
      <c r="AV705">
        <v>27748800</v>
      </c>
      <c r="AW705">
        <v>1748174.4</v>
      </c>
    </row>
    <row r="706" spans="1:49" hidden="1" x14ac:dyDescent="0.35">
      <c r="A706">
        <v>5832110</v>
      </c>
      <c r="B706">
        <v>1250005832101</v>
      </c>
      <c r="D706">
        <v>30709990868</v>
      </c>
      <c r="E706" t="s">
        <v>1153</v>
      </c>
      <c r="F706" t="s">
        <v>1</v>
      </c>
      <c r="G706" t="s">
        <v>1156</v>
      </c>
      <c r="H706" t="s">
        <v>49</v>
      </c>
      <c r="I706">
        <v>6142</v>
      </c>
      <c r="J706">
        <v>3</v>
      </c>
      <c r="K706" t="s">
        <v>32</v>
      </c>
      <c r="L706">
        <v>4401</v>
      </c>
      <c r="M706" t="s">
        <v>132</v>
      </c>
      <c r="N706">
        <v>5</v>
      </c>
      <c r="O706" t="s">
        <v>119</v>
      </c>
      <c r="P706" t="s">
        <v>1159</v>
      </c>
      <c r="Q706">
        <v>2262708</v>
      </c>
      <c r="R706">
        <v>35916000</v>
      </c>
      <c r="S706">
        <v>73</v>
      </c>
      <c r="T706">
        <v>492000</v>
      </c>
      <c r="U706">
        <v>1</v>
      </c>
      <c r="V706">
        <v>1</v>
      </c>
      <c r="W706" t="s">
        <v>121</v>
      </c>
      <c r="X706" t="s">
        <v>1</v>
      </c>
      <c r="Y706">
        <v>2262708</v>
      </c>
      <c r="Z706">
        <v>35916000</v>
      </c>
      <c r="AA706">
        <v>492000</v>
      </c>
      <c r="AB706">
        <v>105</v>
      </c>
      <c r="AC706" s="34">
        <v>45979</v>
      </c>
      <c r="AD706" s="34">
        <v>46173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 t="s">
        <v>122</v>
      </c>
      <c r="AT706">
        <v>21549600</v>
      </c>
      <c r="AU706">
        <v>1357624.8</v>
      </c>
      <c r="AV706">
        <v>21549600</v>
      </c>
      <c r="AW706">
        <v>1357624.8</v>
      </c>
    </row>
    <row r="707" spans="1:49" hidden="1" x14ac:dyDescent="0.35">
      <c r="A707">
        <v>5832110</v>
      </c>
      <c r="B707">
        <v>1250005832101</v>
      </c>
      <c r="D707">
        <v>30709990868</v>
      </c>
      <c r="E707" t="s">
        <v>1153</v>
      </c>
      <c r="F707" t="s">
        <v>1</v>
      </c>
      <c r="G707" t="s">
        <v>1156</v>
      </c>
      <c r="H707" t="s">
        <v>49</v>
      </c>
      <c r="I707">
        <v>6142</v>
      </c>
      <c r="J707">
        <v>3</v>
      </c>
      <c r="K707" t="s">
        <v>32</v>
      </c>
      <c r="L707">
        <v>4401</v>
      </c>
      <c r="M707" t="s">
        <v>132</v>
      </c>
      <c r="N707">
        <v>6</v>
      </c>
      <c r="O707" t="s">
        <v>119</v>
      </c>
      <c r="P707" t="s">
        <v>1160</v>
      </c>
      <c r="Q707">
        <v>5610276</v>
      </c>
      <c r="R707">
        <v>89052000</v>
      </c>
      <c r="S707">
        <v>181</v>
      </c>
      <c r="T707">
        <v>492000</v>
      </c>
      <c r="U707">
        <v>1</v>
      </c>
      <c r="V707">
        <v>1</v>
      </c>
      <c r="W707" t="s">
        <v>121</v>
      </c>
      <c r="X707" t="s">
        <v>1</v>
      </c>
      <c r="Y707">
        <v>5610276</v>
      </c>
      <c r="Z707">
        <v>89052000</v>
      </c>
      <c r="AA707">
        <v>492000</v>
      </c>
      <c r="AB707">
        <v>105</v>
      </c>
      <c r="AC707" s="34">
        <v>45979</v>
      </c>
      <c r="AD707" s="34">
        <v>46173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 t="s">
        <v>122</v>
      </c>
      <c r="AT707">
        <v>53431200</v>
      </c>
      <c r="AU707">
        <v>3366165.6</v>
      </c>
      <c r="AV707">
        <v>53431200</v>
      </c>
      <c r="AW707">
        <v>3366165.6</v>
      </c>
    </row>
    <row r="708" spans="1:49" hidden="1" x14ac:dyDescent="0.35">
      <c r="A708">
        <v>5832210</v>
      </c>
      <c r="B708">
        <v>1090005832201</v>
      </c>
      <c r="D708">
        <v>30713974400</v>
      </c>
      <c r="E708" t="s">
        <v>117</v>
      </c>
      <c r="F708" t="s">
        <v>1</v>
      </c>
      <c r="G708" t="s">
        <v>1086</v>
      </c>
      <c r="H708" t="s">
        <v>55</v>
      </c>
      <c r="I708">
        <v>6365</v>
      </c>
      <c r="J708">
        <v>21</v>
      </c>
      <c r="K708" t="s">
        <v>33</v>
      </c>
      <c r="L708">
        <v>6127</v>
      </c>
      <c r="M708" t="s">
        <v>118</v>
      </c>
      <c r="N708">
        <v>1</v>
      </c>
      <c r="O708" t="s">
        <v>119</v>
      </c>
      <c r="P708" t="s">
        <v>1161</v>
      </c>
      <c r="Q708">
        <v>3449.25</v>
      </c>
      <c r="R708">
        <v>94500</v>
      </c>
      <c r="S708">
        <v>135</v>
      </c>
      <c r="T708">
        <v>700</v>
      </c>
      <c r="U708">
        <v>26</v>
      </c>
      <c r="V708">
        <v>1451.5</v>
      </c>
      <c r="W708" t="s">
        <v>121</v>
      </c>
      <c r="X708" t="s">
        <v>1</v>
      </c>
      <c r="Y708">
        <v>5006586.38</v>
      </c>
      <c r="Z708">
        <v>137166750</v>
      </c>
      <c r="AA708">
        <v>1016050</v>
      </c>
      <c r="AB708">
        <v>106</v>
      </c>
      <c r="AC708" s="34">
        <v>45983</v>
      </c>
      <c r="AD708" s="34">
        <v>46173</v>
      </c>
      <c r="AF708">
        <v>0</v>
      </c>
      <c r="AG708">
        <v>7665</v>
      </c>
      <c r="AH708">
        <v>0</v>
      </c>
      <c r="AI708">
        <v>11125747.5</v>
      </c>
      <c r="AJ708">
        <v>0</v>
      </c>
      <c r="AK708">
        <v>0</v>
      </c>
      <c r="AL708">
        <v>2792569.88</v>
      </c>
      <c r="AM708">
        <v>0</v>
      </c>
      <c r="AN708">
        <v>13918317.380000001</v>
      </c>
      <c r="AO708" t="s">
        <v>122</v>
      </c>
      <c r="AP708">
        <v>12</v>
      </c>
      <c r="AQ708">
        <v>919.8</v>
      </c>
      <c r="AR708">
        <v>1335089.7</v>
      </c>
      <c r="AT708">
        <v>56700</v>
      </c>
      <c r="AU708">
        <v>2069.5500000000002</v>
      </c>
      <c r="AV708">
        <v>82300050</v>
      </c>
      <c r="AW708">
        <v>3003951.83</v>
      </c>
    </row>
    <row r="709" spans="1:49" hidden="1" x14ac:dyDescent="0.35">
      <c r="A709">
        <v>5832210</v>
      </c>
      <c r="B709">
        <v>1090005832201</v>
      </c>
      <c r="D709">
        <v>30713974400</v>
      </c>
      <c r="E709" t="s">
        <v>117</v>
      </c>
      <c r="F709" t="s">
        <v>1</v>
      </c>
      <c r="G709" t="s">
        <v>1086</v>
      </c>
      <c r="H709" t="s">
        <v>55</v>
      </c>
      <c r="I709">
        <v>6365</v>
      </c>
      <c r="J709">
        <v>21</v>
      </c>
      <c r="K709" t="s">
        <v>33</v>
      </c>
      <c r="L709">
        <v>6127</v>
      </c>
      <c r="M709" t="s">
        <v>118</v>
      </c>
      <c r="N709">
        <v>2</v>
      </c>
      <c r="O709" t="s">
        <v>119</v>
      </c>
      <c r="P709" t="s">
        <v>1162</v>
      </c>
      <c r="Q709">
        <v>4215.75</v>
      </c>
      <c r="R709">
        <v>115500</v>
      </c>
      <c r="S709">
        <v>330</v>
      </c>
      <c r="T709">
        <v>350</v>
      </c>
      <c r="U709">
        <v>26</v>
      </c>
      <c r="V709">
        <v>1451.5</v>
      </c>
      <c r="W709" t="s">
        <v>121</v>
      </c>
      <c r="X709" t="s">
        <v>1</v>
      </c>
      <c r="Y709">
        <v>6119161.1299999999</v>
      </c>
      <c r="Z709">
        <v>167648250</v>
      </c>
      <c r="AA709">
        <v>508025</v>
      </c>
      <c r="AB709">
        <v>106</v>
      </c>
      <c r="AC709" s="34">
        <v>45983</v>
      </c>
      <c r="AD709" s="34">
        <v>46173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 t="s">
        <v>122</v>
      </c>
      <c r="AT709">
        <v>69300</v>
      </c>
      <c r="AU709">
        <v>2529.4499999999998</v>
      </c>
      <c r="AV709">
        <v>100588950</v>
      </c>
      <c r="AW709">
        <v>3671496.68</v>
      </c>
    </row>
    <row r="710" spans="1:49" hidden="1" x14ac:dyDescent="0.35">
      <c r="A710">
        <v>5832310</v>
      </c>
      <c r="B710">
        <v>1090005832301</v>
      </c>
      <c r="D710">
        <v>30685141694</v>
      </c>
      <c r="E710" t="s">
        <v>946</v>
      </c>
      <c r="F710" t="s">
        <v>1</v>
      </c>
      <c r="G710" t="s">
        <v>56</v>
      </c>
      <c r="H710" t="s">
        <v>56</v>
      </c>
      <c r="I710">
        <v>6381</v>
      </c>
      <c r="J710">
        <v>21</v>
      </c>
      <c r="K710" t="s">
        <v>33</v>
      </c>
      <c r="L710">
        <v>6127</v>
      </c>
      <c r="M710" t="s">
        <v>118</v>
      </c>
      <c r="N710">
        <v>1</v>
      </c>
      <c r="O710" t="s">
        <v>119</v>
      </c>
      <c r="P710" t="s">
        <v>1150</v>
      </c>
      <c r="Q710">
        <v>1716.25</v>
      </c>
      <c r="R710">
        <v>66780</v>
      </c>
      <c r="S710">
        <v>212</v>
      </c>
      <c r="T710">
        <v>315</v>
      </c>
      <c r="U710">
        <v>26</v>
      </c>
      <c r="V710">
        <v>1451.5</v>
      </c>
      <c r="W710" t="s">
        <v>121</v>
      </c>
      <c r="X710" t="s">
        <v>1</v>
      </c>
      <c r="Y710">
        <v>2491136.88</v>
      </c>
      <c r="Z710">
        <v>96931170</v>
      </c>
      <c r="AA710">
        <v>457222.5</v>
      </c>
      <c r="AB710">
        <v>106</v>
      </c>
      <c r="AC710" s="34">
        <v>45983</v>
      </c>
      <c r="AD710" s="34">
        <v>46203</v>
      </c>
      <c r="AF710">
        <v>1</v>
      </c>
      <c r="AG710">
        <v>1716.25</v>
      </c>
      <c r="AH710">
        <v>0</v>
      </c>
      <c r="AI710">
        <v>2491136.88</v>
      </c>
      <c r="AJ710">
        <v>0</v>
      </c>
      <c r="AK710">
        <v>0</v>
      </c>
      <c r="AL710">
        <v>550539.43999999994</v>
      </c>
      <c r="AM710">
        <v>0</v>
      </c>
      <c r="AN710">
        <v>3041676.31</v>
      </c>
      <c r="AO710" t="s">
        <v>122</v>
      </c>
      <c r="AP710">
        <v>12</v>
      </c>
      <c r="AQ710">
        <v>205.95</v>
      </c>
      <c r="AR710">
        <v>298936.43</v>
      </c>
      <c r="AT710">
        <v>40068</v>
      </c>
      <c r="AU710">
        <v>1029.75</v>
      </c>
      <c r="AV710">
        <v>58158702</v>
      </c>
      <c r="AW710">
        <v>1494682.13</v>
      </c>
    </row>
    <row r="711" spans="1:49" hidden="1" x14ac:dyDescent="0.35">
      <c r="A711">
        <v>5832610</v>
      </c>
      <c r="B711">
        <v>1250005832601</v>
      </c>
      <c r="D711">
        <v>30716269740</v>
      </c>
      <c r="E711" t="s">
        <v>1163</v>
      </c>
      <c r="F711" t="s">
        <v>1</v>
      </c>
      <c r="G711" t="s">
        <v>925</v>
      </c>
      <c r="H711" t="s">
        <v>51</v>
      </c>
      <c r="I711">
        <v>5931</v>
      </c>
      <c r="J711">
        <v>3</v>
      </c>
      <c r="K711" t="s">
        <v>32</v>
      </c>
      <c r="L711">
        <v>6435</v>
      </c>
      <c r="M711" t="s">
        <v>175</v>
      </c>
      <c r="N711">
        <v>1</v>
      </c>
      <c r="O711" t="s">
        <v>119</v>
      </c>
      <c r="P711" t="s">
        <v>1164</v>
      </c>
      <c r="Q711">
        <v>1202850</v>
      </c>
      <c r="R711">
        <v>22275000</v>
      </c>
      <c r="S711">
        <v>30</v>
      </c>
      <c r="T711">
        <v>742500</v>
      </c>
      <c r="U711">
        <v>1</v>
      </c>
      <c r="V711">
        <v>1</v>
      </c>
      <c r="W711" t="s">
        <v>127</v>
      </c>
      <c r="X711">
        <v>29700</v>
      </c>
      <c r="Y711">
        <v>1202850</v>
      </c>
      <c r="Z711">
        <v>22275000</v>
      </c>
      <c r="AA711">
        <v>742500</v>
      </c>
      <c r="AB711">
        <v>105</v>
      </c>
      <c r="AC711" s="34">
        <v>45981</v>
      </c>
      <c r="AD711" s="34">
        <v>46173</v>
      </c>
      <c r="AF711">
        <v>0</v>
      </c>
      <c r="AG711">
        <v>1202850</v>
      </c>
      <c r="AH711">
        <v>0</v>
      </c>
      <c r="AI711">
        <v>1202850</v>
      </c>
      <c r="AJ711">
        <v>0</v>
      </c>
      <c r="AK711">
        <v>0</v>
      </c>
      <c r="AL711">
        <v>313943.84999999998</v>
      </c>
      <c r="AM711">
        <v>0</v>
      </c>
      <c r="AN711">
        <v>1516793.85</v>
      </c>
      <c r="AO711" t="s">
        <v>122</v>
      </c>
      <c r="AP711">
        <v>15</v>
      </c>
      <c r="AQ711">
        <v>180427.5</v>
      </c>
      <c r="AR711">
        <v>180427.5</v>
      </c>
      <c r="AT711">
        <v>13365000</v>
      </c>
      <c r="AU711">
        <v>721710</v>
      </c>
      <c r="AV711">
        <v>13365000</v>
      </c>
      <c r="AW711">
        <v>721710</v>
      </c>
    </row>
    <row r="712" spans="1:49" hidden="1" x14ac:dyDescent="0.35">
      <c r="A712">
        <v>5832710</v>
      </c>
      <c r="B712">
        <v>1250005832701</v>
      </c>
      <c r="D712">
        <v>33716554819</v>
      </c>
      <c r="E712" t="s">
        <v>1165</v>
      </c>
      <c r="F712" t="s">
        <v>1</v>
      </c>
      <c r="G712" t="s">
        <v>979</v>
      </c>
      <c r="H712" t="s">
        <v>51</v>
      </c>
      <c r="I712">
        <v>5933</v>
      </c>
      <c r="J712">
        <v>3</v>
      </c>
      <c r="K712" t="s">
        <v>32</v>
      </c>
      <c r="L712">
        <v>6435</v>
      </c>
      <c r="M712" t="s">
        <v>175</v>
      </c>
      <c r="N712">
        <v>1</v>
      </c>
      <c r="O712" t="s">
        <v>119</v>
      </c>
      <c r="P712" t="s">
        <v>1166</v>
      </c>
      <c r="Q712">
        <v>3207600</v>
      </c>
      <c r="R712">
        <v>59400000</v>
      </c>
      <c r="S712">
        <v>20</v>
      </c>
      <c r="T712">
        <v>2970000</v>
      </c>
      <c r="U712">
        <v>1</v>
      </c>
      <c r="V712">
        <v>1</v>
      </c>
      <c r="W712" t="s">
        <v>127</v>
      </c>
      <c r="X712">
        <v>29700</v>
      </c>
      <c r="Y712">
        <v>3207600</v>
      </c>
      <c r="Z712">
        <v>59400000</v>
      </c>
      <c r="AA712">
        <v>2970000</v>
      </c>
      <c r="AB712">
        <v>105</v>
      </c>
      <c r="AC712" s="34">
        <v>45982</v>
      </c>
      <c r="AD712" s="34">
        <v>46173</v>
      </c>
      <c r="AF712">
        <v>0</v>
      </c>
      <c r="AG712">
        <v>8949204</v>
      </c>
      <c r="AH712">
        <v>0</v>
      </c>
      <c r="AI712">
        <v>8949204</v>
      </c>
      <c r="AJ712">
        <v>0</v>
      </c>
      <c r="AK712">
        <v>0</v>
      </c>
      <c r="AL712">
        <v>2335742.2400000002</v>
      </c>
      <c r="AM712">
        <v>0</v>
      </c>
      <c r="AN712">
        <v>11284946.24</v>
      </c>
      <c r="AO712" t="s">
        <v>122</v>
      </c>
      <c r="AP712">
        <v>15</v>
      </c>
      <c r="AQ712">
        <v>1342380.6</v>
      </c>
      <c r="AR712">
        <v>1342380.6</v>
      </c>
      <c r="AT712">
        <v>35640000</v>
      </c>
      <c r="AU712">
        <v>1924560</v>
      </c>
      <c r="AV712">
        <v>35640000</v>
      </c>
      <c r="AW712">
        <v>1924560</v>
      </c>
    </row>
    <row r="713" spans="1:49" hidden="1" x14ac:dyDescent="0.35">
      <c r="A713">
        <v>5832710</v>
      </c>
      <c r="B713">
        <v>1250005832701</v>
      </c>
      <c r="D713">
        <v>33716554819</v>
      </c>
      <c r="E713" t="s">
        <v>1165</v>
      </c>
      <c r="F713" t="s">
        <v>1</v>
      </c>
      <c r="G713" t="s">
        <v>979</v>
      </c>
      <c r="H713" t="s">
        <v>51</v>
      </c>
      <c r="I713">
        <v>5933</v>
      </c>
      <c r="J713">
        <v>3</v>
      </c>
      <c r="K713" t="s">
        <v>32</v>
      </c>
      <c r="L713">
        <v>6435</v>
      </c>
      <c r="M713" t="s">
        <v>175</v>
      </c>
      <c r="N713">
        <v>2</v>
      </c>
      <c r="O713" t="s">
        <v>119</v>
      </c>
      <c r="P713" t="s">
        <v>1167</v>
      </c>
      <c r="Q713">
        <v>5741604</v>
      </c>
      <c r="R713">
        <v>106326000</v>
      </c>
      <c r="S713">
        <v>179</v>
      </c>
      <c r="T713">
        <v>594000</v>
      </c>
      <c r="U713">
        <v>1</v>
      </c>
      <c r="V713">
        <v>1</v>
      </c>
      <c r="W713" t="s">
        <v>127</v>
      </c>
      <c r="X713">
        <v>29700</v>
      </c>
      <c r="Y713">
        <v>5741604</v>
      </c>
      <c r="Z713">
        <v>106326000</v>
      </c>
      <c r="AA713">
        <v>594000</v>
      </c>
      <c r="AB713">
        <v>105</v>
      </c>
      <c r="AC713" s="34">
        <v>45982</v>
      </c>
      <c r="AD713" s="34">
        <v>46173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 t="s">
        <v>122</v>
      </c>
      <c r="AT713">
        <v>63795600</v>
      </c>
      <c r="AU713">
        <v>3444962.4</v>
      </c>
      <c r="AV713">
        <v>63795600</v>
      </c>
      <c r="AW713">
        <v>3444962.4</v>
      </c>
    </row>
    <row r="714" spans="1:49" hidden="1" x14ac:dyDescent="0.35">
      <c r="A714">
        <v>5832810</v>
      </c>
      <c r="B714">
        <v>1250005832801</v>
      </c>
      <c r="D714">
        <v>27103676202</v>
      </c>
      <c r="E714" t="s">
        <v>1168</v>
      </c>
      <c r="F714" t="s">
        <v>1</v>
      </c>
      <c r="G714" t="s">
        <v>174</v>
      </c>
      <c r="H714" t="s">
        <v>51</v>
      </c>
      <c r="I714">
        <v>5929</v>
      </c>
      <c r="J714">
        <v>3</v>
      </c>
      <c r="K714" t="s">
        <v>32</v>
      </c>
      <c r="L714">
        <v>6435</v>
      </c>
      <c r="M714" t="s">
        <v>175</v>
      </c>
      <c r="N714">
        <v>1</v>
      </c>
      <c r="O714" t="s">
        <v>119</v>
      </c>
      <c r="P714" t="s">
        <v>1169</v>
      </c>
      <c r="Q714">
        <v>3448170</v>
      </c>
      <c r="R714">
        <v>63855000</v>
      </c>
      <c r="S714">
        <v>86</v>
      </c>
      <c r="T714">
        <v>742500</v>
      </c>
      <c r="U714">
        <v>1</v>
      </c>
      <c r="V714">
        <v>1</v>
      </c>
      <c r="W714" t="s">
        <v>127</v>
      </c>
      <c r="X714">
        <v>29700</v>
      </c>
      <c r="Y714">
        <v>3448170</v>
      </c>
      <c r="Z714">
        <v>63855000</v>
      </c>
      <c r="AA714">
        <v>742500</v>
      </c>
      <c r="AB714">
        <v>105</v>
      </c>
      <c r="AC714" s="34">
        <v>45982</v>
      </c>
      <c r="AD714" s="34">
        <v>46173</v>
      </c>
      <c r="AF714">
        <v>0</v>
      </c>
      <c r="AG714">
        <v>3448170</v>
      </c>
      <c r="AH714">
        <v>0</v>
      </c>
      <c r="AI714">
        <v>3448170</v>
      </c>
      <c r="AJ714">
        <v>0</v>
      </c>
      <c r="AK714">
        <v>0</v>
      </c>
      <c r="AL714">
        <v>899972.37</v>
      </c>
      <c r="AM714">
        <v>0</v>
      </c>
      <c r="AN714">
        <v>4348142.37</v>
      </c>
      <c r="AO714" t="s">
        <v>122</v>
      </c>
      <c r="AP714">
        <v>15</v>
      </c>
      <c r="AQ714">
        <v>517225.5</v>
      </c>
      <c r="AR714">
        <v>517225.5</v>
      </c>
      <c r="AT714">
        <v>38313000</v>
      </c>
      <c r="AU714">
        <v>2068902</v>
      </c>
      <c r="AV714">
        <v>38313000</v>
      </c>
      <c r="AW714">
        <v>2068902</v>
      </c>
    </row>
    <row r="715" spans="1:49" hidden="1" x14ac:dyDescent="0.35">
      <c r="A715">
        <v>5832910</v>
      </c>
      <c r="B715">
        <v>1250005832901</v>
      </c>
      <c r="D715">
        <v>30716827778</v>
      </c>
      <c r="E715" t="s">
        <v>764</v>
      </c>
      <c r="F715" t="s">
        <v>1</v>
      </c>
      <c r="G715" t="s">
        <v>174</v>
      </c>
      <c r="H715" t="s">
        <v>51</v>
      </c>
      <c r="I715">
        <v>5929</v>
      </c>
      <c r="J715">
        <v>3</v>
      </c>
      <c r="K715" t="s">
        <v>32</v>
      </c>
      <c r="L715">
        <v>6435</v>
      </c>
      <c r="M715" t="s">
        <v>175</v>
      </c>
      <c r="N715">
        <v>1</v>
      </c>
      <c r="O715" t="s">
        <v>119</v>
      </c>
      <c r="P715" t="s">
        <v>1170</v>
      </c>
      <c r="Q715">
        <v>1003464</v>
      </c>
      <c r="R715">
        <v>18480000</v>
      </c>
      <c r="S715">
        <v>30</v>
      </c>
      <c r="T715">
        <v>616000</v>
      </c>
      <c r="U715">
        <v>1</v>
      </c>
      <c r="V715">
        <v>1</v>
      </c>
      <c r="W715" t="s">
        <v>121</v>
      </c>
      <c r="X715" t="s">
        <v>1</v>
      </c>
      <c r="Y715">
        <v>1003464</v>
      </c>
      <c r="Z715">
        <v>18480000</v>
      </c>
      <c r="AA715">
        <v>616000</v>
      </c>
      <c r="AB715">
        <v>105</v>
      </c>
      <c r="AC715" s="34">
        <v>45983</v>
      </c>
      <c r="AD715" s="34">
        <v>46173</v>
      </c>
      <c r="AF715">
        <v>0</v>
      </c>
      <c r="AG715">
        <v>6790106.4000000004</v>
      </c>
      <c r="AH715">
        <v>0</v>
      </c>
      <c r="AI715">
        <v>6790106.4000000004</v>
      </c>
      <c r="AJ715">
        <v>0</v>
      </c>
      <c r="AK715">
        <v>0</v>
      </c>
      <c r="AL715">
        <v>1772217.76</v>
      </c>
      <c r="AM715">
        <v>0</v>
      </c>
      <c r="AN715">
        <v>8562324.1600000001</v>
      </c>
      <c r="AO715" t="s">
        <v>122</v>
      </c>
      <c r="AP715">
        <v>15</v>
      </c>
      <c r="AQ715">
        <v>1018515.96</v>
      </c>
      <c r="AR715">
        <v>1018515.96</v>
      </c>
      <c r="AT715">
        <v>11088000</v>
      </c>
      <c r="AU715">
        <v>602078.4</v>
      </c>
      <c r="AV715">
        <v>11088000</v>
      </c>
      <c r="AW715">
        <v>602078.4</v>
      </c>
    </row>
    <row r="716" spans="1:49" hidden="1" x14ac:dyDescent="0.35">
      <c r="A716">
        <v>5832910</v>
      </c>
      <c r="B716">
        <v>1250005832901</v>
      </c>
      <c r="D716">
        <v>30716827778</v>
      </c>
      <c r="E716" t="s">
        <v>764</v>
      </c>
      <c r="F716" t="s">
        <v>1</v>
      </c>
      <c r="G716" t="s">
        <v>174</v>
      </c>
      <c r="H716" t="s">
        <v>51</v>
      </c>
      <c r="I716">
        <v>5929</v>
      </c>
      <c r="J716">
        <v>3</v>
      </c>
      <c r="K716" t="s">
        <v>32</v>
      </c>
      <c r="L716">
        <v>6435</v>
      </c>
      <c r="M716" t="s">
        <v>175</v>
      </c>
      <c r="N716">
        <v>2</v>
      </c>
      <c r="O716" t="s">
        <v>119</v>
      </c>
      <c r="P716" t="s">
        <v>1171</v>
      </c>
      <c r="Q716">
        <v>2675904</v>
      </c>
      <c r="R716">
        <v>49280000</v>
      </c>
      <c r="S716">
        <v>80</v>
      </c>
      <c r="T716">
        <v>616000</v>
      </c>
      <c r="U716">
        <v>1</v>
      </c>
      <c r="V716">
        <v>1</v>
      </c>
      <c r="W716" t="s">
        <v>121</v>
      </c>
      <c r="X716" t="s">
        <v>1</v>
      </c>
      <c r="Y716">
        <v>2675904</v>
      </c>
      <c r="Z716">
        <v>49280000</v>
      </c>
      <c r="AA716">
        <v>616000</v>
      </c>
      <c r="AB716">
        <v>105</v>
      </c>
      <c r="AC716" s="34">
        <v>45983</v>
      </c>
      <c r="AD716" s="34">
        <v>46173</v>
      </c>
      <c r="AF716">
        <v>1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 t="s">
        <v>122</v>
      </c>
      <c r="AT716">
        <v>29568000</v>
      </c>
      <c r="AU716">
        <v>1605542.4</v>
      </c>
      <c r="AV716">
        <v>29568000</v>
      </c>
      <c r="AW716">
        <v>1605542.4</v>
      </c>
    </row>
    <row r="717" spans="1:49" hidden="1" x14ac:dyDescent="0.35">
      <c r="A717">
        <v>5832910</v>
      </c>
      <c r="B717">
        <v>1250005832901</v>
      </c>
      <c r="D717">
        <v>30716827778</v>
      </c>
      <c r="E717" t="s">
        <v>764</v>
      </c>
      <c r="F717" t="s">
        <v>1</v>
      </c>
      <c r="G717" t="s">
        <v>174</v>
      </c>
      <c r="H717" t="s">
        <v>51</v>
      </c>
      <c r="I717">
        <v>5929</v>
      </c>
      <c r="J717">
        <v>3</v>
      </c>
      <c r="K717" t="s">
        <v>32</v>
      </c>
      <c r="L717">
        <v>6435</v>
      </c>
      <c r="M717" t="s">
        <v>175</v>
      </c>
      <c r="N717">
        <v>3</v>
      </c>
      <c r="O717" t="s">
        <v>119</v>
      </c>
      <c r="P717" t="s">
        <v>1172</v>
      </c>
      <c r="Q717">
        <v>3110738.4</v>
      </c>
      <c r="R717">
        <v>57288000</v>
      </c>
      <c r="S717">
        <v>93</v>
      </c>
      <c r="T717">
        <v>616000</v>
      </c>
      <c r="U717">
        <v>1</v>
      </c>
      <c r="V717">
        <v>1</v>
      </c>
      <c r="W717" t="s">
        <v>121</v>
      </c>
      <c r="X717" t="s">
        <v>1</v>
      </c>
      <c r="Y717">
        <v>3110738.4</v>
      </c>
      <c r="Z717">
        <v>57288000</v>
      </c>
      <c r="AA717">
        <v>616000</v>
      </c>
      <c r="AB717">
        <v>105</v>
      </c>
      <c r="AC717" s="34">
        <v>45983</v>
      </c>
      <c r="AD717" s="34">
        <v>46173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 t="s">
        <v>122</v>
      </c>
      <c r="AT717">
        <v>34372800</v>
      </c>
      <c r="AU717">
        <v>1866443.04</v>
      </c>
      <c r="AV717">
        <v>34372800</v>
      </c>
      <c r="AW717">
        <v>1866443.04</v>
      </c>
    </row>
    <row r="718" spans="1:49" hidden="1" x14ac:dyDescent="0.35">
      <c r="A718">
        <v>5833010</v>
      </c>
      <c r="B718">
        <v>1250005833001</v>
      </c>
      <c r="D718">
        <v>30711984336</v>
      </c>
      <c r="E718" t="s">
        <v>604</v>
      </c>
      <c r="F718" t="s">
        <v>1</v>
      </c>
      <c r="G718" t="s">
        <v>174</v>
      </c>
      <c r="H718" t="s">
        <v>51</v>
      </c>
      <c r="I718">
        <v>5929</v>
      </c>
      <c r="J718">
        <v>3</v>
      </c>
      <c r="K718" t="s">
        <v>32</v>
      </c>
      <c r="L718">
        <v>6435</v>
      </c>
      <c r="M718" t="s">
        <v>175</v>
      </c>
      <c r="N718">
        <v>1</v>
      </c>
      <c r="O718" t="s">
        <v>119</v>
      </c>
      <c r="P718" t="s">
        <v>1173</v>
      </c>
      <c r="Q718">
        <v>6062364</v>
      </c>
      <c r="R718">
        <v>112266000</v>
      </c>
      <c r="S718">
        <v>210</v>
      </c>
      <c r="T718">
        <v>534600</v>
      </c>
      <c r="U718">
        <v>1</v>
      </c>
      <c r="V718">
        <v>1</v>
      </c>
      <c r="W718" t="s">
        <v>127</v>
      </c>
      <c r="X718">
        <v>29700</v>
      </c>
      <c r="Y718">
        <v>6062364</v>
      </c>
      <c r="Z718">
        <v>112266000</v>
      </c>
      <c r="AA718">
        <v>534600</v>
      </c>
      <c r="AB718">
        <v>105</v>
      </c>
      <c r="AC718" s="34">
        <v>45985</v>
      </c>
      <c r="AD718" s="34">
        <v>46173</v>
      </c>
      <c r="AF718">
        <v>0</v>
      </c>
      <c r="AG718">
        <v>9555440.4000000004</v>
      </c>
      <c r="AH718">
        <v>0</v>
      </c>
      <c r="AI718">
        <v>9555440.4000000004</v>
      </c>
      <c r="AJ718">
        <v>0</v>
      </c>
      <c r="AK718">
        <v>0</v>
      </c>
      <c r="AL718">
        <v>2493969.9300000002</v>
      </c>
      <c r="AM718">
        <v>0</v>
      </c>
      <c r="AN718">
        <v>12049410.33</v>
      </c>
      <c r="AO718" t="s">
        <v>122</v>
      </c>
      <c r="AP718">
        <v>15</v>
      </c>
      <c r="AQ718">
        <v>1433316.06</v>
      </c>
      <c r="AR718">
        <v>1433316.06</v>
      </c>
      <c r="AT718">
        <v>67359600</v>
      </c>
      <c r="AU718">
        <v>3637418.4</v>
      </c>
      <c r="AV718">
        <v>67359600</v>
      </c>
      <c r="AW718">
        <v>3637418.4</v>
      </c>
    </row>
    <row r="719" spans="1:49" hidden="1" x14ac:dyDescent="0.35">
      <c r="A719">
        <v>5833010</v>
      </c>
      <c r="B719">
        <v>1250005833001</v>
      </c>
      <c r="D719">
        <v>30711984336</v>
      </c>
      <c r="E719" t="s">
        <v>604</v>
      </c>
      <c r="F719" t="s">
        <v>1</v>
      </c>
      <c r="G719" t="s">
        <v>174</v>
      </c>
      <c r="H719" t="s">
        <v>51</v>
      </c>
      <c r="I719">
        <v>5929</v>
      </c>
      <c r="J719">
        <v>3</v>
      </c>
      <c r="K719" t="s">
        <v>32</v>
      </c>
      <c r="L719">
        <v>6435</v>
      </c>
      <c r="M719" t="s">
        <v>175</v>
      </c>
      <c r="N719">
        <v>2</v>
      </c>
      <c r="O719" t="s">
        <v>119</v>
      </c>
      <c r="P719" t="s">
        <v>1174</v>
      </c>
      <c r="Q719">
        <v>1443420</v>
      </c>
      <c r="R719">
        <v>26730000</v>
      </c>
      <c r="S719">
        <v>50</v>
      </c>
      <c r="T719">
        <v>534600</v>
      </c>
      <c r="U719">
        <v>1</v>
      </c>
      <c r="V719">
        <v>1</v>
      </c>
      <c r="W719" t="s">
        <v>127</v>
      </c>
      <c r="X719">
        <v>29700</v>
      </c>
      <c r="Y719">
        <v>1443420</v>
      </c>
      <c r="Z719">
        <v>26730000</v>
      </c>
      <c r="AA719">
        <v>534600</v>
      </c>
      <c r="AB719">
        <v>105</v>
      </c>
      <c r="AC719" s="34">
        <v>45985</v>
      </c>
      <c r="AD719" s="34">
        <v>46173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 t="s">
        <v>122</v>
      </c>
      <c r="AT719">
        <v>16038000</v>
      </c>
      <c r="AU719">
        <v>866052</v>
      </c>
      <c r="AV719">
        <v>16038000</v>
      </c>
      <c r="AW719">
        <v>866052</v>
      </c>
    </row>
    <row r="720" spans="1:49" hidden="1" x14ac:dyDescent="0.35">
      <c r="A720">
        <v>5833010</v>
      </c>
      <c r="B720">
        <v>1250005833001</v>
      </c>
      <c r="D720">
        <v>30711984336</v>
      </c>
      <c r="E720" t="s">
        <v>604</v>
      </c>
      <c r="F720" t="s">
        <v>1</v>
      </c>
      <c r="G720" t="s">
        <v>174</v>
      </c>
      <c r="H720" t="s">
        <v>51</v>
      </c>
      <c r="I720">
        <v>5929</v>
      </c>
      <c r="J720">
        <v>3</v>
      </c>
      <c r="K720" t="s">
        <v>32</v>
      </c>
      <c r="L720">
        <v>6435</v>
      </c>
      <c r="M720" t="s">
        <v>175</v>
      </c>
      <c r="N720">
        <v>3</v>
      </c>
      <c r="O720" t="s">
        <v>119</v>
      </c>
      <c r="P720" t="s">
        <v>1175</v>
      </c>
      <c r="Q720">
        <v>1443420</v>
      </c>
      <c r="R720">
        <v>26730000</v>
      </c>
      <c r="S720">
        <v>50</v>
      </c>
      <c r="T720">
        <v>534600</v>
      </c>
      <c r="U720">
        <v>1</v>
      </c>
      <c r="V720">
        <v>1</v>
      </c>
      <c r="W720" t="s">
        <v>127</v>
      </c>
      <c r="X720">
        <v>29700</v>
      </c>
      <c r="Y720">
        <v>1443420</v>
      </c>
      <c r="Z720">
        <v>26730000</v>
      </c>
      <c r="AA720">
        <v>534600</v>
      </c>
      <c r="AB720">
        <v>105</v>
      </c>
      <c r="AC720" s="34">
        <v>45985</v>
      </c>
      <c r="AD720" s="34">
        <v>46173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 t="s">
        <v>122</v>
      </c>
      <c r="AT720">
        <v>16038000</v>
      </c>
      <c r="AU720">
        <v>866052</v>
      </c>
      <c r="AV720">
        <v>16038000</v>
      </c>
      <c r="AW720">
        <v>866052</v>
      </c>
    </row>
    <row r="721" spans="1:49" hidden="1" x14ac:dyDescent="0.35">
      <c r="A721">
        <v>5833010</v>
      </c>
      <c r="B721">
        <v>1250005833001</v>
      </c>
      <c r="D721">
        <v>30711984336</v>
      </c>
      <c r="E721" t="s">
        <v>604</v>
      </c>
      <c r="F721" t="s">
        <v>1</v>
      </c>
      <c r="G721" t="s">
        <v>174</v>
      </c>
      <c r="H721" t="s">
        <v>51</v>
      </c>
      <c r="I721">
        <v>5929</v>
      </c>
      <c r="J721">
        <v>3</v>
      </c>
      <c r="K721" t="s">
        <v>32</v>
      </c>
      <c r="L721">
        <v>6435</v>
      </c>
      <c r="M721" t="s">
        <v>175</v>
      </c>
      <c r="N721">
        <v>4</v>
      </c>
      <c r="O721" t="s">
        <v>119</v>
      </c>
      <c r="P721" t="s">
        <v>1176</v>
      </c>
      <c r="Q721">
        <v>606236.4</v>
      </c>
      <c r="R721">
        <v>11226600</v>
      </c>
      <c r="S721">
        <v>21</v>
      </c>
      <c r="T721">
        <v>534600</v>
      </c>
      <c r="U721">
        <v>1</v>
      </c>
      <c r="V721">
        <v>1</v>
      </c>
      <c r="W721" t="s">
        <v>127</v>
      </c>
      <c r="X721">
        <v>29700</v>
      </c>
      <c r="Y721">
        <v>606236.4</v>
      </c>
      <c r="Z721">
        <v>11226600</v>
      </c>
      <c r="AA721">
        <v>534600</v>
      </c>
      <c r="AB721">
        <v>105</v>
      </c>
      <c r="AC721" s="34">
        <v>45985</v>
      </c>
      <c r="AD721" s="34">
        <v>46173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 t="s">
        <v>122</v>
      </c>
      <c r="AT721">
        <v>6735960</v>
      </c>
      <c r="AU721">
        <v>363741.84</v>
      </c>
      <c r="AV721">
        <v>6735960</v>
      </c>
      <c r="AW721">
        <v>363741.84</v>
      </c>
    </row>
    <row r="722" spans="1:49" hidden="1" x14ac:dyDescent="0.35">
      <c r="A722">
        <v>5833110</v>
      </c>
      <c r="B722">
        <v>1150005833101</v>
      </c>
      <c r="D722">
        <v>23256118319</v>
      </c>
      <c r="E722" t="s">
        <v>1177</v>
      </c>
      <c r="F722" t="s">
        <v>1</v>
      </c>
      <c r="G722" t="s">
        <v>1178</v>
      </c>
      <c r="H722" t="s">
        <v>51</v>
      </c>
      <c r="I722">
        <v>5935</v>
      </c>
      <c r="J722">
        <v>3</v>
      </c>
      <c r="K722" t="s">
        <v>32</v>
      </c>
      <c r="L722">
        <v>21512</v>
      </c>
      <c r="M722" t="s">
        <v>1179</v>
      </c>
      <c r="N722">
        <v>1</v>
      </c>
      <c r="O722" t="s">
        <v>119</v>
      </c>
      <c r="P722" t="s">
        <v>1180</v>
      </c>
      <c r="Q722">
        <v>400950</v>
      </c>
      <c r="R722">
        <v>7425000</v>
      </c>
      <c r="S722">
        <v>25</v>
      </c>
      <c r="T722">
        <v>297000</v>
      </c>
      <c r="U722">
        <v>1</v>
      </c>
      <c r="V722">
        <v>1</v>
      </c>
      <c r="W722" t="s">
        <v>127</v>
      </c>
      <c r="X722">
        <v>29700</v>
      </c>
      <c r="Y722">
        <v>400950</v>
      </c>
      <c r="Z722">
        <v>7425000</v>
      </c>
      <c r="AA722">
        <v>297000</v>
      </c>
      <c r="AB722">
        <v>105</v>
      </c>
      <c r="AC722" s="34">
        <v>45990</v>
      </c>
      <c r="AD722" s="34">
        <v>46173</v>
      </c>
      <c r="AF722">
        <v>0</v>
      </c>
      <c r="AG722">
        <v>400950</v>
      </c>
      <c r="AH722">
        <v>0</v>
      </c>
      <c r="AI722">
        <v>400950</v>
      </c>
      <c r="AJ722">
        <v>0</v>
      </c>
      <c r="AK722">
        <v>0</v>
      </c>
      <c r="AL722">
        <v>104647.95</v>
      </c>
      <c r="AM722">
        <v>0</v>
      </c>
      <c r="AN722">
        <v>505597.95</v>
      </c>
      <c r="AO722" t="s">
        <v>122</v>
      </c>
      <c r="AP722">
        <v>15</v>
      </c>
      <c r="AQ722">
        <v>60142.5</v>
      </c>
      <c r="AR722">
        <v>60142.5</v>
      </c>
      <c r="AT722">
        <v>4455000</v>
      </c>
      <c r="AU722">
        <v>240570</v>
      </c>
      <c r="AV722">
        <v>4455000</v>
      </c>
      <c r="AW722">
        <v>240570</v>
      </c>
    </row>
    <row r="723" spans="1:49" hidden="1" x14ac:dyDescent="0.35">
      <c r="A723">
        <v>5833210</v>
      </c>
      <c r="B723">
        <v>1250005833201</v>
      </c>
      <c r="D723">
        <v>20169818178</v>
      </c>
      <c r="E723" t="s">
        <v>606</v>
      </c>
      <c r="F723" t="s">
        <v>1</v>
      </c>
      <c r="G723" t="s">
        <v>174</v>
      </c>
      <c r="H723" t="s">
        <v>51</v>
      </c>
      <c r="I723">
        <v>5929</v>
      </c>
      <c r="J723">
        <v>3</v>
      </c>
      <c r="K723" t="s">
        <v>32</v>
      </c>
      <c r="L723">
        <v>6435</v>
      </c>
      <c r="M723" t="s">
        <v>175</v>
      </c>
      <c r="N723">
        <v>1</v>
      </c>
      <c r="O723" t="s">
        <v>119</v>
      </c>
      <c r="P723" t="s">
        <v>1181</v>
      </c>
      <c r="Q723">
        <v>5254048.8</v>
      </c>
      <c r="R723">
        <v>97297200</v>
      </c>
      <c r="S723">
        <v>182</v>
      </c>
      <c r="T723">
        <v>534600</v>
      </c>
      <c r="U723">
        <v>1</v>
      </c>
      <c r="V723">
        <v>1</v>
      </c>
      <c r="W723" t="s">
        <v>127</v>
      </c>
      <c r="X723">
        <v>29700</v>
      </c>
      <c r="Y723">
        <v>5254048.8</v>
      </c>
      <c r="Z723">
        <v>97297200</v>
      </c>
      <c r="AA723">
        <v>534600</v>
      </c>
      <c r="AB723">
        <v>105</v>
      </c>
      <c r="AC723" s="34">
        <v>45985</v>
      </c>
      <c r="AD723" s="34">
        <v>46173</v>
      </c>
      <c r="AF723">
        <v>0</v>
      </c>
      <c r="AG723">
        <v>9584308.8000000007</v>
      </c>
      <c r="AH723">
        <v>0</v>
      </c>
      <c r="AI723">
        <v>9584308.8000000007</v>
      </c>
      <c r="AJ723">
        <v>0</v>
      </c>
      <c r="AK723">
        <v>0</v>
      </c>
      <c r="AL723">
        <v>2501504.59</v>
      </c>
      <c r="AM723">
        <v>0</v>
      </c>
      <c r="AN723">
        <v>12085813.390000001</v>
      </c>
      <c r="AO723" t="s">
        <v>122</v>
      </c>
      <c r="AP723">
        <v>15</v>
      </c>
      <c r="AQ723">
        <v>1437646.32</v>
      </c>
      <c r="AR723">
        <v>1437646.32</v>
      </c>
      <c r="AT723">
        <v>58378320</v>
      </c>
      <c r="AU723">
        <v>3152429.28</v>
      </c>
      <c r="AV723">
        <v>58378320</v>
      </c>
      <c r="AW723">
        <v>3152429.28</v>
      </c>
    </row>
    <row r="724" spans="1:49" hidden="1" x14ac:dyDescent="0.35">
      <c r="A724">
        <v>5833210</v>
      </c>
      <c r="B724">
        <v>1250005833201</v>
      </c>
      <c r="D724">
        <v>20169818178</v>
      </c>
      <c r="E724" t="s">
        <v>606</v>
      </c>
      <c r="F724" t="s">
        <v>1</v>
      </c>
      <c r="G724" t="s">
        <v>174</v>
      </c>
      <c r="H724" t="s">
        <v>51</v>
      </c>
      <c r="I724">
        <v>5929</v>
      </c>
      <c r="J724">
        <v>3</v>
      </c>
      <c r="K724" t="s">
        <v>32</v>
      </c>
      <c r="L724">
        <v>6435</v>
      </c>
      <c r="M724" t="s">
        <v>175</v>
      </c>
      <c r="N724">
        <v>2</v>
      </c>
      <c r="O724" t="s">
        <v>119</v>
      </c>
      <c r="P724" t="s">
        <v>1182</v>
      </c>
      <c r="Q724">
        <v>1443420</v>
      </c>
      <c r="R724">
        <v>26730000</v>
      </c>
      <c r="S724">
        <v>50</v>
      </c>
      <c r="T724">
        <v>534600</v>
      </c>
      <c r="U724">
        <v>1</v>
      </c>
      <c r="V724">
        <v>1</v>
      </c>
      <c r="W724" t="s">
        <v>127</v>
      </c>
      <c r="X724">
        <v>29700</v>
      </c>
      <c r="Y724">
        <v>1443420</v>
      </c>
      <c r="Z724">
        <v>26730000</v>
      </c>
      <c r="AA724">
        <v>534600</v>
      </c>
      <c r="AB724">
        <v>105</v>
      </c>
      <c r="AC724" s="34">
        <v>45985</v>
      </c>
      <c r="AD724" s="34">
        <v>46173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 t="s">
        <v>122</v>
      </c>
      <c r="AT724">
        <v>16038000</v>
      </c>
      <c r="AU724">
        <v>866052</v>
      </c>
      <c r="AV724">
        <v>16038000</v>
      </c>
      <c r="AW724">
        <v>866052</v>
      </c>
    </row>
    <row r="725" spans="1:49" hidden="1" x14ac:dyDescent="0.35">
      <c r="A725">
        <v>5833210</v>
      </c>
      <c r="B725">
        <v>1250005833201</v>
      </c>
      <c r="D725">
        <v>20169818178</v>
      </c>
      <c r="E725" t="s">
        <v>606</v>
      </c>
      <c r="F725" t="s">
        <v>1</v>
      </c>
      <c r="G725" t="s">
        <v>174</v>
      </c>
      <c r="H725" t="s">
        <v>51</v>
      </c>
      <c r="I725">
        <v>5929</v>
      </c>
      <c r="J725">
        <v>3</v>
      </c>
      <c r="K725" t="s">
        <v>32</v>
      </c>
      <c r="L725">
        <v>6435</v>
      </c>
      <c r="M725" t="s">
        <v>175</v>
      </c>
      <c r="N725">
        <v>3</v>
      </c>
      <c r="O725" t="s">
        <v>119</v>
      </c>
      <c r="P725" t="s">
        <v>1183</v>
      </c>
      <c r="Q725">
        <v>1154736</v>
      </c>
      <c r="R725">
        <v>21384000</v>
      </c>
      <c r="S725">
        <v>40</v>
      </c>
      <c r="T725">
        <v>534600</v>
      </c>
      <c r="U725">
        <v>1</v>
      </c>
      <c r="V725">
        <v>1</v>
      </c>
      <c r="W725" t="s">
        <v>127</v>
      </c>
      <c r="X725">
        <v>29700</v>
      </c>
      <c r="Y725">
        <v>1154736</v>
      </c>
      <c r="Z725">
        <v>21384000</v>
      </c>
      <c r="AA725">
        <v>534600</v>
      </c>
      <c r="AB725">
        <v>105</v>
      </c>
      <c r="AC725" s="34">
        <v>45985</v>
      </c>
      <c r="AD725" s="34">
        <v>46173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 t="s">
        <v>122</v>
      </c>
      <c r="AT725">
        <v>12830400</v>
      </c>
      <c r="AU725">
        <v>692841.6</v>
      </c>
      <c r="AV725">
        <v>12830400</v>
      </c>
      <c r="AW725">
        <v>692841.6</v>
      </c>
    </row>
    <row r="726" spans="1:49" hidden="1" x14ac:dyDescent="0.35">
      <c r="A726">
        <v>5833210</v>
      </c>
      <c r="B726">
        <v>1250005833201</v>
      </c>
      <c r="D726">
        <v>20169818178</v>
      </c>
      <c r="E726" t="s">
        <v>606</v>
      </c>
      <c r="F726" t="s">
        <v>1</v>
      </c>
      <c r="G726" t="s">
        <v>174</v>
      </c>
      <c r="H726" t="s">
        <v>51</v>
      </c>
      <c r="I726">
        <v>5929</v>
      </c>
      <c r="J726">
        <v>3</v>
      </c>
      <c r="K726" t="s">
        <v>32</v>
      </c>
      <c r="L726">
        <v>6435</v>
      </c>
      <c r="M726" t="s">
        <v>175</v>
      </c>
      <c r="N726">
        <v>4</v>
      </c>
      <c r="O726" t="s">
        <v>119</v>
      </c>
      <c r="P726" t="s">
        <v>1184</v>
      </c>
      <c r="Q726">
        <v>1732104</v>
      </c>
      <c r="R726">
        <v>32076000</v>
      </c>
      <c r="S726">
        <v>60</v>
      </c>
      <c r="T726">
        <v>534600</v>
      </c>
      <c r="U726">
        <v>1</v>
      </c>
      <c r="V726">
        <v>1</v>
      </c>
      <c r="W726" t="s">
        <v>127</v>
      </c>
      <c r="X726">
        <v>29700</v>
      </c>
      <c r="Y726">
        <v>1732104</v>
      </c>
      <c r="Z726">
        <v>32076000</v>
      </c>
      <c r="AA726">
        <v>534600</v>
      </c>
      <c r="AB726">
        <v>105</v>
      </c>
      <c r="AC726" s="34">
        <v>45985</v>
      </c>
      <c r="AD726" s="34">
        <v>46173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 t="s">
        <v>122</v>
      </c>
      <c r="AT726">
        <v>19245600</v>
      </c>
      <c r="AU726">
        <v>1039262.4</v>
      </c>
      <c r="AV726">
        <v>19245600</v>
      </c>
      <c r="AW726">
        <v>1039262.4</v>
      </c>
    </row>
    <row r="727" spans="1:49" hidden="1" x14ac:dyDescent="0.35">
      <c r="A727">
        <v>5833310</v>
      </c>
      <c r="B727">
        <v>1150005833301</v>
      </c>
      <c r="D727">
        <v>23256118319</v>
      </c>
      <c r="E727" t="s">
        <v>1177</v>
      </c>
      <c r="F727" t="s">
        <v>1</v>
      </c>
      <c r="G727" t="s">
        <v>1178</v>
      </c>
      <c r="H727" t="s">
        <v>51</v>
      </c>
      <c r="I727">
        <v>5935</v>
      </c>
      <c r="J727">
        <v>3</v>
      </c>
      <c r="K727" t="s">
        <v>32</v>
      </c>
      <c r="L727">
        <v>21512</v>
      </c>
      <c r="M727" t="s">
        <v>1179</v>
      </c>
      <c r="N727">
        <v>1</v>
      </c>
      <c r="O727" t="s">
        <v>119</v>
      </c>
      <c r="P727" t="s">
        <v>1185</v>
      </c>
      <c r="Q727">
        <v>302868</v>
      </c>
      <c r="R727">
        <v>8055000</v>
      </c>
      <c r="S727">
        <v>15</v>
      </c>
      <c r="T727">
        <v>537000</v>
      </c>
      <c r="U727">
        <v>1</v>
      </c>
      <c r="V727">
        <v>1</v>
      </c>
      <c r="W727" t="s">
        <v>127</v>
      </c>
      <c r="X727">
        <v>17900</v>
      </c>
      <c r="Y727">
        <v>302868</v>
      </c>
      <c r="Z727">
        <v>8055000</v>
      </c>
      <c r="AA727">
        <v>537000</v>
      </c>
      <c r="AB727">
        <v>105</v>
      </c>
      <c r="AC727" s="34">
        <v>45990</v>
      </c>
      <c r="AD727" s="34">
        <v>46142</v>
      </c>
      <c r="AF727">
        <v>0</v>
      </c>
      <c r="AG727">
        <v>302868</v>
      </c>
      <c r="AH727">
        <v>0</v>
      </c>
      <c r="AI727">
        <v>302868</v>
      </c>
      <c r="AJ727">
        <v>0</v>
      </c>
      <c r="AK727">
        <v>0</v>
      </c>
      <c r="AL727">
        <v>79048.55</v>
      </c>
      <c r="AM727">
        <v>0</v>
      </c>
      <c r="AN727">
        <v>381916.55</v>
      </c>
      <c r="AO727" t="s">
        <v>122</v>
      </c>
      <c r="AP727">
        <v>15</v>
      </c>
      <c r="AQ727">
        <v>45430.2</v>
      </c>
      <c r="AR727">
        <v>45430.2</v>
      </c>
      <c r="AT727">
        <v>4833000</v>
      </c>
      <c r="AU727">
        <v>181720.8</v>
      </c>
      <c r="AV727">
        <v>4833000</v>
      </c>
      <c r="AW727">
        <v>181720.8</v>
      </c>
    </row>
    <row r="728" spans="1:49" hidden="1" x14ac:dyDescent="0.35">
      <c r="A728">
        <v>5833410</v>
      </c>
      <c r="B728">
        <v>1090005833401</v>
      </c>
      <c r="D728">
        <v>23259033349</v>
      </c>
      <c r="E728" t="s">
        <v>932</v>
      </c>
      <c r="F728" t="s">
        <v>1</v>
      </c>
      <c r="G728" t="s">
        <v>395</v>
      </c>
      <c r="H728" t="s">
        <v>56</v>
      </c>
      <c r="I728">
        <v>6380</v>
      </c>
      <c r="J728">
        <v>21</v>
      </c>
      <c r="K728" t="s">
        <v>33</v>
      </c>
      <c r="L728">
        <v>82963</v>
      </c>
      <c r="M728" t="s">
        <v>396</v>
      </c>
      <c r="N728">
        <v>1</v>
      </c>
      <c r="O728" t="s">
        <v>119</v>
      </c>
      <c r="P728" t="s">
        <v>1186</v>
      </c>
      <c r="Q728">
        <v>3250</v>
      </c>
      <c r="R728">
        <v>100000</v>
      </c>
      <c r="S728">
        <v>200</v>
      </c>
      <c r="T728">
        <v>500</v>
      </c>
      <c r="U728">
        <v>26</v>
      </c>
      <c r="V728">
        <v>1455</v>
      </c>
      <c r="W728" t="s">
        <v>121</v>
      </c>
      <c r="X728" t="s">
        <v>1</v>
      </c>
      <c r="Y728">
        <v>4728750</v>
      </c>
      <c r="Z728">
        <v>145500000</v>
      </c>
      <c r="AA728">
        <v>727500</v>
      </c>
      <c r="AB728">
        <v>106</v>
      </c>
      <c r="AC728" s="34">
        <v>45977</v>
      </c>
      <c r="AD728" s="34">
        <v>46173</v>
      </c>
      <c r="AE728" t="s">
        <v>161</v>
      </c>
      <c r="AF728">
        <v>0</v>
      </c>
      <c r="AG728">
        <v>3250</v>
      </c>
      <c r="AH728">
        <v>0</v>
      </c>
      <c r="AI728">
        <v>4728750</v>
      </c>
      <c r="AJ728">
        <v>0</v>
      </c>
      <c r="AK728">
        <v>0</v>
      </c>
      <c r="AL728">
        <v>1186916.25</v>
      </c>
      <c r="AM728">
        <v>0</v>
      </c>
      <c r="AN728">
        <v>5915666.25</v>
      </c>
      <c r="AO728" t="s">
        <v>122</v>
      </c>
      <c r="AP728">
        <v>10</v>
      </c>
      <c r="AQ728">
        <v>325</v>
      </c>
      <c r="AR728">
        <v>472875</v>
      </c>
      <c r="AT728">
        <v>60000</v>
      </c>
      <c r="AU728">
        <v>1950</v>
      </c>
      <c r="AV728">
        <v>87300000</v>
      </c>
      <c r="AW728">
        <v>2837250</v>
      </c>
    </row>
    <row r="729" spans="1:49" hidden="1" x14ac:dyDescent="0.35">
      <c r="A729">
        <v>5833610</v>
      </c>
      <c r="B729">
        <v>1090005833601</v>
      </c>
      <c r="D729">
        <v>23259033349</v>
      </c>
      <c r="E729" t="s">
        <v>932</v>
      </c>
      <c r="F729" t="s">
        <v>1</v>
      </c>
      <c r="G729" t="s">
        <v>395</v>
      </c>
      <c r="H729" t="s">
        <v>56</v>
      </c>
      <c r="I729">
        <v>6380</v>
      </c>
      <c r="J729">
        <v>21</v>
      </c>
      <c r="K729" t="s">
        <v>33</v>
      </c>
      <c r="L729">
        <v>82963</v>
      </c>
      <c r="M729" t="s">
        <v>396</v>
      </c>
      <c r="N729">
        <v>1</v>
      </c>
      <c r="O729" t="s">
        <v>119</v>
      </c>
      <c r="P729" t="s">
        <v>1187</v>
      </c>
      <c r="Q729">
        <v>975</v>
      </c>
      <c r="R729">
        <v>30000</v>
      </c>
      <c r="S729">
        <v>120</v>
      </c>
      <c r="T729">
        <v>250</v>
      </c>
      <c r="U729">
        <v>26</v>
      </c>
      <c r="V729">
        <v>1455</v>
      </c>
      <c r="W729" t="s">
        <v>121</v>
      </c>
      <c r="X729" t="s">
        <v>1</v>
      </c>
      <c r="Y729">
        <v>1418625</v>
      </c>
      <c r="Z729">
        <v>43650000</v>
      </c>
      <c r="AA729">
        <v>363750</v>
      </c>
      <c r="AB729">
        <v>106</v>
      </c>
      <c r="AC729" s="34">
        <v>45980</v>
      </c>
      <c r="AD729" s="34">
        <v>46112</v>
      </c>
      <c r="AE729" t="s">
        <v>161</v>
      </c>
      <c r="AF729">
        <v>0</v>
      </c>
      <c r="AG729">
        <v>975</v>
      </c>
      <c r="AH729">
        <v>0</v>
      </c>
      <c r="AI729">
        <v>1418625</v>
      </c>
      <c r="AJ729">
        <v>0</v>
      </c>
      <c r="AK729">
        <v>0</v>
      </c>
      <c r="AL729">
        <v>356082.15</v>
      </c>
      <c r="AM729">
        <v>0</v>
      </c>
      <c r="AN729">
        <v>1774707.15</v>
      </c>
      <c r="AO729" t="s">
        <v>122</v>
      </c>
      <c r="AP729">
        <v>10</v>
      </c>
      <c r="AQ729">
        <v>97.5</v>
      </c>
      <c r="AR729">
        <v>141862.5</v>
      </c>
      <c r="AT729">
        <v>18000</v>
      </c>
      <c r="AU729">
        <v>585</v>
      </c>
      <c r="AV729">
        <v>26190000</v>
      </c>
      <c r="AW729">
        <v>851175</v>
      </c>
    </row>
    <row r="730" spans="1:49" hidden="1" x14ac:dyDescent="0.35">
      <c r="A730">
        <v>5833710</v>
      </c>
      <c r="B730">
        <v>1090005833701</v>
      </c>
      <c r="D730">
        <v>30717570215</v>
      </c>
      <c r="E730" t="s">
        <v>394</v>
      </c>
      <c r="F730" t="s">
        <v>1</v>
      </c>
      <c r="G730" t="s">
        <v>32</v>
      </c>
      <c r="H730" t="s">
        <v>32</v>
      </c>
      <c r="I730">
        <v>5100</v>
      </c>
      <c r="J730">
        <v>3</v>
      </c>
      <c r="K730" t="s">
        <v>32</v>
      </c>
      <c r="L730">
        <v>82963</v>
      </c>
      <c r="M730" t="s">
        <v>396</v>
      </c>
      <c r="N730">
        <v>1</v>
      </c>
      <c r="O730" t="s">
        <v>119</v>
      </c>
      <c r="P730" t="s">
        <v>1188</v>
      </c>
      <c r="Q730">
        <v>1053000</v>
      </c>
      <c r="R730">
        <v>19500000</v>
      </c>
      <c r="S730">
        <v>65</v>
      </c>
      <c r="T730">
        <v>300000</v>
      </c>
      <c r="U730">
        <v>1</v>
      </c>
      <c r="V730">
        <v>1</v>
      </c>
      <c r="W730" t="s">
        <v>121</v>
      </c>
      <c r="X730" t="s">
        <v>1</v>
      </c>
      <c r="Y730">
        <v>1053000</v>
      </c>
      <c r="Z730">
        <v>19500000</v>
      </c>
      <c r="AA730">
        <v>300000</v>
      </c>
      <c r="AB730">
        <v>105</v>
      </c>
      <c r="AC730" s="34">
        <v>45984</v>
      </c>
      <c r="AD730" s="34">
        <v>46112</v>
      </c>
      <c r="AF730">
        <v>0</v>
      </c>
      <c r="AG730">
        <v>8472600</v>
      </c>
      <c r="AH730">
        <v>0</v>
      </c>
      <c r="AI730">
        <v>8472600</v>
      </c>
      <c r="AJ730">
        <v>0</v>
      </c>
      <c r="AK730">
        <v>0</v>
      </c>
      <c r="AL730">
        <v>2211348.6</v>
      </c>
      <c r="AM730">
        <v>0</v>
      </c>
      <c r="AN730">
        <v>10683948.6</v>
      </c>
      <c r="AO730" t="s">
        <v>122</v>
      </c>
      <c r="AP730">
        <v>15</v>
      </c>
      <c r="AQ730">
        <v>1270890</v>
      </c>
      <c r="AR730">
        <v>1270890</v>
      </c>
      <c r="AT730">
        <v>11700000</v>
      </c>
      <c r="AU730">
        <v>631800</v>
      </c>
      <c r="AV730">
        <v>11700000</v>
      </c>
      <c r="AW730">
        <v>631800</v>
      </c>
    </row>
    <row r="731" spans="1:49" hidden="1" x14ac:dyDescent="0.35">
      <c r="A731">
        <v>5833710</v>
      </c>
      <c r="B731">
        <v>1090005833701</v>
      </c>
      <c r="D731">
        <v>30717570215</v>
      </c>
      <c r="E731" t="s">
        <v>394</v>
      </c>
      <c r="F731" t="s">
        <v>1</v>
      </c>
      <c r="G731" t="s">
        <v>32</v>
      </c>
      <c r="H731" t="s">
        <v>32</v>
      </c>
      <c r="I731">
        <v>5100</v>
      </c>
      <c r="J731">
        <v>3</v>
      </c>
      <c r="K731" t="s">
        <v>32</v>
      </c>
      <c r="L731">
        <v>82963</v>
      </c>
      <c r="M731" t="s">
        <v>396</v>
      </c>
      <c r="N731">
        <v>2</v>
      </c>
      <c r="O731" t="s">
        <v>119</v>
      </c>
      <c r="P731" t="s">
        <v>1189</v>
      </c>
      <c r="Q731">
        <v>1587600</v>
      </c>
      <c r="R731">
        <v>29400000</v>
      </c>
      <c r="S731">
        <v>98</v>
      </c>
      <c r="T731">
        <v>300000</v>
      </c>
      <c r="U731">
        <v>1</v>
      </c>
      <c r="V731">
        <v>1</v>
      </c>
      <c r="W731" t="s">
        <v>121</v>
      </c>
      <c r="X731" t="s">
        <v>1</v>
      </c>
      <c r="Y731">
        <v>1587600</v>
      </c>
      <c r="Z731">
        <v>29400000</v>
      </c>
      <c r="AA731">
        <v>300000</v>
      </c>
      <c r="AB731">
        <v>105</v>
      </c>
      <c r="AC731" s="34">
        <v>45984</v>
      </c>
      <c r="AD731" s="34">
        <v>46112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 t="s">
        <v>122</v>
      </c>
      <c r="AT731">
        <v>17640000</v>
      </c>
      <c r="AU731">
        <v>952560</v>
      </c>
      <c r="AV731">
        <v>17640000</v>
      </c>
      <c r="AW731">
        <v>952560</v>
      </c>
    </row>
    <row r="732" spans="1:49" hidden="1" x14ac:dyDescent="0.35">
      <c r="A732">
        <v>5833710</v>
      </c>
      <c r="B732">
        <v>1090005833701</v>
      </c>
      <c r="D732">
        <v>30717570215</v>
      </c>
      <c r="E732" t="s">
        <v>394</v>
      </c>
      <c r="F732" t="s">
        <v>1</v>
      </c>
      <c r="G732" t="s">
        <v>32</v>
      </c>
      <c r="H732" t="s">
        <v>32</v>
      </c>
      <c r="I732">
        <v>5100</v>
      </c>
      <c r="J732">
        <v>3</v>
      </c>
      <c r="K732" t="s">
        <v>32</v>
      </c>
      <c r="L732">
        <v>82963</v>
      </c>
      <c r="M732" t="s">
        <v>396</v>
      </c>
      <c r="N732">
        <v>3</v>
      </c>
      <c r="O732" t="s">
        <v>119</v>
      </c>
      <c r="P732" t="s">
        <v>1190</v>
      </c>
      <c r="Q732">
        <v>4212000</v>
      </c>
      <c r="R732">
        <v>78000000</v>
      </c>
      <c r="S732">
        <v>130</v>
      </c>
      <c r="T732">
        <v>600000</v>
      </c>
      <c r="U732">
        <v>1</v>
      </c>
      <c r="V732">
        <v>1</v>
      </c>
      <c r="W732" t="s">
        <v>121</v>
      </c>
      <c r="X732" t="s">
        <v>1</v>
      </c>
      <c r="Y732">
        <v>4212000</v>
      </c>
      <c r="Z732">
        <v>78000000</v>
      </c>
      <c r="AA732">
        <v>600000</v>
      </c>
      <c r="AB732">
        <v>105</v>
      </c>
      <c r="AC732" s="34">
        <v>45984</v>
      </c>
      <c r="AD732" s="34">
        <v>46112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 t="s">
        <v>122</v>
      </c>
      <c r="AT732">
        <v>46800000</v>
      </c>
      <c r="AU732">
        <v>2527200</v>
      </c>
      <c r="AV732">
        <v>46800000</v>
      </c>
      <c r="AW732">
        <v>2527200</v>
      </c>
    </row>
    <row r="733" spans="1:49" hidden="1" x14ac:dyDescent="0.35">
      <c r="A733">
        <v>5833710</v>
      </c>
      <c r="B733">
        <v>1090005833701</v>
      </c>
      <c r="D733">
        <v>30717570215</v>
      </c>
      <c r="E733" t="s">
        <v>394</v>
      </c>
      <c r="F733" t="s">
        <v>1</v>
      </c>
      <c r="G733" t="s">
        <v>32</v>
      </c>
      <c r="H733" t="s">
        <v>32</v>
      </c>
      <c r="I733">
        <v>5100</v>
      </c>
      <c r="J733">
        <v>3</v>
      </c>
      <c r="K733" t="s">
        <v>32</v>
      </c>
      <c r="L733">
        <v>82963</v>
      </c>
      <c r="M733" t="s">
        <v>396</v>
      </c>
      <c r="N733">
        <v>4</v>
      </c>
      <c r="O733" t="s">
        <v>119</v>
      </c>
      <c r="P733" t="s">
        <v>1191</v>
      </c>
      <c r="Q733">
        <v>1620000</v>
      </c>
      <c r="R733">
        <v>30000000</v>
      </c>
      <c r="S733">
        <v>100</v>
      </c>
      <c r="T733">
        <v>300000</v>
      </c>
      <c r="U733">
        <v>1</v>
      </c>
      <c r="V733">
        <v>1</v>
      </c>
      <c r="W733" t="s">
        <v>121</v>
      </c>
      <c r="X733" t="s">
        <v>1</v>
      </c>
      <c r="Y733">
        <v>1620000</v>
      </c>
      <c r="Z733">
        <v>30000000</v>
      </c>
      <c r="AA733">
        <v>300000</v>
      </c>
      <c r="AB733">
        <v>105</v>
      </c>
      <c r="AC733" s="34">
        <v>45984</v>
      </c>
      <c r="AD733" s="34">
        <v>46112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 t="s">
        <v>122</v>
      </c>
      <c r="AT733">
        <v>18000000</v>
      </c>
      <c r="AU733">
        <v>972000</v>
      </c>
      <c r="AV733">
        <v>18000000</v>
      </c>
      <c r="AW733">
        <v>972000</v>
      </c>
    </row>
    <row r="734" spans="1:49" hidden="1" x14ac:dyDescent="0.35">
      <c r="A734">
        <v>5833810</v>
      </c>
      <c r="B734">
        <v>1090005833801</v>
      </c>
      <c r="D734">
        <v>30710897871</v>
      </c>
      <c r="E734" t="s">
        <v>425</v>
      </c>
      <c r="F734" t="s">
        <v>1</v>
      </c>
      <c r="G734" t="s">
        <v>568</v>
      </c>
      <c r="H734" t="s">
        <v>57</v>
      </c>
      <c r="I734">
        <v>6360</v>
      </c>
      <c r="J734">
        <v>21</v>
      </c>
      <c r="K734" t="s">
        <v>33</v>
      </c>
      <c r="L734">
        <v>6127</v>
      </c>
      <c r="M734" t="s">
        <v>118</v>
      </c>
      <c r="N734">
        <v>1</v>
      </c>
      <c r="O734" t="s">
        <v>119</v>
      </c>
      <c r="P734" t="s">
        <v>1088</v>
      </c>
      <c r="Q734">
        <v>1644</v>
      </c>
      <c r="R734">
        <v>60000</v>
      </c>
      <c r="S734">
        <v>150</v>
      </c>
      <c r="T734">
        <v>400</v>
      </c>
      <c r="U734">
        <v>26</v>
      </c>
      <c r="V734">
        <v>1455</v>
      </c>
      <c r="W734" t="s">
        <v>121</v>
      </c>
      <c r="X734" t="s">
        <v>1</v>
      </c>
      <c r="Y734">
        <v>2392020</v>
      </c>
      <c r="Z734">
        <v>87300000</v>
      </c>
      <c r="AA734">
        <v>582000</v>
      </c>
      <c r="AB734">
        <v>106</v>
      </c>
      <c r="AC734" s="34">
        <v>45984</v>
      </c>
      <c r="AD734" s="34">
        <v>46173</v>
      </c>
      <c r="AF734">
        <v>0</v>
      </c>
      <c r="AG734">
        <v>3337.6</v>
      </c>
      <c r="AH734">
        <v>0</v>
      </c>
      <c r="AI734">
        <v>4856208</v>
      </c>
      <c r="AJ734">
        <v>0</v>
      </c>
      <c r="AK734">
        <v>0</v>
      </c>
      <c r="AL734">
        <v>1218926.25</v>
      </c>
      <c r="AM734">
        <v>0</v>
      </c>
      <c r="AN734">
        <v>6075134.25</v>
      </c>
      <c r="AO734" t="s">
        <v>122</v>
      </c>
      <c r="AP734">
        <v>12</v>
      </c>
      <c r="AQ734">
        <v>400.51</v>
      </c>
      <c r="AR734">
        <v>582742.05000000005</v>
      </c>
      <c r="AT734">
        <v>36000</v>
      </c>
      <c r="AU734">
        <v>986.4</v>
      </c>
      <c r="AV734">
        <v>52380000</v>
      </c>
      <c r="AW734">
        <v>1435212</v>
      </c>
    </row>
    <row r="735" spans="1:49" hidden="1" x14ac:dyDescent="0.35">
      <c r="A735">
        <v>5833810</v>
      </c>
      <c r="B735">
        <v>1090005833801</v>
      </c>
      <c r="D735">
        <v>30710897871</v>
      </c>
      <c r="E735" t="s">
        <v>425</v>
      </c>
      <c r="F735" t="s">
        <v>1</v>
      </c>
      <c r="G735" t="s">
        <v>680</v>
      </c>
      <c r="H735" t="s">
        <v>55</v>
      </c>
      <c r="I735">
        <v>6220</v>
      </c>
      <c r="J735">
        <v>21</v>
      </c>
      <c r="K735" t="s">
        <v>33</v>
      </c>
      <c r="L735">
        <v>6127</v>
      </c>
      <c r="M735" t="s">
        <v>118</v>
      </c>
      <c r="N735">
        <v>2</v>
      </c>
      <c r="O735" t="s">
        <v>119</v>
      </c>
      <c r="P735" t="s">
        <v>1192</v>
      </c>
      <c r="Q735">
        <v>1693.6</v>
      </c>
      <c r="R735">
        <v>46400</v>
      </c>
      <c r="S735">
        <v>116</v>
      </c>
      <c r="T735">
        <v>400</v>
      </c>
      <c r="U735">
        <v>26</v>
      </c>
      <c r="V735">
        <v>1455</v>
      </c>
      <c r="W735" t="s">
        <v>121</v>
      </c>
      <c r="X735" t="s">
        <v>1</v>
      </c>
      <c r="Y735">
        <v>2464188</v>
      </c>
      <c r="Z735">
        <v>67512000</v>
      </c>
      <c r="AA735">
        <v>582000</v>
      </c>
      <c r="AB735">
        <v>106</v>
      </c>
      <c r="AC735" s="34">
        <v>45984</v>
      </c>
      <c r="AD735" s="34">
        <v>46173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 t="s">
        <v>122</v>
      </c>
      <c r="AT735">
        <v>27840</v>
      </c>
      <c r="AU735">
        <v>1016.16</v>
      </c>
      <c r="AV735">
        <v>40507200</v>
      </c>
      <c r="AW735">
        <v>1478512.8</v>
      </c>
    </row>
    <row r="736" spans="1:49" hidden="1" x14ac:dyDescent="0.35">
      <c r="A736">
        <v>5834010</v>
      </c>
      <c r="B736">
        <v>1090005834001</v>
      </c>
      <c r="D736">
        <v>30710897871</v>
      </c>
      <c r="E736" t="s">
        <v>425</v>
      </c>
      <c r="F736" t="s">
        <v>1</v>
      </c>
      <c r="G736" t="s">
        <v>568</v>
      </c>
      <c r="H736" t="s">
        <v>57</v>
      </c>
      <c r="I736">
        <v>6360</v>
      </c>
      <c r="J736">
        <v>21</v>
      </c>
      <c r="K736" t="s">
        <v>33</v>
      </c>
      <c r="L736">
        <v>6127</v>
      </c>
      <c r="M736" t="s">
        <v>118</v>
      </c>
      <c r="N736">
        <v>1</v>
      </c>
      <c r="O736" t="s">
        <v>119</v>
      </c>
      <c r="P736" t="s">
        <v>1090</v>
      </c>
      <c r="Q736">
        <v>1457.68</v>
      </c>
      <c r="R736">
        <v>54800</v>
      </c>
      <c r="S736">
        <v>137</v>
      </c>
      <c r="T736">
        <v>400</v>
      </c>
      <c r="U736">
        <v>26</v>
      </c>
      <c r="V736">
        <v>1455</v>
      </c>
      <c r="W736" t="s">
        <v>121</v>
      </c>
      <c r="X736" t="s">
        <v>1</v>
      </c>
      <c r="Y736">
        <v>2120924.4</v>
      </c>
      <c r="Z736">
        <v>79734000</v>
      </c>
      <c r="AA736">
        <v>582000</v>
      </c>
      <c r="AB736">
        <v>210</v>
      </c>
      <c r="AC736" s="34">
        <v>45984</v>
      </c>
      <c r="AD736" s="34">
        <v>46142</v>
      </c>
      <c r="AF736">
        <v>0</v>
      </c>
      <c r="AG736">
        <v>2947.28</v>
      </c>
      <c r="AH736">
        <v>0</v>
      </c>
      <c r="AI736">
        <v>4288292.4000000004</v>
      </c>
      <c r="AJ736">
        <v>0</v>
      </c>
      <c r="AK736">
        <v>0</v>
      </c>
      <c r="AL736">
        <v>1076365.3500000001</v>
      </c>
      <c r="AM736">
        <v>0</v>
      </c>
      <c r="AN736">
        <v>5364657.75</v>
      </c>
      <c r="AO736" t="s">
        <v>122</v>
      </c>
      <c r="AP736">
        <v>12</v>
      </c>
      <c r="AQ736">
        <v>353.67</v>
      </c>
      <c r="AR736">
        <v>514589.85</v>
      </c>
      <c r="AT736">
        <v>32880</v>
      </c>
      <c r="AU736">
        <v>874.61</v>
      </c>
      <c r="AV736">
        <v>47840400</v>
      </c>
      <c r="AW736">
        <v>1272557.55</v>
      </c>
    </row>
    <row r="737" spans="1:49" hidden="1" x14ac:dyDescent="0.35">
      <c r="A737">
        <v>5834010</v>
      </c>
      <c r="B737">
        <v>1090005834001</v>
      </c>
      <c r="D737">
        <v>30710897871</v>
      </c>
      <c r="E737" t="s">
        <v>425</v>
      </c>
      <c r="F737" t="s">
        <v>1</v>
      </c>
      <c r="G737" t="s">
        <v>370</v>
      </c>
      <c r="H737" t="s">
        <v>58</v>
      </c>
      <c r="I737">
        <v>6333</v>
      </c>
      <c r="J737">
        <v>21</v>
      </c>
      <c r="K737" t="s">
        <v>33</v>
      </c>
      <c r="L737">
        <v>6127</v>
      </c>
      <c r="M737" t="s">
        <v>118</v>
      </c>
      <c r="N737">
        <v>2</v>
      </c>
      <c r="O737" t="s">
        <v>119</v>
      </c>
      <c r="P737" t="s">
        <v>1091</v>
      </c>
      <c r="Q737">
        <v>744.8</v>
      </c>
      <c r="R737">
        <v>28000</v>
      </c>
      <c r="S737">
        <v>70</v>
      </c>
      <c r="T737">
        <v>400</v>
      </c>
      <c r="U737">
        <v>26</v>
      </c>
      <c r="V737">
        <v>1455</v>
      </c>
      <c r="W737" t="s">
        <v>121</v>
      </c>
      <c r="X737" t="s">
        <v>1</v>
      </c>
      <c r="Y737">
        <v>1083684</v>
      </c>
      <c r="Z737">
        <v>40740000</v>
      </c>
      <c r="AA737">
        <v>582000</v>
      </c>
      <c r="AB737">
        <v>210</v>
      </c>
      <c r="AC737" s="34">
        <v>45984</v>
      </c>
      <c r="AD737" s="34">
        <v>46142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 t="s">
        <v>122</v>
      </c>
      <c r="AT737">
        <v>16800</v>
      </c>
      <c r="AU737">
        <v>446.88</v>
      </c>
      <c r="AV737">
        <v>24444000</v>
      </c>
      <c r="AW737">
        <v>650210.4</v>
      </c>
    </row>
    <row r="738" spans="1:49" hidden="1" x14ac:dyDescent="0.35">
      <c r="A738">
        <v>5834010</v>
      </c>
      <c r="B738">
        <v>1090005834001</v>
      </c>
      <c r="D738">
        <v>30710897871</v>
      </c>
      <c r="E738" t="s">
        <v>425</v>
      </c>
      <c r="F738" t="s">
        <v>1</v>
      </c>
      <c r="G738" t="s">
        <v>370</v>
      </c>
      <c r="H738" t="s">
        <v>58</v>
      </c>
      <c r="I738">
        <v>6333</v>
      </c>
      <c r="J738">
        <v>21</v>
      </c>
      <c r="K738" t="s">
        <v>33</v>
      </c>
      <c r="L738">
        <v>6127</v>
      </c>
      <c r="M738" t="s">
        <v>118</v>
      </c>
      <c r="N738">
        <v>3</v>
      </c>
      <c r="O738" t="s">
        <v>119</v>
      </c>
      <c r="P738" t="s">
        <v>1092</v>
      </c>
      <c r="Q738">
        <v>744.8</v>
      </c>
      <c r="R738">
        <v>28000</v>
      </c>
      <c r="S738">
        <v>70</v>
      </c>
      <c r="T738">
        <v>400</v>
      </c>
      <c r="U738">
        <v>26</v>
      </c>
      <c r="V738">
        <v>1455</v>
      </c>
      <c r="W738" t="s">
        <v>121</v>
      </c>
      <c r="X738" t="s">
        <v>1</v>
      </c>
      <c r="Y738">
        <v>1083684</v>
      </c>
      <c r="Z738">
        <v>40740000</v>
      </c>
      <c r="AA738">
        <v>582000</v>
      </c>
      <c r="AB738">
        <v>210</v>
      </c>
      <c r="AC738" s="34">
        <v>45984</v>
      </c>
      <c r="AD738" s="34">
        <v>46142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 t="s">
        <v>122</v>
      </c>
      <c r="AT738">
        <v>16800</v>
      </c>
      <c r="AU738">
        <v>446.88</v>
      </c>
      <c r="AV738">
        <v>24444000</v>
      </c>
      <c r="AW738">
        <v>650210.4</v>
      </c>
    </row>
    <row r="739" spans="1:49" hidden="1" x14ac:dyDescent="0.35">
      <c r="A739">
        <v>5834110</v>
      </c>
      <c r="B739">
        <v>1090005834101</v>
      </c>
      <c r="D739">
        <v>30710897871</v>
      </c>
      <c r="E739" t="s">
        <v>425</v>
      </c>
      <c r="F739" t="s">
        <v>1</v>
      </c>
      <c r="G739" t="s">
        <v>412</v>
      </c>
      <c r="H739" t="s">
        <v>412</v>
      </c>
      <c r="I739">
        <v>6369</v>
      </c>
      <c r="J739">
        <v>21</v>
      </c>
      <c r="K739" t="s">
        <v>33</v>
      </c>
      <c r="L739">
        <v>6127</v>
      </c>
      <c r="M739" t="s">
        <v>118</v>
      </c>
      <c r="N739">
        <v>1</v>
      </c>
      <c r="O739" t="s">
        <v>119</v>
      </c>
      <c r="P739" t="s">
        <v>1193</v>
      </c>
      <c r="Q739">
        <v>2457</v>
      </c>
      <c r="R739">
        <v>63000</v>
      </c>
      <c r="S739">
        <v>210</v>
      </c>
      <c r="T739">
        <v>300</v>
      </c>
      <c r="U739">
        <v>26</v>
      </c>
      <c r="V739">
        <v>1455</v>
      </c>
      <c r="W739" t="s">
        <v>121</v>
      </c>
      <c r="X739" t="s">
        <v>1</v>
      </c>
      <c r="Y739">
        <v>3574935</v>
      </c>
      <c r="Z739">
        <v>91665000</v>
      </c>
      <c r="AA739">
        <v>436500</v>
      </c>
      <c r="AB739">
        <v>211</v>
      </c>
      <c r="AC739" s="34">
        <v>45984</v>
      </c>
      <c r="AD739" s="34">
        <v>46112</v>
      </c>
      <c r="AF739">
        <v>1</v>
      </c>
      <c r="AG739">
        <v>2843.1</v>
      </c>
      <c r="AH739">
        <v>0</v>
      </c>
      <c r="AI739">
        <v>4136710.5</v>
      </c>
      <c r="AJ739">
        <v>0</v>
      </c>
      <c r="AK739">
        <v>0</v>
      </c>
      <c r="AL739">
        <v>1038317.1</v>
      </c>
      <c r="AM739">
        <v>0</v>
      </c>
      <c r="AN739">
        <v>5175027.5999999996</v>
      </c>
      <c r="AO739" t="s">
        <v>122</v>
      </c>
      <c r="AP739">
        <v>12</v>
      </c>
      <c r="AQ739">
        <v>341.17</v>
      </c>
      <c r="AR739">
        <v>496402.35</v>
      </c>
      <c r="AT739">
        <v>37800</v>
      </c>
      <c r="AU739">
        <v>1474.2</v>
      </c>
      <c r="AV739">
        <v>54999000</v>
      </c>
      <c r="AW739">
        <v>2144961</v>
      </c>
    </row>
    <row r="740" spans="1:49" hidden="1" x14ac:dyDescent="0.35">
      <c r="A740">
        <v>5834110</v>
      </c>
      <c r="B740">
        <v>1090005834101</v>
      </c>
      <c r="D740">
        <v>30710897871</v>
      </c>
      <c r="E740" t="s">
        <v>425</v>
      </c>
      <c r="F740" t="s">
        <v>1</v>
      </c>
      <c r="G740" t="s">
        <v>1086</v>
      </c>
      <c r="H740" t="s">
        <v>55</v>
      </c>
      <c r="I740">
        <v>6365</v>
      </c>
      <c r="J740">
        <v>21</v>
      </c>
      <c r="K740" t="s">
        <v>33</v>
      </c>
      <c r="L740">
        <v>6127</v>
      </c>
      <c r="M740" t="s">
        <v>118</v>
      </c>
      <c r="N740">
        <v>2</v>
      </c>
      <c r="O740" t="s">
        <v>119</v>
      </c>
      <c r="P740" t="s">
        <v>1194</v>
      </c>
      <c r="Q740">
        <v>386.1</v>
      </c>
      <c r="R740">
        <v>9900</v>
      </c>
      <c r="S740">
        <v>33</v>
      </c>
      <c r="T740">
        <v>300</v>
      </c>
      <c r="U740">
        <v>26</v>
      </c>
      <c r="V740">
        <v>1455</v>
      </c>
      <c r="W740" t="s">
        <v>121</v>
      </c>
      <c r="X740" t="s">
        <v>1</v>
      </c>
      <c r="Y740">
        <v>561775.5</v>
      </c>
      <c r="Z740">
        <v>14404500</v>
      </c>
      <c r="AA740">
        <v>436500</v>
      </c>
      <c r="AB740">
        <v>211</v>
      </c>
      <c r="AC740" s="34">
        <v>45984</v>
      </c>
      <c r="AD740" s="34">
        <v>46112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 t="s">
        <v>122</v>
      </c>
      <c r="AT740">
        <v>5940</v>
      </c>
      <c r="AU740">
        <v>231.66</v>
      </c>
      <c r="AV740">
        <v>8642700</v>
      </c>
      <c r="AW740">
        <v>337065.3</v>
      </c>
    </row>
    <row r="741" spans="1:49" hidden="1" x14ac:dyDescent="0.35">
      <c r="A741">
        <v>5834210</v>
      </c>
      <c r="B741">
        <v>1090005834201</v>
      </c>
      <c r="D741">
        <v>30713974400</v>
      </c>
      <c r="E741" t="s">
        <v>117</v>
      </c>
      <c r="F741" t="s">
        <v>1</v>
      </c>
      <c r="G741" t="s">
        <v>1086</v>
      </c>
      <c r="H741" t="s">
        <v>55</v>
      </c>
      <c r="I741">
        <v>6365</v>
      </c>
      <c r="J741">
        <v>21</v>
      </c>
      <c r="K741" t="s">
        <v>33</v>
      </c>
      <c r="L741">
        <v>6127</v>
      </c>
      <c r="M741" t="s">
        <v>118</v>
      </c>
      <c r="N741">
        <v>1</v>
      </c>
      <c r="O741" t="s">
        <v>119</v>
      </c>
      <c r="P741" t="s">
        <v>1195</v>
      </c>
      <c r="Q741">
        <v>1478.4</v>
      </c>
      <c r="R741">
        <v>42000</v>
      </c>
      <c r="S741">
        <v>120</v>
      </c>
      <c r="T741">
        <v>350</v>
      </c>
      <c r="U741">
        <v>26</v>
      </c>
      <c r="V741">
        <v>1453</v>
      </c>
      <c r="W741" t="s">
        <v>121</v>
      </c>
      <c r="X741" t="s">
        <v>1</v>
      </c>
      <c r="Y741">
        <v>2148115.2000000002</v>
      </c>
      <c r="Z741">
        <v>61026000</v>
      </c>
      <c r="AA741">
        <v>508550</v>
      </c>
      <c r="AB741">
        <v>106</v>
      </c>
      <c r="AC741" s="34">
        <v>45984</v>
      </c>
      <c r="AD741" s="34">
        <v>46203</v>
      </c>
      <c r="AE741" t="s">
        <v>161</v>
      </c>
      <c r="AF741">
        <v>0</v>
      </c>
      <c r="AG741">
        <v>1478.4</v>
      </c>
      <c r="AH741">
        <v>0</v>
      </c>
      <c r="AI741">
        <v>2148115.2000000002</v>
      </c>
      <c r="AJ741">
        <v>0</v>
      </c>
      <c r="AK741">
        <v>0</v>
      </c>
      <c r="AL741">
        <v>539164.71</v>
      </c>
      <c r="AM741">
        <v>0</v>
      </c>
      <c r="AN741">
        <v>2687279.91</v>
      </c>
      <c r="AO741" t="s">
        <v>122</v>
      </c>
      <c r="AP741">
        <v>10</v>
      </c>
      <c r="AQ741">
        <v>147.84</v>
      </c>
      <c r="AR741">
        <v>214811.51999999999</v>
      </c>
      <c r="AT741">
        <v>25200</v>
      </c>
      <c r="AU741">
        <v>887.04</v>
      </c>
      <c r="AV741">
        <v>36615600</v>
      </c>
      <c r="AW741">
        <v>1288869.1200000001</v>
      </c>
    </row>
    <row r="742" spans="1:49" hidden="1" x14ac:dyDescent="0.35">
      <c r="A742">
        <v>5834310</v>
      </c>
      <c r="B742">
        <v>1090005834301</v>
      </c>
      <c r="D742">
        <v>30685141694</v>
      </c>
      <c r="E742" t="s">
        <v>946</v>
      </c>
      <c r="F742" t="s">
        <v>1</v>
      </c>
      <c r="G742" t="s">
        <v>56</v>
      </c>
      <c r="H742" t="s">
        <v>56</v>
      </c>
      <c r="I742">
        <v>6381</v>
      </c>
      <c r="J742">
        <v>21</v>
      </c>
      <c r="K742" t="s">
        <v>33</v>
      </c>
      <c r="L742">
        <v>6127</v>
      </c>
      <c r="M742" t="s">
        <v>118</v>
      </c>
      <c r="N742">
        <v>1</v>
      </c>
      <c r="O742" t="s">
        <v>119</v>
      </c>
      <c r="P742" t="s">
        <v>1148</v>
      </c>
      <c r="Q742">
        <v>1509.88</v>
      </c>
      <c r="R742">
        <v>58750</v>
      </c>
      <c r="S742">
        <v>235</v>
      </c>
      <c r="T742">
        <v>250</v>
      </c>
      <c r="U742">
        <v>26</v>
      </c>
      <c r="V742">
        <v>1453</v>
      </c>
      <c r="W742" t="s">
        <v>121</v>
      </c>
      <c r="X742" t="s">
        <v>1</v>
      </c>
      <c r="Y742">
        <v>2193855.64</v>
      </c>
      <c r="Z742">
        <v>85363750</v>
      </c>
      <c r="AA742">
        <v>363250</v>
      </c>
      <c r="AB742">
        <v>106</v>
      </c>
      <c r="AC742" s="34">
        <v>45983</v>
      </c>
      <c r="AD742" s="34">
        <v>46173</v>
      </c>
      <c r="AF742">
        <v>1</v>
      </c>
      <c r="AG742">
        <v>3013.33</v>
      </c>
      <c r="AH742">
        <v>0</v>
      </c>
      <c r="AI742">
        <v>4378368.49</v>
      </c>
      <c r="AJ742">
        <v>0</v>
      </c>
      <c r="AK742">
        <v>0</v>
      </c>
      <c r="AL742">
        <v>967625.35</v>
      </c>
      <c r="AM742">
        <v>0</v>
      </c>
      <c r="AN742">
        <v>5345993.84</v>
      </c>
      <c r="AO742" t="s">
        <v>122</v>
      </c>
      <c r="AP742">
        <v>12</v>
      </c>
      <c r="AQ742">
        <v>361.6</v>
      </c>
      <c r="AR742">
        <v>525404.80000000005</v>
      </c>
      <c r="AT742">
        <v>35250</v>
      </c>
      <c r="AU742">
        <v>905.93</v>
      </c>
      <c r="AV742">
        <v>51218250</v>
      </c>
      <c r="AW742">
        <v>1316316.29</v>
      </c>
    </row>
    <row r="743" spans="1:49" hidden="1" x14ac:dyDescent="0.35">
      <c r="A743">
        <v>5834310</v>
      </c>
      <c r="B743">
        <v>1090005834301</v>
      </c>
      <c r="D743">
        <v>30685141694</v>
      </c>
      <c r="E743" t="s">
        <v>946</v>
      </c>
      <c r="F743" t="s">
        <v>1</v>
      </c>
      <c r="G743" t="s">
        <v>56</v>
      </c>
      <c r="H743" t="s">
        <v>56</v>
      </c>
      <c r="I743">
        <v>6381</v>
      </c>
      <c r="J743">
        <v>21</v>
      </c>
      <c r="K743" t="s">
        <v>33</v>
      </c>
      <c r="L743">
        <v>6127</v>
      </c>
      <c r="M743" t="s">
        <v>118</v>
      </c>
      <c r="N743">
        <v>2</v>
      </c>
      <c r="O743" t="s">
        <v>119</v>
      </c>
      <c r="P743" t="s">
        <v>1149</v>
      </c>
      <c r="Q743">
        <v>1503.45</v>
      </c>
      <c r="R743">
        <v>58500</v>
      </c>
      <c r="S743">
        <v>300</v>
      </c>
      <c r="T743">
        <v>195</v>
      </c>
      <c r="U743">
        <v>26</v>
      </c>
      <c r="V743">
        <v>1453</v>
      </c>
      <c r="W743" t="s">
        <v>121</v>
      </c>
      <c r="X743" t="s">
        <v>1</v>
      </c>
      <c r="Y743">
        <v>2184512.85</v>
      </c>
      <c r="Z743">
        <v>85000500</v>
      </c>
      <c r="AA743">
        <v>283335</v>
      </c>
      <c r="AB743">
        <v>106</v>
      </c>
      <c r="AC743" s="34">
        <v>45983</v>
      </c>
      <c r="AD743" s="34">
        <v>46173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 t="s">
        <v>122</v>
      </c>
      <c r="AT743">
        <v>35100</v>
      </c>
      <c r="AU743">
        <v>902.07</v>
      </c>
      <c r="AV743">
        <v>51000300</v>
      </c>
      <c r="AW743">
        <v>1310707.71</v>
      </c>
    </row>
    <row r="744" spans="1:49" hidden="1" x14ac:dyDescent="0.35">
      <c r="A744">
        <v>5834410</v>
      </c>
      <c r="B744">
        <v>1150005834401</v>
      </c>
      <c r="D744">
        <v>20250426578</v>
      </c>
      <c r="E744" t="s">
        <v>1196</v>
      </c>
      <c r="F744" t="s">
        <v>1</v>
      </c>
      <c r="G744" t="s">
        <v>901</v>
      </c>
      <c r="H744" t="s">
        <v>50</v>
      </c>
      <c r="I744">
        <v>5949</v>
      </c>
      <c r="J744">
        <v>3</v>
      </c>
      <c r="K744" t="s">
        <v>32</v>
      </c>
      <c r="L744">
        <v>9262</v>
      </c>
      <c r="M744" t="s">
        <v>183</v>
      </c>
      <c r="N744">
        <v>1</v>
      </c>
      <c r="O744" t="s">
        <v>119</v>
      </c>
      <c r="P744" t="s">
        <v>1197</v>
      </c>
      <c r="Q744">
        <v>1708148.75</v>
      </c>
      <c r="R744">
        <v>61666020</v>
      </c>
      <c r="S744">
        <v>114</v>
      </c>
      <c r="T744">
        <v>540930</v>
      </c>
      <c r="U744">
        <v>1</v>
      </c>
      <c r="V744">
        <v>1</v>
      </c>
      <c r="W744" t="s">
        <v>127</v>
      </c>
      <c r="X744">
        <v>54093</v>
      </c>
      <c r="Y744">
        <v>1708148.75</v>
      </c>
      <c r="Z744">
        <v>61666020</v>
      </c>
      <c r="AA744">
        <v>540930</v>
      </c>
      <c r="AB744">
        <v>105</v>
      </c>
      <c r="AC744" s="34">
        <v>45986</v>
      </c>
      <c r="AD744" s="34">
        <v>46112</v>
      </c>
      <c r="AF744">
        <v>0</v>
      </c>
      <c r="AG744">
        <v>1708148.75</v>
      </c>
      <c r="AH744">
        <v>0</v>
      </c>
      <c r="AI744">
        <v>1708148.75</v>
      </c>
      <c r="AJ744">
        <v>0</v>
      </c>
      <c r="AK744">
        <v>0</v>
      </c>
      <c r="AL744">
        <v>445826.82</v>
      </c>
      <c r="AM744">
        <v>0</v>
      </c>
      <c r="AN744">
        <v>2153975.5699999998</v>
      </c>
      <c r="AO744" t="s">
        <v>122</v>
      </c>
      <c r="AP744">
        <v>15</v>
      </c>
      <c r="AQ744">
        <v>256222.31</v>
      </c>
      <c r="AR744">
        <v>256222.31</v>
      </c>
      <c r="AT744">
        <v>36999612</v>
      </c>
      <c r="AU744">
        <v>1024889.25</v>
      </c>
      <c r="AV744">
        <v>36999612</v>
      </c>
      <c r="AW744">
        <v>1024889.25</v>
      </c>
    </row>
    <row r="745" spans="1:49" hidden="1" x14ac:dyDescent="0.35">
      <c r="A745">
        <v>5834510</v>
      </c>
      <c r="B745">
        <v>1090005834501</v>
      </c>
      <c r="D745">
        <v>20173422785</v>
      </c>
      <c r="E745" t="s">
        <v>679</v>
      </c>
      <c r="F745" t="s">
        <v>1</v>
      </c>
      <c r="G745" t="s">
        <v>1086</v>
      </c>
      <c r="H745" t="s">
        <v>55</v>
      </c>
      <c r="I745">
        <v>6365</v>
      </c>
      <c r="J745">
        <v>21</v>
      </c>
      <c r="K745" t="s">
        <v>33</v>
      </c>
      <c r="L745">
        <v>6127</v>
      </c>
      <c r="M745" t="s">
        <v>118</v>
      </c>
      <c r="N745">
        <v>1</v>
      </c>
      <c r="O745" t="s">
        <v>119</v>
      </c>
      <c r="P745" t="s">
        <v>1198</v>
      </c>
      <c r="Q745">
        <v>2190</v>
      </c>
      <c r="R745">
        <v>60000</v>
      </c>
      <c r="S745">
        <v>100</v>
      </c>
      <c r="T745">
        <v>600</v>
      </c>
      <c r="U745">
        <v>26</v>
      </c>
      <c r="V745">
        <v>1453</v>
      </c>
      <c r="W745" t="s">
        <v>121</v>
      </c>
      <c r="X745" t="s">
        <v>1</v>
      </c>
      <c r="Y745">
        <v>3182070</v>
      </c>
      <c r="Z745">
        <v>87180000</v>
      </c>
      <c r="AA745">
        <v>871800</v>
      </c>
      <c r="AB745">
        <v>106</v>
      </c>
      <c r="AC745" s="34">
        <v>45991</v>
      </c>
      <c r="AD745" s="34">
        <v>46173</v>
      </c>
      <c r="AF745">
        <v>0</v>
      </c>
      <c r="AG745">
        <v>2190</v>
      </c>
      <c r="AH745">
        <v>0</v>
      </c>
      <c r="AI745">
        <v>3182070</v>
      </c>
      <c r="AJ745">
        <v>0</v>
      </c>
      <c r="AK745">
        <v>0</v>
      </c>
      <c r="AL745">
        <v>798699.57</v>
      </c>
      <c r="AM745">
        <v>0</v>
      </c>
      <c r="AN745">
        <v>3980769.57</v>
      </c>
      <c r="AO745" t="s">
        <v>122</v>
      </c>
      <c r="AP745">
        <v>12</v>
      </c>
      <c r="AQ745">
        <v>262.8</v>
      </c>
      <c r="AR745">
        <v>381848.4</v>
      </c>
      <c r="AT745">
        <v>36000</v>
      </c>
      <c r="AU745">
        <v>1314</v>
      </c>
      <c r="AV745">
        <v>52308000</v>
      </c>
      <c r="AW745">
        <v>1909242</v>
      </c>
    </row>
    <row r="746" spans="1:49" hidden="1" x14ac:dyDescent="0.35">
      <c r="A746">
        <v>5834610</v>
      </c>
      <c r="B746">
        <v>1250005834601</v>
      </c>
      <c r="D746">
        <v>20065967597</v>
      </c>
      <c r="E746" t="s">
        <v>1199</v>
      </c>
      <c r="F746" t="s">
        <v>1</v>
      </c>
      <c r="G746" t="s">
        <v>979</v>
      </c>
      <c r="H746" t="s">
        <v>51</v>
      </c>
      <c r="I746">
        <v>5933</v>
      </c>
      <c r="J746">
        <v>3</v>
      </c>
      <c r="K746" t="s">
        <v>32</v>
      </c>
      <c r="L746">
        <v>6435</v>
      </c>
      <c r="M746" t="s">
        <v>175</v>
      </c>
      <c r="N746">
        <v>1</v>
      </c>
      <c r="O746" t="s">
        <v>119</v>
      </c>
      <c r="P746" t="s">
        <v>1200</v>
      </c>
      <c r="Q746">
        <v>5517072</v>
      </c>
      <c r="R746">
        <v>102168000</v>
      </c>
      <c r="S746">
        <v>172</v>
      </c>
      <c r="T746">
        <v>594000</v>
      </c>
      <c r="U746">
        <v>1</v>
      </c>
      <c r="V746">
        <v>1</v>
      </c>
      <c r="W746" t="s">
        <v>127</v>
      </c>
      <c r="X746">
        <v>29700</v>
      </c>
      <c r="Y746">
        <v>5517072</v>
      </c>
      <c r="Z746">
        <v>102168000</v>
      </c>
      <c r="AA746">
        <v>594000</v>
      </c>
      <c r="AB746">
        <v>105</v>
      </c>
      <c r="AC746" s="34">
        <v>45991</v>
      </c>
      <c r="AD746" s="34">
        <v>46173</v>
      </c>
      <c r="AF746">
        <v>1</v>
      </c>
      <c r="AG746">
        <v>5517072</v>
      </c>
      <c r="AH746">
        <v>0</v>
      </c>
      <c r="AI746">
        <v>5517072</v>
      </c>
      <c r="AJ746">
        <v>0</v>
      </c>
      <c r="AK746">
        <v>0</v>
      </c>
      <c r="AL746">
        <v>1439955.79</v>
      </c>
      <c r="AM746">
        <v>0</v>
      </c>
      <c r="AN746">
        <v>6957027.79</v>
      </c>
      <c r="AO746" t="s">
        <v>122</v>
      </c>
      <c r="AP746">
        <v>15</v>
      </c>
      <c r="AQ746">
        <v>827560.8</v>
      </c>
      <c r="AR746">
        <v>827560.8</v>
      </c>
      <c r="AT746">
        <v>61300800</v>
      </c>
      <c r="AU746">
        <v>3310243.2</v>
      </c>
      <c r="AV746">
        <v>61300800</v>
      </c>
      <c r="AW746">
        <v>3310243.2</v>
      </c>
    </row>
    <row r="747" spans="1:49" hidden="1" x14ac:dyDescent="0.35">
      <c r="A747">
        <v>5834710</v>
      </c>
      <c r="B747">
        <v>1250005834701</v>
      </c>
      <c r="D747">
        <v>20065967597</v>
      </c>
      <c r="E747" t="s">
        <v>1199</v>
      </c>
      <c r="F747" t="s">
        <v>1</v>
      </c>
      <c r="G747" t="s">
        <v>979</v>
      </c>
      <c r="H747" t="s">
        <v>51</v>
      </c>
      <c r="I747">
        <v>5933</v>
      </c>
      <c r="J747">
        <v>3</v>
      </c>
      <c r="K747" t="s">
        <v>32</v>
      </c>
      <c r="L747">
        <v>6435</v>
      </c>
      <c r="M747" t="s">
        <v>175</v>
      </c>
      <c r="N747">
        <v>1</v>
      </c>
      <c r="O747" t="s">
        <v>119</v>
      </c>
      <c r="P747" t="s">
        <v>1201</v>
      </c>
      <c r="Q747">
        <v>2236694.5</v>
      </c>
      <c r="R747">
        <v>59965000</v>
      </c>
      <c r="S747">
        <v>67</v>
      </c>
      <c r="T747">
        <v>895000</v>
      </c>
      <c r="U747">
        <v>1</v>
      </c>
      <c r="V747">
        <v>1</v>
      </c>
      <c r="W747" t="s">
        <v>127</v>
      </c>
      <c r="X747">
        <v>17900</v>
      </c>
      <c r="Y747">
        <v>2236694.5</v>
      </c>
      <c r="Z747">
        <v>59965000</v>
      </c>
      <c r="AA747">
        <v>895000</v>
      </c>
      <c r="AB747">
        <v>105</v>
      </c>
      <c r="AC747" s="34">
        <v>45991</v>
      </c>
      <c r="AD747" s="34">
        <v>46142</v>
      </c>
      <c r="AF747">
        <v>0</v>
      </c>
      <c r="AG747">
        <v>2236694.5</v>
      </c>
      <c r="AH747">
        <v>0</v>
      </c>
      <c r="AI747">
        <v>2236694.5</v>
      </c>
      <c r="AJ747">
        <v>0</v>
      </c>
      <c r="AK747">
        <v>0</v>
      </c>
      <c r="AL747">
        <v>583777.28000000003</v>
      </c>
      <c r="AM747">
        <v>0</v>
      </c>
      <c r="AN747">
        <v>2820471.78</v>
      </c>
      <c r="AO747" t="s">
        <v>122</v>
      </c>
      <c r="AP747">
        <v>15</v>
      </c>
      <c r="AQ747">
        <v>335504.18</v>
      </c>
      <c r="AR747">
        <v>335504.18</v>
      </c>
      <c r="AT747">
        <v>35979000</v>
      </c>
      <c r="AU747">
        <v>1342016.7</v>
      </c>
      <c r="AV747">
        <v>35979000</v>
      </c>
      <c r="AW747">
        <v>1342016.7</v>
      </c>
    </row>
    <row r="748" spans="1:49" hidden="1" x14ac:dyDescent="0.35">
      <c r="A748">
        <v>5834810</v>
      </c>
      <c r="B748">
        <v>1090005834801</v>
      </c>
      <c r="D748">
        <v>23259033349</v>
      </c>
      <c r="E748" t="s">
        <v>932</v>
      </c>
      <c r="F748" t="s">
        <v>1</v>
      </c>
      <c r="G748" t="s">
        <v>395</v>
      </c>
      <c r="H748" t="s">
        <v>56</v>
      </c>
      <c r="I748">
        <v>6380</v>
      </c>
      <c r="J748">
        <v>21</v>
      </c>
      <c r="K748" t="s">
        <v>33</v>
      </c>
      <c r="L748">
        <v>82963</v>
      </c>
      <c r="M748" t="s">
        <v>396</v>
      </c>
      <c r="N748">
        <v>1</v>
      </c>
      <c r="O748" t="s">
        <v>119</v>
      </c>
      <c r="P748" t="s">
        <v>1202</v>
      </c>
      <c r="Q748">
        <v>1300</v>
      </c>
      <c r="R748">
        <v>40000</v>
      </c>
      <c r="S748">
        <v>80</v>
      </c>
      <c r="T748">
        <v>500</v>
      </c>
      <c r="U748">
        <v>26</v>
      </c>
      <c r="V748">
        <v>1453</v>
      </c>
      <c r="W748" t="s">
        <v>121</v>
      </c>
      <c r="X748" t="s">
        <v>1</v>
      </c>
      <c r="Y748">
        <v>1888900</v>
      </c>
      <c r="Z748">
        <v>58120000</v>
      </c>
      <c r="AA748">
        <v>726500</v>
      </c>
      <c r="AB748">
        <v>106</v>
      </c>
      <c r="AC748" s="34">
        <v>45971</v>
      </c>
      <c r="AD748" s="34">
        <v>46112</v>
      </c>
      <c r="AE748" t="s">
        <v>161</v>
      </c>
      <c r="AF748">
        <v>0</v>
      </c>
      <c r="AG748">
        <v>1300</v>
      </c>
      <c r="AH748">
        <v>0</v>
      </c>
      <c r="AI748">
        <v>1888900</v>
      </c>
      <c r="AJ748">
        <v>0</v>
      </c>
      <c r="AK748">
        <v>0</v>
      </c>
      <c r="AL748">
        <v>474113.9</v>
      </c>
      <c r="AM748">
        <v>0</v>
      </c>
      <c r="AN748">
        <v>2363013.9</v>
      </c>
      <c r="AO748" t="s">
        <v>122</v>
      </c>
      <c r="AP748">
        <v>10</v>
      </c>
      <c r="AQ748">
        <v>130</v>
      </c>
      <c r="AR748">
        <v>188890</v>
      </c>
      <c r="AT748">
        <v>24000</v>
      </c>
      <c r="AU748">
        <v>780</v>
      </c>
      <c r="AV748">
        <v>34872000</v>
      </c>
      <c r="AW748">
        <v>1133340</v>
      </c>
    </row>
    <row r="749" spans="1:49" hidden="1" x14ac:dyDescent="0.35">
      <c r="A749">
        <v>5834910</v>
      </c>
      <c r="B749">
        <v>1090005834901</v>
      </c>
      <c r="D749">
        <v>20254637050</v>
      </c>
      <c r="E749" t="s">
        <v>1203</v>
      </c>
      <c r="F749" t="s">
        <v>1</v>
      </c>
      <c r="G749" t="s">
        <v>395</v>
      </c>
      <c r="H749" t="s">
        <v>56</v>
      </c>
      <c r="I749">
        <v>6380</v>
      </c>
      <c r="J749">
        <v>21</v>
      </c>
      <c r="K749" t="s">
        <v>33</v>
      </c>
      <c r="L749">
        <v>82963</v>
      </c>
      <c r="M749" t="s">
        <v>396</v>
      </c>
      <c r="N749">
        <v>1</v>
      </c>
      <c r="O749" t="s">
        <v>119</v>
      </c>
      <c r="P749" t="s">
        <v>1204</v>
      </c>
      <c r="Q749">
        <v>3062400</v>
      </c>
      <c r="R749">
        <v>92800000</v>
      </c>
      <c r="S749">
        <v>232</v>
      </c>
      <c r="T749">
        <v>400000</v>
      </c>
      <c r="U749">
        <v>1</v>
      </c>
      <c r="V749">
        <v>1</v>
      </c>
      <c r="W749" t="s">
        <v>121</v>
      </c>
      <c r="X749" t="s">
        <v>1</v>
      </c>
      <c r="Y749">
        <v>3062400</v>
      </c>
      <c r="Z749">
        <v>92800000</v>
      </c>
      <c r="AA749">
        <v>400000</v>
      </c>
      <c r="AB749">
        <v>105</v>
      </c>
      <c r="AC749" s="34">
        <v>45986</v>
      </c>
      <c r="AD749" s="34">
        <v>46112</v>
      </c>
      <c r="AE749" t="s">
        <v>161</v>
      </c>
      <c r="AF749">
        <v>0</v>
      </c>
      <c r="AG749">
        <v>3062400</v>
      </c>
      <c r="AH749">
        <v>0</v>
      </c>
      <c r="AI749">
        <v>3062400</v>
      </c>
      <c r="AJ749">
        <v>0</v>
      </c>
      <c r="AK749">
        <v>0</v>
      </c>
      <c r="AL749">
        <v>768662.4</v>
      </c>
      <c r="AM749">
        <v>0</v>
      </c>
      <c r="AN749">
        <v>3831062.4</v>
      </c>
      <c r="AO749" t="s">
        <v>122</v>
      </c>
      <c r="AP749">
        <v>15</v>
      </c>
      <c r="AQ749">
        <v>459360</v>
      </c>
      <c r="AR749">
        <v>459360</v>
      </c>
      <c r="AT749">
        <v>55680000</v>
      </c>
      <c r="AU749">
        <v>1837440</v>
      </c>
      <c r="AV749">
        <v>55680000</v>
      </c>
      <c r="AW749">
        <v>1837440</v>
      </c>
    </row>
    <row r="750" spans="1:49" hidden="1" x14ac:dyDescent="0.35">
      <c r="A750">
        <v>5835210</v>
      </c>
      <c r="B750">
        <v>1090005835201</v>
      </c>
      <c r="D750">
        <v>20278448399</v>
      </c>
      <c r="E750" t="s">
        <v>1205</v>
      </c>
      <c r="F750" t="s">
        <v>1</v>
      </c>
      <c r="G750" t="s">
        <v>395</v>
      </c>
      <c r="H750" t="s">
        <v>56</v>
      </c>
      <c r="I750">
        <v>6380</v>
      </c>
      <c r="J750">
        <v>21</v>
      </c>
      <c r="K750" t="s">
        <v>33</v>
      </c>
      <c r="L750">
        <v>82963</v>
      </c>
      <c r="M750" t="s">
        <v>396</v>
      </c>
      <c r="N750">
        <v>1</v>
      </c>
      <c r="O750" t="s">
        <v>119</v>
      </c>
      <c r="P750" t="s">
        <v>1206</v>
      </c>
      <c r="Q750">
        <v>313.5</v>
      </c>
      <c r="R750">
        <v>9500</v>
      </c>
      <c r="S750">
        <v>38</v>
      </c>
      <c r="T750">
        <v>250</v>
      </c>
      <c r="U750">
        <v>26</v>
      </c>
      <c r="V750">
        <v>1453</v>
      </c>
      <c r="W750" t="s">
        <v>121</v>
      </c>
      <c r="X750" t="s">
        <v>1</v>
      </c>
      <c r="Y750">
        <v>455515.5</v>
      </c>
      <c r="Z750">
        <v>13803500</v>
      </c>
      <c r="AA750">
        <v>363250</v>
      </c>
      <c r="AB750">
        <v>106</v>
      </c>
      <c r="AC750" s="34">
        <v>45993</v>
      </c>
      <c r="AD750" s="34">
        <v>46112</v>
      </c>
      <c r="AE750" t="s">
        <v>161</v>
      </c>
      <c r="AF750">
        <v>0</v>
      </c>
      <c r="AG750">
        <v>651.75</v>
      </c>
      <c r="AH750">
        <v>0</v>
      </c>
      <c r="AI750">
        <v>946992.75</v>
      </c>
      <c r="AJ750">
        <v>0</v>
      </c>
      <c r="AK750">
        <v>0</v>
      </c>
      <c r="AL750">
        <v>237696.27</v>
      </c>
      <c r="AM750">
        <v>0</v>
      </c>
      <c r="AN750">
        <v>1184689.02</v>
      </c>
      <c r="AO750" t="s">
        <v>122</v>
      </c>
      <c r="AP750">
        <v>10.000999999999999</v>
      </c>
      <c r="AQ750">
        <v>65.180000000000007</v>
      </c>
      <c r="AR750">
        <v>94706.54</v>
      </c>
      <c r="AT750">
        <v>5700</v>
      </c>
      <c r="AU750">
        <v>188.1</v>
      </c>
      <c r="AV750">
        <v>8282100</v>
      </c>
      <c r="AW750">
        <v>273309.3</v>
      </c>
    </row>
    <row r="751" spans="1:49" hidden="1" x14ac:dyDescent="0.35">
      <c r="A751">
        <v>5835210</v>
      </c>
      <c r="B751">
        <v>1090005835201</v>
      </c>
      <c r="D751">
        <v>20278448399</v>
      </c>
      <c r="E751" t="s">
        <v>1205</v>
      </c>
      <c r="F751" t="s">
        <v>1</v>
      </c>
      <c r="G751" t="s">
        <v>395</v>
      </c>
      <c r="H751" t="s">
        <v>56</v>
      </c>
      <c r="I751">
        <v>6380</v>
      </c>
      <c r="J751">
        <v>21</v>
      </c>
      <c r="K751" t="s">
        <v>33</v>
      </c>
      <c r="L751">
        <v>82963</v>
      </c>
      <c r="M751" t="s">
        <v>396</v>
      </c>
      <c r="N751">
        <v>2</v>
      </c>
      <c r="O751" t="s">
        <v>119</v>
      </c>
      <c r="P751" t="s">
        <v>1207</v>
      </c>
      <c r="Q751">
        <v>338.25</v>
      </c>
      <c r="R751">
        <v>10250</v>
      </c>
      <c r="S751">
        <v>41</v>
      </c>
      <c r="T751">
        <v>250</v>
      </c>
      <c r="U751">
        <v>26</v>
      </c>
      <c r="V751">
        <v>1453</v>
      </c>
      <c r="W751" t="s">
        <v>121</v>
      </c>
      <c r="X751" t="s">
        <v>1</v>
      </c>
      <c r="Y751">
        <v>491477.25</v>
      </c>
      <c r="Z751">
        <v>14893250</v>
      </c>
      <c r="AA751">
        <v>363250</v>
      </c>
      <c r="AB751">
        <v>106</v>
      </c>
      <c r="AC751" s="34">
        <v>45993</v>
      </c>
      <c r="AD751" s="34">
        <v>46112</v>
      </c>
      <c r="AE751" t="s">
        <v>161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 t="s">
        <v>122</v>
      </c>
      <c r="AT751">
        <v>6150</v>
      </c>
      <c r="AU751">
        <v>202.95</v>
      </c>
      <c r="AV751">
        <v>8935950</v>
      </c>
      <c r="AW751">
        <v>294886.34999999998</v>
      </c>
    </row>
    <row r="752" spans="1:49" hidden="1" x14ac:dyDescent="0.35">
      <c r="A752">
        <v>5835410</v>
      </c>
      <c r="B752">
        <v>5010005835401</v>
      </c>
      <c r="D752">
        <v>20409151427</v>
      </c>
      <c r="E752" t="s">
        <v>231</v>
      </c>
      <c r="F752" t="s">
        <v>1</v>
      </c>
      <c r="G752" t="s">
        <v>24</v>
      </c>
      <c r="H752" t="s">
        <v>24</v>
      </c>
      <c r="I752">
        <v>6070</v>
      </c>
      <c r="J752">
        <v>1</v>
      </c>
      <c r="K752" t="s">
        <v>16</v>
      </c>
      <c r="L752">
        <v>11014</v>
      </c>
      <c r="M752" t="s">
        <v>232</v>
      </c>
      <c r="N752">
        <v>1</v>
      </c>
      <c r="O752" t="s">
        <v>119</v>
      </c>
      <c r="P752" t="s">
        <v>1208</v>
      </c>
      <c r="Q752">
        <v>942516.43</v>
      </c>
      <c r="R752">
        <v>23800920</v>
      </c>
      <c r="S752">
        <v>22</v>
      </c>
      <c r="T752">
        <v>1081860</v>
      </c>
      <c r="U752">
        <v>1</v>
      </c>
      <c r="V752">
        <v>1</v>
      </c>
      <c r="W752" t="s">
        <v>127</v>
      </c>
      <c r="X752">
        <v>54093</v>
      </c>
      <c r="Y752">
        <v>942516.43</v>
      </c>
      <c r="Z752">
        <v>23800920</v>
      </c>
      <c r="AA752">
        <v>1081860</v>
      </c>
      <c r="AB752">
        <v>211</v>
      </c>
      <c r="AC752" s="34">
        <v>45978</v>
      </c>
      <c r="AD752" s="34">
        <v>46112</v>
      </c>
      <c r="AE752" t="s">
        <v>355</v>
      </c>
      <c r="AF752">
        <v>0</v>
      </c>
      <c r="AG752">
        <v>2484816.0499999998</v>
      </c>
      <c r="AH752">
        <v>0</v>
      </c>
      <c r="AI752">
        <v>2484816.0499999998</v>
      </c>
      <c r="AJ752">
        <v>0</v>
      </c>
      <c r="AK752">
        <v>0</v>
      </c>
      <c r="AL752">
        <v>623688.82999999996</v>
      </c>
      <c r="AM752">
        <v>0</v>
      </c>
      <c r="AN752">
        <v>3108504.88</v>
      </c>
      <c r="AO752" t="s">
        <v>122</v>
      </c>
      <c r="AP752">
        <v>15</v>
      </c>
      <c r="AQ752">
        <v>372722.41</v>
      </c>
      <c r="AR752">
        <v>372722.41</v>
      </c>
      <c r="AT752">
        <v>14280552</v>
      </c>
      <c r="AU752">
        <v>565509.86</v>
      </c>
      <c r="AV752">
        <v>14280552</v>
      </c>
      <c r="AW752">
        <v>565509.86</v>
      </c>
    </row>
    <row r="753" spans="1:49" hidden="1" x14ac:dyDescent="0.35">
      <c r="A753">
        <v>5835410</v>
      </c>
      <c r="B753">
        <v>5010005835401</v>
      </c>
      <c r="D753">
        <v>20409151427</v>
      </c>
      <c r="E753" t="s">
        <v>231</v>
      </c>
      <c r="F753" t="s">
        <v>1</v>
      </c>
      <c r="G753" t="s">
        <v>24</v>
      </c>
      <c r="H753" t="s">
        <v>24</v>
      </c>
      <c r="I753">
        <v>6070</v>
      </c>
      <c r="J753">
        <v>1</v>
      </c>
      <c r="K753" t="s">
        <v>16</v>
      </c>
      <c r="L753">
        <v>11014</v>
      </c>
      <c r="M753" t="s">
        <v>232</v>
      </c>
      <c r="N753">
        <v>2</v>
      </c>
      <c r="O753" t="s">
        <v>119</v>
      </c>
      <c r="P753" t="s">
        <v>1209</v>
      </c>
      <c r="Q753">
        <v>342733.25</v>
      </c>
      <c r="R753">
        <v>8654880</v>
      </c>
      <c r="S753">
        <v>8</v>
      </c>
      <c r="T753">
        <v>1081860</v>
      </c>
      <c r="U753">
        <v>1</v>
      </c>
      <c r="V753">
        <v>1</v>
      </c>
      <c r="W753" t="s">
        <v>127</v>
      </c>
      <c r="X753">
        <v>54093</v>
      </c>
      <c r="Y753">
        <v>342733.25</v>
      </c>
      <c r="Z753">
        <v>8654880</v>
      </c>
      <c r="AA753">
        <v>1081860</v>
      </c>
      <c r="AB753">
        <v>211</v>
      </c>
      <c r="AC753" s="34">
        <v>45978</v>
      </c>
      <c r="AD753" s="34">
        <v>46112</v>
      </c>
      <c r="AE753" t="s">
        <v>355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 t="s">
        <v>122</v>
      </c>
      <c r="AT753">
        <v>5192928</v>
      </c>
      <c r="AU753">
        <v>205639.95</v>
      </c>
      <c r="AV753">
        <v>5192928</v>
      </c>
      <c r="AW753">
        <v>205639.95</v>
      </c>
    </row>
    <row r="754" spans="1:49" hidden="1" x14ac:dyDescent="0.35">
      <c r="A754">
        <v>5835410</v>
      </c>
      <c r="B754">
        <v>5010005835401</v>
      </c>
      <c r="D754">
        <v>20409151427</v>
      </c>
      <c r="E754" t="s">
        <v>231</v>
      </c>
      <c r="F754" t="s">
        <v>1</v>
      </c>
      <c r="G754" t="s">
        <v>250</v>
      </c>
      <c r="H754" t="s">
        <v>67</v>
      </c>
      <c r="I754">
        <v>6050</v>
      </c>
      <c r="J754">
        <v>1</v>
      </c>
      <c r="K754" t="s">
        <v>16</v>
      </c>
      <c r="L754">
        <v>11014</v>
      </c>
      <c r="M754" t="s">
        <v>232</v>
      </c>
      <c r="N754">
        <v>3</v>
      </c>
      <c r="O754" t="s">
        <v>119</v>
      </c>
      <c r="P754" t="s">
        <v>1210</v>
      </c>
      <c r="Q754">
        <v>1199566.3700000001</v>
      </c>
      <c r="R754">
        <v>30292080</v>
      </c>
      <c r="S754">
        <v>28</v>
      </c>
      <c r="T754">
        <v>1081860</v>
      </c>
      <c r="U754">
        <v>1</v>
      </c>
      <c r="V754">
        <v>1</v>
      </c>
      <c r="W754" t="s">
        <v>127</v>
      </c>
      <c r="X754">
        <v>54093</v>
      </c>
      <c r="Y754">
        <v>1199566.3700000001</v>
      </c>
      <c r="Z754">
        <v>30292080</v>
      </c>
      <c r="AA754">
        <v>1081860</v>
      </c>
      <c r="AB754">
        <v>211</v>
      </c>
      <c r="AC754" s="34">
        <v>45978</v>
      </c>
      <c r="AD754" s="34">
        <v>46112</v>
      </c>
      <c r="AE754" t="s">
        <v>355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 t="s">
        <v>122</v>
      </c>
      <c r="AT754">
        <v>18175248</v>
      </c>
      <c r="AU754">
        <v>719739.82</v>
      </c>
      <c r="AV754">
        <v>18175248</v>
      </c>
      <c r="AW754">
        <v>719739.82</v>
      </c>
    </row>
    <row r="755" spans="1:49" hidden="1" x14ac:dyDescent="0.35">
      <c r="A755">
        <v>5835510</v>
      </c>
      <c r="B755">
        <v>5010005835501</v>
      </c>
      <c r="D755">
        <v>20209151333</v>
      </c>
      <c r="E755" t="s">
        <v>1211</v>
      </c>
      <c r="F755" t="s">
        <v>1</v>
      </c>
      <c r="G755" t="s">
        <v>23</v>
      </c>
      <c r="H755" t="s">
        <v>23</v>
      </c>
      <c r="I755">
        <v>6230</v>
      </c>
      <c r="J755">
        <v>1</v>
      </c>
      <c r="K755" t="s">
        <v>16</v>
      </c>
      <c r="L755">
        <v>11014</v>
      </c>
      <c r="M755" t="s">
        <v>232</v>
      </c>
      <c r="N755">
        <v>1</v>
      </c>
      <c r="O755" t="s">
        <v>119</v>
      </c>
      <c r="P755" t="s">
        <v>1212</v>
      </c>
      <c r="Q755">
        <v>1276</v>
      </c>
      <c r="R755">
        <v>55000</v>
      </c>
      <c r="S755">
        <v>55</v>
      </c>
      <c r="T755">
        <v>1000</v>
      </c>
      <c r="U755">
        <v>26</v>
      </c>
      <c r="V755">
        <v>1453</v>
      </c>
      <c r="W755" t="s">
        <v>121</v>
      </c>
      <c r="X755" t="s">
        <v>1</v>
      </c>
      <c r="Y755">
        <v>1854028</v>
      </c>
      <c r="Z755">
        <v>79915000</v>
      </c>
      <c r="AA755">
        <v>1453000</v>
      </c>
      <c r="AB755">
        <v>106</v>
      </c>
      <c r="AC755" s="34">
        <v>45980</v>
      </c>
      <c r="AD755" s="34">
        <v>46173</v>
      </c>
      <c r="AF755">
        <v>0</v>
      </c>
      <c r="AG755">
        <v>1276</v>
      </c>
      <c r="AH755">
        <v>0</v>
      </c>
      <c r="AI755">
        <v>1854028</v>
      </c>
      <c r="AJ755">
        <v>0</v>
      </c>
      <c r="AK755">
        <v>0</v>
      </c>
      <c r="AL755">
        <v>472777.14</v>
      </c>
      <c r="AM755">
        <v>0</v>
      </c>
      <c r="AN755">
        <v>2326805.14</v>
      </c>
      <c r="AO755" t="s">
        <v>122</v>
      </c>
      <c r="AP755">
        <v>15</v>
      </c>
      <c r="AQ755">
        <v>191.4</v>
      </c>
      <c r="AR755">
        <v>278104.2</v>
      </c>
      <c r="AT755">
        <v>33000</v>
      </c>
      <c r="AU755">
        <v>765.6</v>
      </c>
      <c r="AV755">
        <v>47949000</v>
      </c>
      <c r="AW755">
        <v>1112416.8</v>
      </c>
    </row>
    <row r="756" spans="1:49" hidden="1" x14ac:dyDescent="0.35">
      <c r="A756">
        <v>5835610</v>
      </c>
      <c r="B756">
        <v>5010005835601</v>
      </c>
      <c r="D756">
        <v>20209151333</v>
      </c>
      <c r="E756" t="s">
        <v>1211</v>
      </c>
      <c r="F756" t="s">
        <v>1</v>
      </c>
      <c r="G756" t="s">
        <v>23</v>
      </c>
      <c r="H756" t="s">
        <v>23</v>
      </c>
      <c r="I756">
        <v>6230</v>
      </c>
      <c r="J756">
        <v>1</v>
      </c>
      <c r="K756" t="s">
        <v>16</v>
      </c>
      <c r="L756">
        <v>11014</v>
      </c>
      <c r="M756" t="s">
        <v>232</v>
      </c>
      <c r="N756">
        <v>1</v>
      </c>
      <c r="O756" t="s">
        <v>119</v>
      </c>
      <c r="P756" t="s">
        <v>1213</v>
      </c>
      <c r="Q756">
        <v>3853.2</v>
      </c>
      <c r="R756">
        <v>156000</v>
      </c>
      <c r="S756">
        <v>195</v>
      </c>
      <c r="T756">
        <v>800</v>
      </c>
      <c r="U756">
        <v>26</v>
      </c>
      <c r="V756">
        <v>1453</v>
      </c>
      <c r="W756" t="s">
        <v>121</v>
      </c>
      <c r="X756" t="s">
        <v>1</v>
      </c>
      <c r="Y756">
        <v>5598699.5999999996</v>
      </c>
      <c r="Z756">
        <v>226668000</v>
      </c>
      <c r="AA756">
        <v>1162400</v>
      </c>
      <c r="AB756">
        <v>106</v>
      </c>
      <c r="AC756" s="34">
        <v>45980</v>
      </c>
      <c r="AD756" s="34">
        <v>46173</v>
      </c>
      <c r="AF756">
        <v>0</v>
      </c>
      <c r="AG756">
        <v>3853.2</v>
      </c>
      <c r="AH756">
        <v>0</v>
      </c>
      <c r="AI756">
        <v>5598699.5999999996</v>
      </c>
      <c r="AJ756">
        <v>0</v>
      </c>
      <c r="AK756">
        <v>0</v>
      </c>
      <c r="AL756">
        <v>1427674.21</v>
      </c>
      <c r="AM756">
        <v>0</v>
      </c>
      <c r="AN756">
        <v>7026373.8099999996</v>
      </c>
      <c r="AO756" t="s">
        <v>122</v>
      </c>
      <c r="AP756">
        <v>15</v>
      </c>
      <c r="AQ756">
        <v>577.98</v>
      </c>
      <c r="AR756">
        <v>839804.94</v>
      </c>
      <c r="AT756">
        <v>93600</v>
      </c>
      <c r="AU756">
        <v>2311.92</v>
      </c>
      <c r="AV756">
        <v>136000800</v>
      </c>
      <c r="AW756">
        <v>3359219.76</v>
      </c>
    </row>
    <row r="757" spans="1:49" hidden="1" x14ac:dyDescent="0.35">
      <c r="A757">
        <v>5835710</v>
      </c>
      <c r="B757">
        <v>5010005835701</v>
      </c>
      <c r="D757">
        <v>20209151333</v>
      </c>
      <c r="E757" t="s">
        <v>1211</v>
      </c>
      <c r="F757" t="s">
        <v>1</v>
      </c>
      <c r="G757" t="s">
        <v>23</v>
      </c>
      <c r="H757" t="s">
        <v>23</v>
      </c>
      <c r="I757">
        <v>6230</v>
      </c>
      <c r="J757">
        <v>1</v>
      </c>
      <c r="K757" t="s">
        <v>16</v>
      </c>
      <c r="L757">
        <v>11014</v>
      </c>
      <c r="M757" t="s">
        <v>232</v>
      </c>
      <c r="N757">
        <v>1</v>
      </c>
      <c r="O757" t="s">
        <v>119</v>
      </c>
      <c r="P757" t="s">
        <v>1214</v>
      </c>
      <c r="Q757">
        <v>908</v>
      </c>
      <c r="R757">
        <v>40000</v>
      </c>
      <c r="S757">
        <v>40</v>
      </c>
      <c r="T757">
        <v>1000</v>
      </c>
      <c r="U757">
        <v>26</v>
      </c>
      <c r="V757">
        <v>1453</v>
      </c>
      <c r="W757" t="s">
        <v>121</v>
      </c>
      <c r="X757" t="s">
        <v>1</v>
      </c>
      <c r="Y757">
        <v>1319324</v>
      </c>
      <c r="Z757">
        <v>58120000</v>
      </c>
      <c r="AA757">
        <v>1453000</v>
      </c>
      <c r="AB757">
        <v>210</v>
      </c>
      <c r="AC757" s="34">
        <v>45980</v>
      </c>
      <c r="AD757" s="34">
        <v>46142</v>
      </c>
      <c r="AF757">
        <v>0</v>
      </c>
      <c r="AG757">
        <v>2270</v>
      </c>
      <c r="AH757">
        <v>0</v>
      </c>
      <c r="AI757">
        <v>3298310</v>
      </c>
      <c r="AJ757">
        <v>0</v>
      </c>
      <c r="AK757">
        <v>0</v>
      </c>
      <c r="AL757">
        <v>841069.05</v>
      </c>
      <c r="AM757">
        <v>0</v>
      </c>
      <c r="AN757">
        <v>4139379.05</v>
      </c>
      <c r="AO757" t="s">
        <v>122</v>
      </c>
      <c r="AP757">
        <v>15</v>
      </c>
      <c r="AQ757">
        <v>340.5</v>
      </c>
      <c r="AR757">
        <v>494746.5</v>
      </c>
      <c r="AT757">
        <v>24000</v>
      </c>
      <c r="AU757">
        <v>544.79999999999995</v>
      </c>
      <c r="AV757">
        <v>34872000</v>
      </c>
      <c r="AW757">
        <v>791594.4</v>
      </c>
    </row>
    <row r="758" spans="1:49" hidden="1" x14ac:dyDescent="0.35">
      <c r="A758">
        <v>5835710</v>
      </c>
      <c r="B758">
        <v>5010005835701</v>
      </c>
      <c r="D758">
        <v>20209151333</v>
      </c>
      <c r="E758" t="s">
        <v>1211</v>
      </c>
      <c r="F758" t="s">
        <v>1</v>
      </c>
      <c r="G758" t="s">
        <v>23</v>
      </c>
      <c r="H758" t="s">
        <v>23</v>
      </c>
      <c r="I758">
        <v>6230</v>
      </c>
      <c r="J758">
        <v>1</v>
      </c>
      <c r="K758" t="s">
        <v>16</v>
      </c>
      <c r="L758">
        <v>11014</v>
      </c>
      <c r="M758" t="s">
        <v>232</v>
      </c>
      <c r="N758">
        <v>2</v>
      </c>
      <c r="O758" t="s">
        <v>119</v>
      </c>
      <c r="P758" t="s">
        <v>1215</v>
      </c>
      <c r="Q758">
        <v>1362</v>
      </c>
      <c r="R758">
        <v>60000</v>
      </c>
      <c r="S758">
        <v>60</v>
      </c>
      <c r="T758">
        <v>1000</v>
      </c>
      <c r="U758">
        <v>26</v>
      </c>
      <c r="V758">
        <v>1453</v>
      </c>
      <c r="W758" t="s">
        <v>121</v>
      </c>
      <c r="X758" t="s">
        <v>1</v>
      </c>
      <c r="Y758">
        <v>1978986</v>
      </c>
      <c r="Z758">
        <v>87180000</v>
      </c>
      <c r="AA758">
        <v>1453000</v>
      </c>
      <c r="AB758">
        <v>210</v>
      </c>
      <c r="AC758" s="34">
        <v>45980</v>
      </c>
      <c r="AD758" s="34">
        <v>46142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 t="s">
        <v>122</v>
      </c>
      <c r="AT758">
        <v>36000</v>
      </c>
      <c r="AU758">
        <v>817.2</v>
      </c>
      <c r="AV758">
        <v>52308000</v>
      </c>
      <c r="AW758">
        <v>1187391.6000000001</v>
      </c>
    </row>
    <row r="759" spans="1:49" hidden="1" x14ac:dyDescent="0.35">
      <c r="A759">
        <v>5835910</v>
      </c>
      <c r="B759">
        <v>5010005835901</v>
      </c>
      <c r="D759">
        <v>30614483179</v>
      </c>
      <c r="E759" t="s">
        <v>287</v>
      </c>
      <c r="F759" t="s">
        <v>1</v>
      </c>
      <c r="G759" t="s">
        <v>293</v>
      </c>
      <c r="H759" t="s">
        <v>24</v>
      </c>
      <c r="I759">
        <v>6075</v>
      </c>
      <c r="J759">
        <v>1</v>
      </c>
      <c r="K759" t="s">
        <v>16</v>
      </c>
      <c r="L759">
        <v>11014</v>
      </c>
      <c r="M759" t="s">
        <v>232</v>
      </c>
      <c r="N759">
        <v>1</v>
      </c>
      <c r="O759" t="s">
        <v>119</v>
      </c>
      <c r="P759" t="s">
        <v>1216</v>
      </c>
      <c r="Q759">
        <v>2386.98</v>
      </c>
      <c r="R759">
        <v>134100</v>
      </c>
      <c r="S759">
        <v>298</v>
      </c>
      <c r="T759">
        <v>450</v>
      </c>
      <c r="U759">
        <v>26</v>
      </c>
      <c r="V759">
        <v>1453</v>
      </c>
      <c r="W759" t="s">
        <v>121</v>
      </c>
      <c r="X759" t="s">
        <v>1</v>
      </c>
      <c r="Y759">
        <v>3468281.94</v>
      </c>
      <c r="Z759">
        <v>194847300</v>
      </c>
      <c r="AA759">
        <v>653850</v>
      </c>
      <c r="AB759">
        <v>106</v>
      </c>
      <c r="AC759" s="34">
        <v>45992</v>
      </c>
      <c r="AD759" s="34">
        <v>46173</v>
      </c>
      <c r="AF759">
        <v>0</v>
      </c>
      <c r="AG759">
        <v>2386.98</v>
      </c>
      <c r="AH759">
        <v>0</v>
      </c>
      <c r="AI759">
        <v>3468281.94</v>
      </c>
      <c r="AJ759">
        <v>0</v>
      </c>
      <c r="AK759">
        <v>0</v>
      </c>
      <c r="AL759">
        <v>870535.89</v>
      </c>
      <c r="AM759">
        <v>0</v>
      </c>
      <c r="AN759">
        <v>4338817.83</v>
      </c>
      <c r="AO759" t="s">
        <v>122</v>
      </c>
      <c r="AP759">
        <v>15</v>
      </c>
      <c r="AQ759">
        <v>358.05</v>
      </c>
      <c r="AR759">
        <v>520246.65</v>
      </c>
      <c r="AT759">
        <v>80460</v>
      </c>
      <c r="AU759">
        <v>1432.19</v>
      </c>
      <c r="AV759">
        <v>116908380</v>
      </c>
      <c r="AW759">
        <v>2080972.07</v>
      </c>
    </row>
    <row r="760" spans="1:49" hidden="1" x14ac:dyDescent="0.35">
      <c r="A760">
        <v>5836010</v>
      </c>
      <c r="B760">
        <v>1250005836001</v>
      </c>
      <c r="D760">
        <v>20109349683</v>
      </c>
      <c r="E760" t="s">
        <v>431</v>
      </c>
      <c r="F760" t="s">
        <v>1</v>
      </c>
      <c r="G760" t="s">
        <v>432</v>
      </c>
      <c r="H760" t="s">
        <v>48</v>
      </c>
      <c r="I760">
        <v>6128</v>
      </c>
      <c r="J760">
        <v>3</v>
      </c>
      <c r="K760" t="s">
        <v>32</v>
      </c>
      <c r="L760">
        <v>4401</v>
      </c>
      <c r="M760" t="s">
        <v>132</v>
      </c>
      <c r="N760">
        <v>1</v>
      </c>
      <c r="O760" t="s">
        <v>119</v>
      </c>
      <c r="P760" t="s">
        <v>1217</v>
      </c>
      <c r="Q760">
        <v>764.79</v>
      </c>
      <c r="R760">
        <v>19610</v>
      </c>
      <c r="S760">
        <v>37</v>
      </c>
      <c r="T760">
        <v>530</v>
      </c>
      <c r="U760">
        <v>26</v>
      </c>
      <c r="V760">
        <v>1435</v>
      </c>
      <c r="W760" t="s">
        <v>121</v>
      </c>
      <c r="X760" t="s">
        <v>1</v>
      </c>
      <c r="Y760">
        <v>1097473.6499999999</v>
      </c>
      <c r="Z760">
        <v>28140350</v>
      </c>
      <c r="AA760">
        <v>760550</v>
      </c>
      <c r="AB760">
        <v>106</v>
      </c>
      <c r="AC760" s="34">
        <v>45984</v>
      </c>
      <c r="AD760" s="34">
        <v>46142</v>
      </c>
      <c r="AF760">
        <v>0</v>
      </c>
      <c r="AG760">
        <v>764.79</v>
      </c>
      <c r="AH760">
        <v>0</v>
      </c>
      <c r="AI760">
        <v>1097473.6499999999</v>
      </c>
      <c r="AJ760">
        <v>0</v>
      </c>
      <c r="AK760">
        <v>0</v>
      </c>
      <c r="AL760">
        <v>286440.34999999998</v>
      </c>
      <c r="AM760">
        <v>0</v>
      </c>
      <c r="AN760">
        <v>1383914</v>
      </c>
      <c r="AO760" t="s">
        <v>122</v>
      </c>
      <c r="AP760">
        <v>15</v>
      </c>
      <c r="AQ760">
        <v>114.72</v>
      </c>
      <c r="AR760">
        <v>164623.20000000001</v>
      </c>
      <c r="AT760">
        <v>11766</v>
      </c>
      <c r="AU760">
        <v>458.87</v>
      </c>
      <c r="AV760">
        <v>16884210</v>
      </c>
      <c r="AW760">
        <v>658478.44999999995</v>
      </c>
    </row>
    <row r="761" spans="1:49" hidden="1" x14ac:dyDescent="0.35">
      <c r="A761">
        <v>5836110</v>
      </c>
      <c r="B761">
        <v>1090005836101</v>
      </c>
      <c r="D761">
        <v>30685141694</v>
      </c>
      <c r="E761" t="s">
        <v>946</v>
      </c>
      <c r="F761" t="s">
        <v>1</v>
      </c>
      <c r="G761" t="s">
        <v>370</v>
      </c>
      <c r="H761" t="s">
        <v>58</v>
      </c>
      <c r="I761">
        <v>6333</v>
      </c>
      <c r="J761">
        <v>21</v>
      </c>
      <c r="K761" t="s">
        <v>33</v>
      </c>
      <c r="L761">
        <v>6127</v>
      </c>
      <c r="M761" t="s">
        <v>118</v>
      </c>
      <c r="N761">
        <v>1</v>
      </c>
      <c r="O761" t="s">
        <v>119</v>
      </c>
      <c r="P761" t="s">
        <v>1218</v>
      </c>
      <c r="Q761">
        <v>1271.75</v>
      </c>
      <c r="R761">
        <v>44312</v>
      </c>
      <c r="S761">
        <v>116</v>
      </c>
      <c r="T761">
        <v>382</v>
      </c>
      <c r="U761">
        <v>26</v>
      </c>
      <c r="V761">
        <v>1435</v>
      </c>
      <c r="W761" t="s">
        <v>121</v>
      </c>
      <c r="X761" t="s">
        <v>1</v>
      </c>
      <c r="Y761">
        <v>1824961.25</v>
      </c>
      <c r="Z761">
        <v>63587720</v>
      </c>
      <c r="AA761">
        <v>548170</v>
      </c>
      <c r="AB761">
        <v>211</v>
      </c>
      <c r="AC761" s="34">
        <v>45983</v>
      </c>
      <c r="AD761" s="34">
        <v>46112</v>
      </c>
      <c r="AF761">
        <v>0</v>
      </c>
      <c r="AG761">
        <v>6056.39</v>
      </c>
      <c r="AH761">
        <v>0</v>
      </c>
      <c r="AI761">
        <v>8690919.6500000004</v>
      </c>
      <c r="AJ761">
        <v>0</v>
      </c>
      <c r="AK761">
        <v>0</v>
      </c>
      <c r="AL761">
        <v>1920690.1</v>
      </c>
      <c r="AM761">
        <v>0</v>
      </c>
      <c r="AN761">
        <v>10611609.75</v>
      </c>
      <c r="AO761" t="s">
        <v>122</v>
      </c>
      <c r="AP761">
        <v>12</v>
      </c>
      <c r="AQ761">
        <v>726.77</v>
      </c>
      <c r="AR761">
        <v>1042914.95</v>
      </c>
      <c r="AT761">
        <v>26587.200000000001</v>
      </c>
      <c r="AU761">
        <v>763.05</v>
      </c>
      <c r="AV761">
        <v>38152632</v>
      </c>
      <c r="AW761">
        <v>1094976.75</v>
      </c>
    </row>
    <row r="762" spans="1:49" hidden="1" x14ac:dyDescent="0.35">
      <c r="A762">
        <v>5836110</v>
      </c>
      <c r="B762">
        <v>1090005836101</v>
      </c>
      <c r="D762">
        <v>30685141694</v>
      </c>
      <c r="E762" t="s">
        <v>946</v>
      </c>
      <c r="F762" t="s">
        <v>1</v>
      </c>
      <c r="G762" t="s">
        <v>370</v>
      </c>
      <c r="H762" t="s">
        <v>58</v>
      </c>
      <c r="I762">
        <v>6333</v>
      </c>
      <c r="J762">
        <v>21</v>
      </c>
      <c r="K762" t="s">
        <v>33</v>
      </c>
      <c r="L762">
        <v>6127</v>
      </c>
      <c r="M762" t="s">
        <v>118</v>
      </c>
      <c r="N762">
        <v>2</v>
      </c>
      <c r="O762" t="s">
        <v>119</v>
      </c>
      <c r="P762" t="s">
        <v>1146</v>
      </c>
      <c r="Q762">
        <v>2148.83</v>
      </c>
      <c r="R762">
        <v>74872</v>
      </c>
      <c r="S762">
        <v>196</v>
      </c>
      <c r="T762">
        <v>382</v>
      </c>
      <c r="U762">
        <v>26</v>
      </c>
      <c r="V762">
        <v>1435</v>
      </c>
      <c r="W762" t="s">
        <v>121</v>
      </c>
      <c r="X762" t="s">
        <v>1</v>
      </c>
      <c r="Y762">
        <v>3083571.05</v>
      </c>
      <c r="Z762">
        <v>107441320</v>
      </c>
      <c r="AA762">
        <v>548170</v>
      </c>
      <c r="AB762">
        <v>211</v>
      </c>
      <c r="AC762" s="34">
        <v>45983</v>
      </c>
      <c r="AD762" s="34">
        <v>46112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 t="s">
        <v>122</v>
      </c>
      <c r="AT762">
        <v>44923.199999999997</v>
      </c>
      <c r="AU762">
        <v>1289.3</v>
      </c>
      <c r="AV762">
        <v>64464792</v>
      </c>
      <c r="AW762">
        <v>1850145.5</v>
      </c>
    </row>
    <row r="763" spans="1:49" hidden="1" x14ac:dyDescent="0.35">
      <c r="A763">
        <v>5836110</v>
      </c>
      <c r="B763">
        <v>1090005836101</v>
      </c>
      <c r="D763">
        <v>30685141694</v>
      </c>
      <c r="E763" t="s">
        <v>946</v>
      </c>
      <c r="F763" t="s">
        <v>1</v>
      </c>
      <c r="G763" t="s">
        <v>56</v>
      </c>
      <c r="H763" t="s">
        <v>56</v>
      </c>
      <c r="I763">
        <v>6381</v>
      </c>
      <c r="J763">
        <v>21</v>
      </c>
      <c r="K763" t="s">
        <v>33</v>
      </c>
      <c r="L763">
        <v>6127</v>
      </c>
      <c r="M763" t="s">
        <v>118</v>
      </c>
      <c r="N763">
        <v>3</v>
      </c>
      <c r="O763" t="s">
        <v>119</v>
      </c>
      <c r="P763" t="s">
        <v>1147</v>
      </c>
      <c r="Q763">
        <v>2635.81</v>
      </c>
      <c r="R763">
        <v>91840</v>
      </c>
      <c r="S763">
        <v>328</v>
      </c>
      <c r="T763">
        <v>280</v>
      </c>
      <c r="U763">
        <v>26</v>
      </c>
      <c r="V763">
        <v>1435</v>
      </c>
      <c r="W763" t="s">
        <v>121</v>
      </c>
      <c r="X763" t="s">
        <v>1</v>
      </c>
      <c r="Y763">
        <v>3782387.35</v>
      </c>
      <c r="Z763">
        <v>131790400</v>
      </c>
      <c r="AA763">
        <v>401800</v>
      </c>
      <c r="AB763">
        <v>211</v>
      </c>
      <c r="AC763" s="34">
        <v>45983</v>
      </c>
      <c r="AD763" s="34">
        <v>46112</v>
      </c>
      <c r="AF763">
        <v>1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 t="s">
        <v>122</v>
      </c>
      <c r="AT763">
        <v>55104</v>
      </c>
      <c r="AU763">
        <v>1581.49</v>
      </c>
      <c r="AV763">
        <v>79074240</v>
      </c>
      <c r="AW763">
        <v>2269438.15</v>
      </c>
    </row>
    <row r="764" spans="1:49" hidden="1" x14ac:dyDescent="0.35">
      <c r="A764">
        <v>5836210</v>
      </c>
      <c r="B764">
        <v>1150005836201</v>
      </c>
      <c r="D764">
        <v>20209019478</v>
      </c>
      <c r="E764" t="s">
        <v>194</v>
      </c>
      <c r="F764" t="s">
        <v>1</v>
      </c>
      <c r="G764" t="s">
        <v>901</v>
      </c>
      <c r="H764" t="s">
        <v>50</v>
      </c>
      <c r="I764">
        <v>5949</v>
      </c>
      <c r="J764">
        <v>3</v>
      </c>
      <c r="K764" t="s">
        <v>32</v>
      </c>
      <c r="L764">
        <v>9262</v>
      </c>
      <c r="M764" t="s">
        <v>183</v>
      </c>
      <c r="N764">
        <v>1</v>
      </c>
      <c r="O764" t="s">
        <v>119</v>
      </c>
      <c r="P764" t="s">
        <v>1197</v>
      </c>
      <c r="Q764">
        <v>1708148.75</v>
      </c>
      <c r="R764">
        <v>61666020</v>
      </c>
      <c r="S764">
        <v>114</v>
      </c>
      <c r="T764">
        <v>540930</v>
      </c>
      <c r="U764">
        <v>1</v>
      </c>
      <c r="V764">
        <v>1</v>
      </c>
      <c r="W764" t="s">
        <v>127</v>
      </c>
      <c r="X764">
        <v>54093</v>
      </c>
      <c r="Y764">
        <v>1708148.75</v>
      </c>
      <c r="Z764">
        <v>61666020</v>
      </c>
      <c r="AA764">
        <v>540930</v>
      </c>
      <c r="AB764">
        <v>105</v>
      </c>
      <c r="AC764" s="34">
        <v>45986</v>
      </c>
      <c r="AD764" s="34">
        <v>46112</v>
      </c>
      <c r="AF764">
        <v>0</v>
      </c>
      <c r="AG764">
        <v>1708148.75</v>
      </c>
      <c r="AH764">
        <v>0</v>
      </c>
      <c r="AI764">
        <v>1708148.75</v>
      </c>
      <c r="AJ764">
        <v>0</v>
      </c>
      <c r="AK764">
        <v>0</v>
      </c>
      <c r="AL764">
        <v>445826.82</v>
      </c>
      <c r="AM764">
        <v>0</v>
      </c>
      <c r="AN764">
        <v>2153975.5699999998</v>
      </c>
      <c r="AO764" t="s">
        <v>122</v>
      </c>
      <c r="AP764">
        <v>15</v>
      </c>
      <c r="AQ764">
        <v>256222.31</v>
      </c>
      <c r="AR764">
        <v>256222.31</v>
      </c>
      <c r="AT764">
        <v>36999612</v>
      </c>
      <c r="AU764">
        <v>1024889.25</v>
      </c>
      <c r="AV764">
        <v>36999612</v>
      </c>
      <c r="AW764">
        <v>1024889.25</v>
      </c>
    </row>
    <row r="765" spans="1:49" hidden="1" x14ac:dyDescent="0.35">
      <c r="A765">
        <v>5836310</v>
      </c>
      <c r="B765">
        <v>1090005836301</v>
      </c>
      <c r="D765">
        <v>30685141694</v>
      </c>
      <c r="E765" t="s">
        <v>946</v>
      </c>
      <c r="F765" t="s">
        <v>1</v>
      </c>
      <c r="G765" t="s">
        <v>1219</v>
      </c>
      <c r="H765" t="s">
        <v>57</v>
      </c>
      <c r="I765">
        <v>6360</v>
      </c>
      <c r="J765">
        <v>21</v>
      </c>
      <c r="K765" t="s">
        <v>33</v>
      </c>
      <c r="L765">
        <v>6127</v>
      </c>
      <c r="M765" t="s">
        <v>118</v>
      </c>
      <c r="N765">
        <v>1</v>
      </c>
      <c r="O765" t="s">
        <v>119</v>
      </c>
      <c r="P765" t="s">
        <v>1220</v>
      </c>
      <c r="Q765">
        <v>4793.3599999999997</v>
      </c>
      <c r="R765">
        <v>230450</v>
      </c>
      <c r="S765">
        <v>419</v>
      </c>
      <c r="T765">
        <v>550</v>
      </c>
      <c r="U765">
        <v>26</v>
      </c>
      <c r="V765">
        <v>1435</v>
      </c>
      <c r="W765" t="s">
        <v>121</v>
      </c>
      <c r="X765" t="s">
        <v>1</v>
      </c>
      <c r="Y765">
        <v>6878471.5999999996</v>
      </c>
      <c r="Z765">
        <v>330695750</v>
      </c>
      <c r="AA765">
        <v>789250</v>
      </c>
      <c r="AB765">
        <v>106</v>
      </c>
      <c r="AC765" s="34">
        <v>45985</v>
      </c>
      <c r="AD765" s="34">
        <v>46203</v>
      </c>
      <c r="AF765">
        <v>0</v>
      </c>
      <c r="AG765">
        <v>4793.3599999999997</v>
      </c>
      <c r="AH765">
        <v>0</v>
      </c>
      <c r="AI765">
        <v>6878471.5999999996</v>
      </c>
      <c r="AJ765">
        <v>0</v>
      </c>
      <c r="AK765">
        <v>0</v>
      </c>
      <c r="AL765">
        <v>1520152.9</v>
      </c>
      <c r="AM765">
        <v>0</v>
      </c>
      <c r="AN765">
        <v>8398624.5</v>
      </c>
      <c r="AO765" t="s">
        <v>122</v>
      </c>
      <c r="AP765">
        <v>12</v>
      </c>
      <c r="AQ765">
        <v>575.20000000000005</v>
      </c>
      <c r="AR765">
        <v>825412</v>
      </c>
      <c r="AT765">
        <v>138270</v>
      </c>
      <c r="AU765">
        <v>2876.02</v>
      </c>
      <c r="AV765">
        <v>198417450</v>
      </c>
      <c r="AW765">
        <v>4127088.7</v>
      </c>
    </row>
    <row r="766" spans="1:49" hidden="1" x14ac:dyDescent="0.35">
      <c r="A766">
        <v>5836410</v>
      </c>
      <c r="B766">
        <v>1090005836401</v>
      </c>
      <c r="D766">
        <v>30694837901</v>
      </c>
      <c r="E766" t="s">
        <v>1221</v>
      </c>
      <c r="F766" t="s">
        <v>1</v>
      </c>
      <c r="G766" t="s">
        <v>412</v>
      </c>
      <c r="H766" t="s">
        <v>412</v>
      </c>
      <c r="I766">
        <v>6369</v>
      </c>
      <c r="J766">
        <v>21</v>
      </c>
      <c r="K766" t="s">
        <v>33</v>
      </c>
      <c r="L766">
        <v>6127</v>
      </c>
      <c r="M766" t="s">
        <v>118</v>
      </c>
      <c r="N766">
        <v>1</v>
      </c>
      <c r="O766" t="s">
        <v>119</v>
      </c>
      <c r="P766" t="s">
        <v>1222</v>
      </c>
      <c r="Q766">
        <v>795.6</v>
      </c>
      <c r="R766">
        <v>20400</v>
      </c>
      <c r="S766">
        <v>68</v>
      </c>
      <c r="T766">
        <v>300</v>
      </c>
      <c r="U766">
        <v>26</v>
      </c>
      <c r="V766">
        <v>1435</v>
      </c>
      <c r="W766" t="s">
        <v>121</v>
      </c>
      <c r="X766" t="s">
        <v>1</v>
      </c>
      <c r="Y766">
        <v>1141686</v>
      </c>
      <c r="Z766">
        <v>29274000</v>
      </c>
      <c r="AA766">
        <v>430500</v>
      </c>
      <c r="AB766">
        <v>211</v>
      </c>
      <c r="AC766" s="34">
        <v>45983</v>
      </c>
      <c r="AD766" s="34">
        <v>46112</v>
      </c>
      <c r="AE766" t="s">
        <v>161</v>
      </c>
      <c r="AF766">
        <v>1</v>
      </c>
      <c r="AG766">
        <v>795.6</v>
      </c>
      <c r="AH766">
        <v>0</v>
      </c>
      <c r="AI766">
        <v>1141686</v>
      </c>
      <c r="AJ766">
        <v>0</v>
      </c>
      <c r="AK766">
        <v>0</v>
      </c>
      <c r="AL766">
        <v>286569.5</v>
      </c>
      <c r="AM766">
        <v>0</v>
      </c>
      <c r="AN766">
        <v>1428255.5</v>
      </c>
      <c r="AO766" t="s">
        <v>122</v>
      </c>
      <c r="AP766">
        <v>12</v>
      </c>
      <c r="AQ766">
        <v>95.47</v>
      </c>
      <c r="AR766">
        <v>136999.45000000001</v>
      </c>
      <c r="AT766">
        <v>12240</v>
      </c>
      <c r="AU766">
        <v>477.36</v>
      </c>
      <c r="AV766">
        <v>17564400</v>
      </c>
      <c r="AW766">
        <v>685011.6</v>
      </c>
    </row>
    <row r="767" spans="1:49" hidden="1" x14ac:dyDescent="0.35">
      <c r="A767">
        <v>5836510</v>
      </c>
      <c r="B767">
        <v>1170005836501</v>
      </c>
      <c r="D767">
        <v>30707778136</v>
      </c>
      <c r="E767" t="s">
        <v>486</v>
      </c>
      <c r="F767" t="s">
        <v>1</v>
      </c>
      <c r="G767" t="s">
        <v>226</v>
      </c>
      <c r="H767" t="s">
        <v>63</v>
      </c>
      <c r="I767">
        <v>2535</v>
      </c>
      <c r="J767">
        <v>12</v>
      </c>
      <c r="K767" t="s">
        <v>34</v>
      </c>
      <c r="L767">
        <v>83429</v>
      </c>
      <c r="M767" t="s">
        <v>140</v>
      </c>
      <c r="N767">
        <v>1</v>
      </c>
      <c r="O767" t="s">
        <v>119</v>
      </c>
      <c r="P767" t="s">
        <v>1223</v>
      </c>
      <c r="Q767">
        <v>605701.80000000005</v>
      </c>
      <c r="R767">
        <v>29403000</v>
      </c>
      <c r="S767">
        <v>33</v>
      </c>
      <c r="T767">
        <v>891000</v>
      </c>
      <c r="U767">
        <v>1</v>
      </c>
      <c r="V767">
        <v>1</v>
      </c>
      <c r="W767" t="s">
        <v>127</v>
      </c>
      <c r="X767">
        <v>29700</v>
      </c>
      <c r="Y767">
        <v>605701.80000000005</v>
      </c>
      <c r="Z767">
        <v>29403000</v>
      </c>
      <c r="AA767">
        <v>891000</v>
      </c>
      <c r="AB767">
        <v>105</v>
      </c>
      <c r="AC767" s="34">
        <v>45994</v>
      </c>
      <c r="AD767" s="34">
        <v>46173</v>
      </c>
      <c r="AF767">
        <v>0</v>
      </c>
      <c r="AG767">
        <v>3322182.6</v>
      </c>
      <c r="AH767">
        <v>0</v>
      </c>
      <c r="AI767">
        <v>3322182.6</v>
      </c>
      <c r="AJ767">
        <v>0</v>
      </c>
      <c r="AK767">
        <v>0</v>
      </c>
      <c r="AL767">
        <v>850478.75</v>
      </c>
      <c r="AM767">
        <v>0</v>
      </c>
      <c r="AN767">
        <v>4172661.35</v>
      </c>
      <c r="AO767" t="s">
        <v>122</v>
      </c>
      <c r="AP767">
        <v>15</v>
      </c>
      <c r="AQ767">
        <v>498327.39</v>
      </c>
      <c r="AR767">
        <v>498327.39</v>
      </c>
      <c r="AT767">
        <v>17641800</v>
      </c>
      <c r="AU767">
        <v>363421.08</v>
      </c>
      <c r="AV767">
        <v>17641800</v>
      </c>
      <c r="AW767">
        <v>363421.08</v>
      </c>
    </row>
    <row r="768" spans="1:49" hidden="1" x14ac:dyDescent="0.35">
      <c r="A768">
        <v>5836510</v>
      </c>
      <c r="B768">
        <v>1170005836501</v>
      </c>
      <c r="D768">
        <v>30707778136</v>
      </c>
      <c r="E768" t="s">
        <v>486</v>
      </c>
      <c r="F768" t="s">
        <v>1</v>
      </c>
      <c r="G768" t="s">
        <v>226</v>
      </c>
      <c r="H768" t="s">
        <v>63</v>
      </c>
      <c r="I768">
        <v>2535</v>
      </c>
      <c r="J768">
        <v>12</v>
      </c>
      <c r="K768" t="s">
        <v>34</v>
      </c>
      <c r="L768">
        <v>83429</v>
      </c>
      <c r="M768" t="s">
        <v>140</v>
      </c>
      <c r="N768">
        <v>2</v>
      </c>
      <c r="O768" t="s">
        <v>119</v>
      </c>
      <c r="P768" t="s">
        <v>1224</v>
      </c>
      <c r="Q768">
        <v>917730</v>
      </c>
      <c r="R768">
        <v>44550000</v>
      </c>
      <c r="S768">
        <v>50</v>
      </c>
      <c r="T768">
        <v>891000</v>
      </c>
      <c r="U768">
        <v>1</v>
      </c>
      <c r="V768">
        <v>1</v>
      </c>
      <c r="W768" t="s">
        <v>127</v>
      </c>
      <c r="X768">
        <v>29700</v>
      </c>
      <c r="Y768">
        <v>917730</v>
      </c>
      <c r="Z768">
        <v>44550000</v>
      </c>
      <c r="AA768">
        <v>891000</v>
      </c>
      <c r="AB768">
        <v>105</v>
      </c>
      <c r="AC768" s="34">
        <v>45994</v>
      </c>
      <c r="AD768" s="34">
        <v>46173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 t="s">
        <v>122</v>
      </c>
      <c r="AT768">
        <v>26730000</v>
      </c>
      <c r="AU768">
        <v>550638</v>
      </c>
      <c r="AV768">
        <v>26730000</v>
      </c>
      <c r="AW768">
        <v>550638</v>
      </c>
    </row>
    <row r="769" spans="1:49" hidden="1" x14ac:dyDescent="0.35">
      <c r="A769">
        <v>5836510</v>
      </c>
      <c r="B769">
        <v>1170005836501</v>
      </c>
      <c r="D769">
        <v>30707778136</v>
      </c>
      <c r="E769" t="s">
        <v>486</v>
      </c>
      <c r="F769" t="s">
        <v>1</v>
      </c>
      <c r="G769" t="s">
        <v>226</v>
      </c>
      <c r="H769" t="s">
        <v>63</v>
      </c>
      <c r="I769">
        <v>2535</v>
      </c>
      <c r="J769">
        <v>12</v>
      </c>
      <c r="K769" t="s">
        <v>34</v>
      </c>
      <c r="L769">
        <v>83429</v>
      </c>
      <c r="M769" t="s">
        <v>140</v>
      </c>
      <c r="N769">
        <v>3</v>
      </c>
      <c r="O769" t="s">
        <v>119</v>
      </c>
      <c r="P769" t="s">
        <v>1225</v>
      </c>
      <c r="Q769">
        <v>807602.4</v>
      </c>
      <c r="R769">
        <v>39204000</v>
      </c>
      <c r="S769">
        <v>44</v>
      </c>
      <c r="T769">
        <v>891000</v>
      </c>
      <c r="U769">
        <v>1</v>
      </c>
      <c r="V769">
        <v>1</v>
      </c>
      <c r="W769" t="s">
        <v>127</v>
      </c>
      <c r="X769">
        <v>29700</v>
      </c>
      <c r="Y769">
        <v>807602.4</v>
      </c>
      <c r="Z769">
        <v>39204000</v>
      </c>
      <c r="AA769">
        <v>891000</v>
      </c>
      <c r="AB769">
        <v>105</v>
      </c>
      <c r="AC769" s="34">
        <v>45994</v>
      </c>
      <c r="AD769" s="34">
        <v>46173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 t="s">
        <v>122</v>
      </c>
      <c r="AT769">
        <v>23522400</v>
      </c>
      <c r="AU769">
        <v>484561.44</v>
      </c>
      <c r="AV769">
        <v>23522400</v>
      </c>
      <c r="AW769">
        <v>484561.44</v>
      </c>
    </row>
    <row r="770" spans="1:49" hidden="1" x14ac:dyDescent="0.35">
      <c r="A770">
        <v>5836510</v>
      </c>
      <c r="B770">
        <v>1170005836501</v>
      </c>
      <c r="D770">
        <v>30707778136</v>
      </c>
      <c r="E770" t="s">
        <v>486</v>
      </c>
      <c r="F770" t="s">
        <v>1</v>
      </c>
      <c r="G770" t="s">
        <v>226</v>
      </c>
      <c r="H770" t="s">
        <v>63</v>
      </c>
      <c r="I770">
        <v>2535</v>
      </c>
      <c r="J770">
        <v>12</v>
      </c>
      <c r="K770" t="s">
        <v>34</v>
      </c>
      <c r="L770">
        <v>83429</v>
      </c>
      <c r="M770" t="s">
        <v>140</v>
      </c>
      <c r="N770">
        <v>4</v>
      </c>
      <c r="O770" t="s">
        <v>119</v>
      </c>
      <c r="P770" t="s">
        <v>1226</v>
      </c>
      <c r="Q770">
        <v>991148.4</v>
      </c>
      <c r="R770">
        <v>48114000</v>
      </c>
      <c r="S770">
        <v>54</v>
      </c>
      <c r="T770">
        <v>891000</v>
      </c>
      <c r="U770">
        <v>1</v>
      </c>
      <c r="V770">
        <v>1</v>
      </c>
      <c r="W770" t="s">
        <v>127</v>
      </c>
      <c r="X770">
        <v>29700</v>
      </c>
      <c r="Y770">
        <v>991148.4</v>
      </c>
      <c r="Z770">
        <v>48114000</v>
      </c>
      <c r="AA770">
        <v>891000</v>
      </c>
      <c r="AB770">
        <v>105</v>
      </c>
      <c r="AC770" s="34">
        <v>45994</v>
      </c>
      <c r="AD770" s="34">
        <v>46173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 t="s">
        <v>122</v>
      </c>
      <c r="AT770">
        <v>28868400</v>
      </c>
      <c r="AU770">
        <v>594689.04</v>
      </c>
      <c r="AV770">
        <v>28868400</v>
      </c>
      <c r="AW770">
        <v>594689.04</v>
      </c>
    </row>
    <row r="771" spans="1:49" hidden="1" x14ac:dyDescent="0.35">
      <c r="A771">
        <v>5836610</v>
      </c>
      <c r="B771">
        <v>1170005836601</v>
      </c>
      <c r="D771">
        <v>30707778136</v>
      </c>
      <c r="E771" t="s">
        <v>486</v>
      </c>
      <c r="F771" t="s">
        <v>1</v>
      </c>
      <c r="G771" t="s">
        <v>226</v>
      </c>
      <c r="H771" t="s">
        <v>63</v>
      </c>
      <c r="I771">
        <v>2535</v>
      </c>
      <c r="J771">
        <v>12</v>
      </c>
      <c r="K771" t="s">
        <v>34</v>
      </c>
      <c r="L771">
        <v>83429</v>
      </c>
      <c r="M771" t="s">
        <v>140</v>
      </c>
      <c r="N771">
        <v>1</v>
      </c>
      <c r="O771" t="s">
        <v>119</v>
      </c>
      <c r="P771" t="s">
        <v>1227</v>
      </c>
      <c r="Q771">
        <v>1670268.6</v>
      </c>
      <c r="R771">
        <v>81081000</v>
      </c>
      <c r="S771">
        <v>91</v>
      </c>
      <c r="T771">
        <v>891000</v>
      </c>
      <c r="U771">
        <v>1</v>
      </c>
      <c r="V771">
        <v>1</v>
      </c>
      <c r="W771" t="s">
        <v>127</v>
      </c>
      <c r="X771">
        <v>29700</v>
      </c>
      <c r="Y771">
        <v>1670268.6</v>
      </c>
      <c r="Z771">
        <v>81081000</v>
      </c>
      <c r="AA771">
        <v>891000</v>
      </c>
      <c r="AB771">
        <v>105</v>
      </c>
      <c r="AC771" s="34">
        <v>45994</v>
      </c>
      <c r="AD771" s="34">
        <v>46188</v>
      </c>
      <c r="AF771">
        <v>0</v>
      </c>
      <c r="AG771">
        <v>1670268.6</v>
      </c>
      <c r="AH771">
        <v>0</v>
      </c>
      <c r="AI771">
        <v>1670268.6</v>
      </c>
      <c r="AJ771">
        <v>0</v>
      </c>
      <c r="AK771">
        <v>0</v>
      </c>
      <c r="AL771">
        <v>427588.76</v>
      </c>
      <c r="AM771">
        <v>0</v>
      </c>
      <c r="AN771">
        <v>2097857.36</v>
      </c>
      <c r="AO771" t="s">
        <v>122</v>
      </c>
      <c r="AP771">
        <v>15</v>
      </c>
      <c r="AQ771">
        <v>250540.29</v>
      </c>
      <c r="AR771">
        <v>250540.29</v>
      </c>
      <c r="AT771">
        <v>48648600</v>
      </c>
      <c r="AU771">
        <v>1002161.16</v>
      </c>
      <c r="AV771">
        <v>48648600</v>
      </c>
      <c r="AW771">
        <v>1002161.16</v>
      </c>
    </row>
    <row r="772" spans="1:49" hidden="1" x14ac:dyDescent="0.35">
      <c r="A772">
        <v>5836710</v>
      </c>
      <c r="B772">
        <v>1170005836701</v>
      </c>
      <c r="D772">
        <v>30717022447</v>
      </c>
      <c r="E772" t="s">
        <v>225</v>
      </c>
      <c r="F772" t="s">
        <v>1</v>
      </c>
      <c r="G772" t="s">
        <v>226</v>
      </c>
      <c r="H772" t="s">
        <v>63</v>
      </c>
      <c r="I772">
        <v>2535</v>
      </c>
      <c r="J772">
        <v>12</v>
      </c>
      <c r="K772" t="s">
        <v>34</v>
      </c>
      <c r="L772">
        <v>83429</v>
      </c>
      <c r="M772" t="s">
        <v>140</v>
      </c>
      <c r="N772">
        <v>1</v>
      </c>
      <c r="O772" t="s">
        <v>119</v>
      </c>
      <c r="P772" t="s">
        <v>1228</v>
      </c>
      <c r="Q772">
        <v>1468368</v>
      </c>
      <c r="R772">
        <v>71280000</v>
      </c>
      <c r="S772">
        <v>80</v>
      </c>
      <c r="T772">
        <v>891000</v>
      </c>
      <c r="U772">
        <v>1</v>
      </c>
      <c r="V772">
        <v>1</v>
      </c>
      <c r="W772" t="s">
        <v>127</v>
      </c>
      <c r="X772">
        <v>29700</v>
      </c>
      <c r="Y772">
        <v>1468368</v>
      </c>
      <c r="Z772">
        <v>71280000</v>
      </c>
      <c r="AA772">
        <v>891000</v>
      </c>
      <c r="AB772">
        <v>105</v>
      </c>
      <c r="AC772" s="34">
        <v>45994</v>
      </c>
      <c r="AD772" s="34">
        <v>46173</v>
      </c>
      <c r="AF772">
        <v>0</v>
      </c>
      <c r="AG772">
        <v>4038012</v>
      </c>
      <c r="AH772">
        <v>0</v>
      </c>
      <c r="AI772">
        <v>4038012</v>
      </c>
      <c r="AJ772">
        <v>0</v>
      </c>
      <c r="AK772">
        <v>0</v>
      </c>
      <c r="AL772">
        <v>1033731.07</v>
      </c>
      <c r="AM772">
        <v>0</v>
      </c>
      <c r="AN772">
        <v>5071743.07</v>
      </c>
      <c r="AO772" t="s">
        <v>122</v>
      </c>
      <c r="AP772">
        <v>15</v>
      </c>
      <c r="AQ772">
        <v>605701.80000000005</v>
      </c>
      <c r="AR772">
        <v>605701.80000000005</v>
      </c>
      <c r="AT772">
        <v>42768000</v>
      </c>
      <c r="AU772">
        <v>881020.8</v>
      </c>
      <c r="AV772">
        <v>42768000</v>
      </c>
      <c r="AW772">
        <v>881020.8</v>
      </c>
    </row>
    <row r="773" spans="1:49" hidden="1" x14ac:dyDescent="0.35">
      <c r="A773">
        <v>5836710</v>
      </c>
      <c r="B773">
        <v>1170005836701</v>
      </c>
      <c r="D773">
        <v>30717022447</v>
      </c>
      <c r="E773" t="s">
        <v>225</v>
      </c>
      <c r="F773" t="s">
        <v>1</v>
      </c>
      <c r="G773" t="s">
        <v>226</v>
      </c>
      <c r="H773" t="s">
        <v>63</v>
      </c>
      <c r="I773">
        <v>2535</v>
      </c>
      <c r="J773">
        <v>12</v>
      </c>
      <c r="K773" t="s">
        <v>34</v>
      </c>
      <c r="L773">
        <v>83429</v>
      </c>
      <c r="M773" t="s">
        <v>140</v>
      </c>
      <c r="N773">
        <v>2</v>
      </c>
      <c r="O773" t="s">
        <v>119</v>
      </c>
      <c r="P773" t="s">
        <v>1229</v>
      </c>
      <c r="Q773">
        <v>1284822</v>
      </c>
      <c r="R773">
        <v>62370000</v>
      </c>
      <c r="S773">
        <v>60</v>
      </c>
      <c r="T773">
        <v>1039500</v>
      </c>
      <c r="U773">
        <v>1</v>
      </c>
      <c r="V773">
        <v>1</v>
      </c>
      <c r="W773" t="s">
        <v>127</v>
      </c>
      <c r="X773">
        <v>29700</v>
      </c>
      <c r="Y773">
        <v>1284822</v>
      </c>
      <c r="Z773">
        <v>62370000</v>
      </c>
      <c r="AA773">
        <v>1039500</v>
      </c>
      <c r="AB773">
        <v>105</v>
      </c>
      <c r="AC773" s="34">
        <v>45994</v>
      </c>
      <c r="AD773" s="34">
        <v>46173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 t="s">
        <v>122</v>
      </c>
      <c r="AT773">
        <v>37422000</v>
      </c>
      <c r="AU773">
        <v>770893.2</v>
      </c>
      <c r="AV773">
        <v>37422000</v>
      </c>
      <c r="AW773">
        <v>770893.2</v>
      </c>
    </row>
    <row r="774" spans="1:49" hidden="1" x14ac:dyDescent="0.35">
      <c r="A774">
        <v>5836710</v>
      </c>
      <c r="B774">
        <v>1170005836701</v>
      </c>
      <c r="D774">
        <v>30717022447</v>
      </c>
      <c r="E774" t="s">
        <v>225</v>
      </c>
      <c r="F774" t="s">
        <v>1</v>
      </c>
      <c r="G774" t="s">
        <v>226</v>
      </c>
      <c r="H774" t="s">
        <v>63</v>
      </c>
      <c r="I774">
        <v>2535</v>
      </c>
      <c r="J774">
        <v>12</v>
      </c>
      <c r="K774" t="s">
        <v>34</v>
      </c>
      <c r="L774">
        <v>83429</v>
      </c>
      <c r="M774" t="s">
        <v>140</v>
      </c>
      <c r="N774">
        <v>3</v>
      </c>
      <c r="O774" t="s">
        <v>119</v>
      </c>
      <c r="P774" t="s">
        <v>1230</v>
      </c>
      <c r="Q774">
        <v>1284822</v>
      </c>
      <c r="R774">
        <v>62370000</v>
      </c>
      <c r="S774">
        <v>60</v>
      </c>
      <c r="T774">
        <v>1039500</v>
      </c>
      <c r="U774">
        <v>1</v>
      </c>
      <c r="V774">
        <v>1</v>
      </c>
      <c r="W774" t="s">
        <v>127</v>
      </c>
      <c r="X774">
        <v>29700</v>
      </c>
      <c r="Y774">
        <v>1284822</v>
      </c>
      <c r="Z774">
        <v>62370000</v>
      </c>
      <c r="AA774">
        <v>1039500</v>
      </c>
      <c r="AB774">
        <v>105</v>
      </c>
      <c r="AC774" s="34">
        <v>45994</v>
      </c>
      <c r="AD774" s="34">
        <v>46173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 t="s">
        <v>122</v>
      </c>
      <c r="AT774">
        <v>37422000</v>
      </c>
      <c r="AU774">
        <v>770893.2</v>
      </c>
      <c r="AV774">
        <v>37422000</v>
      </c>
      <c r="AW774">
        <v>770893.2</v>
      </c>
    </row>
    <row r="775" spans="1:49" hidden="1" x14ac:dyDescent="0.35">
      <c r="A775">
        <v>5836810</v>
      </c>
      <c r="B775">
        <v>1170005836801</v>
      </c>
      <c r="D775">
        <v>30717022447</v>
      </c>
      <c r="E775" t="s">
        <v>225</v>
      </c>
      <c r="F775" t="s">
        <v>1</v>
      </c>
      <c r="G775" t="s">
        <v>226</v>
      </c>
      <c r="H775" t="s">
        <v>63</v>
      </c>
      <c r="I775">
        <v>2535</v>
      </c>
      <c r="J775">
        <v>12</v>
      </c>
      <c r="K775" t="s">
        <v>34</v>
      </c>
      <c r="L775">
        <v>83429</v>
      </c>
      <c r="M775" t="s">
        <v>140</v>
      </c>
      <c r="N775">
        <v>1</v>
      </c>
      <c r="O775" t="s">
        <v>119</v>
      </c>
      <c r="P775" t="s">
        <v>1231</v>
      </c>
      <c r="Q775">
        <v>770893.2</v>
      </c>
      <c r="R775">
        <v>37422000</v>
      </c>
      <c r="S775">
        <v>36</v>
      </c>
      <c r="T775">
        <v>1039500</v>
      </c>
      <c r="U775">
        <v>1</v>
      </c>
      <c r="V775">
        <v>1</v>
      </c>
      <c r="W775" t="s">
        <v>127</v>
      </c>
      <c r="X775">
        <v>29700</v>
      </c>
      <c r="Y775">
        <v>770893.2</v>
      </c>
      <c r="Z775">
        <v>37422000</v>
      </c>
      <c r="AA775">
        <v>1039500</v>
      </c>
      <c r="AB775">
        <v>105</v>
      </c>
      <c r="AC775" s="34">
        <v>45994</v>
      </c>
      <c r="AD775" s="34">
        <v>46188</v>
      </c>
      <c r="AF775">
        <v>0</v>
      </c>
      <c r="AG775">
        <v>770893.2</v>
      </c>
      <c r="AH775">
        <v>0</v>
      </c>
      <c r="AI775">
        <v>770893.2</v>
      </c>
      <c r="AJ775">
        <v>0</v>
      </c>
      <c r="AK775">
        <v>0</v>
      </c>
      <c r="AL775">
        <v>197348.67</v>
      </c>
      <c r="AM775">
        <v>0</v>
      </c>
      <c r="AN775">
        <v>968241.87</v>
      </c>
      <c r="AO775" t="s">
        <v>122</v>
      </c>
      <c r="AP775">
        <v>15</v>
      </c>
      <c r="AQ775">
        <v>115633.98</v>
      </c>
      <c r="AR775">
        <v>115633.98</v>
      </c>
      <c r="AT775">
        <v>22453200</v>
      </c>
      <c r="AU775">
        <v>462535.92</v>
      </c>
      <c r="AV775">
        <v>22453200</v>
      </c>
      <c r="AW775">
        <v>462535.92</v>
      </c>
    </row>
    <row r="776" spans="1:49" hidden="1" x14ac:dyDescent="0.35">
      <c r="A776">
        <v>5836910</v>
      </c>
      <c r="B776">
        <v>1150005836901</v>
      </c>
      <c r="D776">
        <v>33708835639</v>
      </c>
      <c r="E776" t="s">
        <v>1232</v>
      </c>
      <c r="F776" t="s">
        <v>1</v>
      </c>
      <c r="G776" t="s">
        <v>901</v>
      </c>
      <c r="H776" t="s">
        <v>50</v>
      </c>
      <c r="I776">
        <v>5949</v>
      </c>
      <c r="J776">
        <v>3</v>
      </c>
      <c r="K776" t="s">
        <v>32</v>
      </c>
      <c r="L776">
        <v>9262</v>
      </c>
      <c r="M776" t="s">
        <v>183</v>
      </c>
      <c r="N776">
        <v>1</v>
      </c>
      <c r="O776" t="s">
        <v>119</v>
      </c>
      <c r="P776" t="s">
        <v>1233</v>
      </c>
      <c r="Q776">
        <v>4846732.8</v>
      </c>
      <c r="R776">
        <v>173097600</v>
      </c>
      <c r="S776">
        <v>160</v>
      </c>
      <c r="T776">
        <v>1081860</v>
      </c>
      <c r="U776">
        <v>1</v>
      </c>
      <c r="V776">
        <v>1</v>
      </c>
      <c r="W776" t="s">
        <v>127</v>
      </c>
      <c r="X776">
        <v>54093</v>
      </c>
      <c r="Y776">
        <v>4846732.8</v>
      </c>
      <c r="Z776">
        <v>173097600</v>
      </c>
      <c r="AA776">
        <v>1081860</v>
      </c>
      <c r="AB776">
        <v>105</v>
      </c>
      <c r="AC776" s="34">
        <v>45986</v>
      </c>
      <c r="AD776" s="34">
        <v>46112</v>
      </c>
      <c r="AF776">
        <v>0</v>
      </c>
      <c r="AG776">
        <v>4846732.8</v>
      </c>
      <c r="AH776">
        <v>0</v>
      </c>
      <c r="AI776">
        <v>4846732.8</v>
      </c>
      <c r="AJ776">
        <v>0</v>
      </c>
      <c r="AK776">
        <v>0</v>
      </c>
      <c r="AL776">
        <v>1264997.26</v>
      </c>
      <c r="AM776">
        <v>0</v>
      </c>
      <c r="AN776">
        <v>6111730.0599999996</v>
      </c>
      <c r="AO776" t="s">
        <v>122</v>
      </c>
      <c r="AP776">
        <v>10</v>
      </c>
      <c r="AQ776">
        <v>484673.28000000003</v>
      </c>
      <c r="AR776">
        <v>484673.28000000003</v>
      </c>
      <c r="AT776">
        <v>103858560</v>
      </c>
      <c r="AU776">
        <v>2908039.68</v>
      </c>
      <c r="AV776">
        <v>103858560</v>
      </c>
      <c r="AW776">
        <v>2908039.68</v>
      </c>
    </row>
    <row r="777" spans="1:49" hidden="1" x14ac:dyDescent="0.35">
      <c r="A777">
        <v>5837010</v>
      </c>
      <c r="B777">
        <v>1150005837001</v>
      </c>
      <c r="D777">
        <v>20141098838</v>
      </c>
      <c r="E777" t="s">
        <v>1234</v>
      </c>
      <c r="F777" t="s">
        <v>1</v>
      </c>
      <c r="G777" t="s">
        <v>901</v>
      </c>
      <c r="H777" t="s">
        <v>50</v>
      </c>
      <c r="I777">
        <v>5949</v>
      </c>
      <c r="J777">
        <v>3</v>
      </c>
      <c r="K777" t="s">
        <v>32</v>
      </c>
      <c r="L777">
        <v>9262</v>
      </c>
      <c r="M777" t="s">
        <v>183</v>
      </c>
      <c r="N777">
        <v>1</v>
      </c>
      <c r="O777" t="s">
        <v>119</v>
      </c>
      <c r="P777" t="s">
        <v>1235</v>
      </c>
      <c r="Q777">
        <v>1363143.6</v>
      </c>
      <c r="R777">
        <v>48683700</v>
      </c>
      <c r="S777">
        <v>45</v>
      </c>
      <c r="T777">
        <v>1081860</v>
      </c>
      <c r="U777">
        <v>1</v>
      </c>
      <c r="V777">
        <v>1</v>
      </c>
      <c r="W777" t="s">
        <v>127</v>
      </c>
      <c r="X777">
        <v>54093</v>
      </c>
      <c r="Y777">
        <v>1363143.6</v>
      </c>
      <c r="Z777">
        <v>48683700</v>
      </c>
      <c r="AA777">
        <v>1081860</v>
      </c>
      <c r="AB777">
        <v>105</v>
      </c>
      <c r="AC777" s="34">
        <v>45986</v>
      </c>
      <c r="AD777" s="34">
        <v>46112</v>
      </c>
      <c r="AF777">
        <v>0</v>
      </c>
      <c r="AG777">
        <v>1363143.6</v>
      </c>
      <c r="AH777">
        <v>0</v>
      </c>
      <c r="AI777">
        <v>1363143.6</v>
      </c>
      <c r="AJ777">
        <v>0</v>
      </c>
      <c r="AK777">
        <v>0</v>
      </c>
      <c r="AL777">
        <v>355780.49</v>
      </c>
      <c r="AM777">
        <v>0</v>
      </c>
      <c r="AN777">
        <v>1718924.09</v>
      </c>
      <c r="AO777" t="s">
        <v>122</v>
      </c>
      <c r="AP777">
        <v>10</v>
      </c>
      <c r="AQ777">
        <v>136314.35999999999</v>
      </c>
      <c r="AR777">
        <v>136314.35999999999</v>
      </c>
      <c r="AT777">
        <v>29210220</v>
      </c>
      <c r="AU777">
        <v>817886.16</v>
      </c>
      <c r="AV777">
        <v>29210220</v>
      </c>
      <c r="AW777">
        <v>817886.16</v>
      </c>
    </row>
    <row r="778" spans="1:49" hidden="1" x14ac:dyDescent="0.35">
      <c r="A778">
        <v>5837110</v>
      </c>
      <c r="B778">
        <v>1170005837101</v>
      </c>
      <c r="D778">
        <v>20245701358</v>
      </c>
      <c r="E778" t="s">
        <v>165</v>
      </c>
      <c r="F778" t="s">
        <v>1</v>
      </c>
      <c r="G778" t="s">
        <v>226</v>
      </c>
      <c r="H778" t="s">
        <v>63</v>
      </c>
      <c r="I778">
        <v>2535</v>
      </c>
      <c r="J778">
        <v>12</v>
      </c>
      <c r="K778" t="s">
        <v>34</v>
      </c>
      <c r="L778">
        <v>83429</v>
      </c>
      <c r="M778" t="s">
        <v>140</v>
      </c>
      <c r="N778">
        <v>1</v>
      </c>
      <c r="O778" t="s">
        <v>119</v>
      </c>
      <c r="P778" t="s">
        <v>1236</v>
      </c>
      <c r="Q778">
        <v>1607067</v>
      </c>
      <c r="R778">
        <v>77695200</v>
      </c>
      <c r="S778">
        <v>218</v>
      </c>
      <c r="T778">
        <v>356400</v>
      </c>
      <c r="U778">
        <v>1</v>
      </c>
      <c r="V778">
        <v>1</v>
      </c>
      <c r="W778" t="s">
        <v>127</v>
      </c>
      <c r="X778">
        <v>29700</v>
      </c>
      <c r="Y778">
        <v>1607067</v>
      </c>
      <c r="Z778">
        <v>77695200</v>
      </c>
      <c r="AA778">
        <v>356400</v>
      </c>
      <c r="AB778">
        <v>210</v>
      </c>
      <c r="AC778" s="34">
        <v>46001</v>
      </c>
      <c r="AD778" s="34">
        <v>46173</v>
      </c>
      <c r="AF778">
        <v>0</v>
      </c>
      <c r="AG778">
        <v>1607067</v>
      </c>
      <c r="AH778">
        <v>0</v>
      </c>
      <c r="AI778">
        <v>1607067</v>
      </c>
      <c r="AJ778">
        <v>0</v>
      </c>
      <c r="AK778">
        <v>0</v>
      </c>
      <c r="AL778">
        <v>411409.16</v>
      </c>
      <c r="AM778">
        <v>0</v>
      </c>
      <c r="AN778">
        <v>2018476.16</v>
      </c>
      <c r="AO778" t="s">
        <v>122</v>
      </c>
      <c r="AP778">
        <v>15</v>
      </c>
      <c r="AQ778">
        <v>241060.05</v>
      </c>
      <c r="AR778">
        <v>241060.05</v>
      </c>
      <c r="AT778">
        <v>46617120</v>
      </c>
      <c r="AU778">
        <v>964240.2</v>
      </c>
      <c r="AV778">
        <v>46617120</v>
      </c>
      <c r="AW778">
        <v>964240.2</v>
      </c>
    </row>
    <row r="779" spans="1:49" hidden="1" x14ac:dyDescent="0.35">
      <c r="A779">
        <v>5837210</v>
      </c>
      <c r="B779">
        <v>1250005837201</v>
      </c>
      <c r="D779">
        <v>30707459286</v>
      </c>
      <c r="E779" t="s">
        <v>158</v>
      </c>
      <c r="F779" t="s">
        <v>1</v>
      </c>
      <c r="G779" t="s">
        <v>159</v>
      </c>
      <c r="H779" t="s">
        <v>48</v>
      </c>
      <c r="I779">
        <v>6120</v>
      </c>
      <c r="J779">
        <v>3</v>
      </c>
      <c r="K779" t="s">
        <v>32</v>
      </c>
      <c r="L779">
        <v>4401</v>
      </c>
      <c r="M779" t="s">
        <v>132</v>
      </c>
      <c r="N779">
        <v>1</v>
      </c>
      <c r="O779" t="s">
        <v>119</v>
      </c>
      <c r="P779" t="s">
        <v>1237</v>
      </c>
      <c r="Q779">
        <v>1280</v>
      </c>
      <c r="R779">
        <v>32000</v>
      </c>
      <c r="S779">
        <v>64</v>
      </c>
      <c r="T779">
        <v>500</v>
      </c>
      <c r="U779">
        <v>26</v>
      </c>
      <c r="V779">
        <v>1442</v>
      </c>
      <c r="W779" t="s">
        <v>121</v>
      </c>
      <c r="X779" t="s">
        <v>1</v>
      </c>
      <c r="Y779">
        <v>1845760</v>
      </c>
      <c r="Z779">
        <v>46144000</v>
      </c>
      <c r="AA779">
        <v>721000</v>
      </c>
      <c r="AB779">
        <v>210</v>
      </c>
      <c r="AC779" s="34">
        <v>45993</v>
      </c>
      <c r="AD779" s="34">
        <v>46142</v>
      </c>
      <c r="AE779" t="s">
        <v>161</v>
      </c>
      <c r="AF779">
        <v>0</v>
      </c>
      <c r="AG779">
        <v>1280</v>
      </c>
      <c r="AH779">
        <v>0</v>
      </c>
      <c r="AI779">
        <v>1845760</v>
      </c>
      <c r="AJ779">
        <v>0</v>
      </c>
      <c r="AK779">
        <v>0</v>
      </c>
      <c r="AL779">
        <v>481743.35999999999</v>
      </c>
      <c r="AM779">
        <v>0</v>
      </c>
      <c r="AN779">
        <v>2327503.36</v>
      </c>
      <c r="AO779" t="s">
        <v>122</v>
      </c>
      <c r="AP779">
        <v>15</v>
      </c>
      <c r="AQ779">
        <v>192</v>
      </c>
      <c r="AR779">
        <v>276864</v>
      </c>
      <c r="AT779">
        <v>19200</v>
      </c>
      <c r="AU779">
        <v>768</v>
      </c>
      <c r="AV779">
        <v>27686400</v>
      </c>
      <c r="AW779">
        <v>1107456</v>
      </c>
    </row>
    <row r="780" spans="1:49" hidden="1" x14ac:dyDescent="0.35">
      <c r="A780">
        <v>5837310</v>
      </c>
      <c r="B780">
        <v>1250005837301</v>
      </c>
      <c r="D780">
        <v>30707459286</v>
      </c>
      <c r="E780" t="s">
        <v>158</v>
      </c>
      <c r="F780" t="s">
        <v>1</v>
      </c>
      <c r="G780" t="s">
        <v>159</v>
      </c>
      <c r="H780" t="s">
        <v>48</v>
      </c>
      <c r="I780">
        <v>6120</v>
      </c>
      <c r="J780">
        <v>3</v>
      </c>
      <c r="K780" t="s">
        <v>32</v>
      </c>
      <c r="L780">
        <v>4401</v>
      </c>
      <c r="M780" t="s">
        <v>132</v>
      </c>
      <c r="N780">
        <v>1</v>
      </c>
      <c r="O780" t="s">
        <v>119</v>
      </c>
      <c r="P780" t="s">
        <v>1238</v>
      </c>
      <c r="Q780">
        <v>6590</v>
      </c>
      <c r="R780">
        <v>164750</v>
      </c>
      <c r="S780">
        <v>329.5</v>
      </c>
      <c r="T780">
        <v>500</v>
      </c>
      <c r="U780">
        <v>26</v>
      </c>
      <c r="V780">
        <v>1442</v>
      </c>
      <c r="W780" t="s">
        <v>121</v>
      </c>
      <c r="X780" t="s">
        <v>1</v>
      </c>
      <c r="Y780">
        <v>9502780</v>
      </c>
      <c r="Z780">
        <v>237569500</v>
      </c>
      <c r="AA780">
        <v>721000</v>
      </c>
      <c r="AB780">
        <v>106</v>
      </c>
      <c r="AC780" s="34">
        <v>45993</v>
      </c>
      <c r="AD780" s="34">
        <v>46173</v>
      </c>
      <c r="AE780" t="s">
        <v>161</v>
      </c>
      <c r="AF780">
        <v>0</v>
      </c>
      <c r="AG780">
        <v>6590</v>
      </c>
      <c r="AH780">
        <v>0</v>
      </c>
      <c r="AI780">
        <v>9502780</v>
      </c>
      <c r="AJ780">
        <v>0</v>
      </c>
      <c r="AK780">
        <v>0</v>
      </c>
      <c r="AL780">
        <v>2480225.58</v>
      </c>
      <c r="AM780">
        <v>0</v>
      </c>
      <c r="AN780">
        <v>11983005.58</v>
      </c>
      <c r="AO780" t="s">
        <v>122</v>
      </c>
      <c r="AP780">
        <v>15</v>
      </c>
      <c r="AQ780">
        <v>988.5</v>
      </c>
      <c r="AR780">
        <v>1425417</v>
      </c>
      <c r="AT780">
        <v>98850</v>
      </c>
      <c r="AU780">
        <v>3954</v>
      </c>
      <c r="AV780">
        <v>142541700</v>
      </c>
      <c r="AW780">
        <v>5701668</v>
      </c>
    </row>
    <row r="781" spans="1:49" hidden="1" x14ac:dyDescent="0.35">
      <c r="A781">
        <v>5837410</v>
      </c>
      <c r="B781">
        <v>1250005837401</v>
      </c>
      <c r="D781">
        <v>20363415009</v>
      </c>
      <c r="E781" t="s">
        <v>1239</v>
      </c>
      <c r="F781" t="s">
        <v>1</v>
      </c>
      <c r="G781" t="s">
        <v>159</v>
      </c>
      <c r="H781" t="s">
        <v>48</v>
      </c>
      <c r="I781">
        <v>6120</v>
      </c>
      <c r="J781">
        <v>3</v>
      </c>
      <c r="K781" t="s">
        <v>32</v>
      </c>
      <c r="L781">
        <v>4401</v>
      </c>
      <c r="M781" t="s">
        <v>132</v>
      </c>
      <c r="N781">
        <v>1</v>
      </c>
      <c r="O781" t="s">
        <v>119</v>
      </c>
      <c r="P781" t="s">
        <v>1240</v>
      </c>
      <c r="Q781">
        <v>4800</v>
      </c>
      <c r="R781">
        <v>120000</v>
      </c>
      <c r="S781">
        <v>240</v>
      </c>
      <c r="T781">
        <v>500</v>
      </c>
      <c r="U781">
        <v>26</v>
      </c>
      <c r="V781">
        <v>1442</v>
      </c>
      <c r="W781" t="s">
        <v>121</v>
      </c>
      <c r="X781" t="s">
        <v>1</v>
      </c>
      <c r="Y781">
        <v>6921600</v>
      </c>
      <c r="Z781">
        <v>173040000</v>
      </c>
      <c r="AA781">
        <v>721000</v>
      </c>
      <c r="AB781">
        <v>106</v>
      </c>
      <c r="AC781" s="34">
        <v>45994</v>
      </c>
      <c r="AD781" s="34">
        <v>46173</v>
      </c>
      <c r="AE781" t="s">
        <v>161</v>
      </c>
      <c r="AF781">
        <v>0</v>
      </c>
      <c r="AG781">
        <v>4800</v>
      </c>
      <c r="AH781">
        <v>0</v>
      </c>
      <c r="AI781">
        <v>6921600</v>
      </c>
      <c r="AJ781">
        <v>0</v>
      </c>
      <c r="AK781">
        <v>0</v>
      </c>
      <c r="AL781">
        <v>1806537.6</v>
      </c>
      <c r="AM781">
        <v>0</v>
      </c>
      <c r="AN781">
        <v>8728137.5999999996</v>
      </c>
      <c r="AO781" t="s">
        <v>122</v>
      </c>
      <c r="AP781">
        <v>15</v>
      </c>
      <c r="AQ781">
        <v>720</v>
      </c>
      <c r="AR781">
        <v>1038240</v>
      </c>
      <c r="AT781">
        <v>72000</v>
      </c>
      <c r="AU781">
        <v>2880</v>
      </c>
      <c r="AV781">
        <v>103824000</v>
      </c>
      <c r="AW781">
        <v>4152960</v>
      </c>
    </row>
    <row r="782" spans="1:49" hidden="1" x14ac:dyDescent="0.35">
      <c r="A782">
        <v>5837510</v>
      </c>
      <c r="B782">
        <v>1250005837501</v>
      </c>
      <c r="D782">
        <v>23256349469</v>
      </c>
      <c r="E782" t="s">
        <v>766</v>
      </c>
      <c r="F782" t="s">
        <v>1</v>
      </c>
      <c r="G782" t="s">
        <v>457</v>
      </c>
      <c r="H782" t="s">
        <v>48</v>
      </c>
      <c r="I782">
        <v>6128</v>
      </c>
      <c r="J782">
        <v>3</v>
      </c>
      <c r="K782" t="s">
        <v>32</v>
      </c>
      <c r="L782">
        <v>4401</v>
      </c>
      <c r="M782" t="s">
        <v>132</v>
      </c>
      <c r="N782">
        <v>1</v>
      </c>
      <c r="O782" t="s">
        <v>119</v>
      </c>
      <c r="P782" t="s">
        <v>1241</v>
      </c>
      <c r="Q782">
        <v>2064</v>
      </c>
      <c r="R782">
        <v>51600</v>
      </c>
      <c r="S782">
        <v>86</v>
      </c>
      <c r="T782">
        <v>600</v>
      </c>
      <c r="U782">
        <v>26</v>
      </c>
      <c r="V782">
        <v>1442</v>
      </c>
      <c r="W782" t="s">
        <v>121</v>
      </c>
      <c r="X782" t="s">
        <v>1</v>
      </c>
      <c r="Y782">
        <v>2976288</v>
      </c>
      <c r="Z782">
        <v>74407200</v>
      </c>
      <c r="AA782">
        <v>865200</v>
      </c>
      <c r="AB782">
        <v>106</v>
      </c>
      <c r="AC782" s="34">
        <v>45998</v>
      </c>
      <c r="AD782" s="34">
        <v>46173</v>
      </c>
      <c r="AF782">
        <v>0</v>
      </c>
      <c r="AG782">
        <v>7224</v>
      </c>
      <c r="AH782">
        <v>0</v>
      </c>
      <c r="AI782">
        <v>10417008</v>
      </c>
      <c r="AJ782">
        <v>0</v>
      </c>
      <c r="AK782">
        <v>0</v>
      </c>
      <c r="AL782">
        <v>2406323.08</v>
      </c>
      <c r="AM782">
        <v>0</v>
      </c>
      <c r="AN782">
        <v>12823331.08</v>
      </c>
      <c r="AO782" t="s">
        <v>122</v>
      </c>
      <c r="AP782">
        <v>15</v>
      </c>
      <c r="AQ782">
        <v>1083.5999999999999</v>
      </c>
      <c r="AR782">
        <v>1562551.2</v>
      </c>
      <c r="AT782">
        <v>30960</v>
      </c>
      <c r="AU782">
        <v>1238.4000000000001</v>
      </c>
      <c r="AV782">
        <v>44644320</v>
      </c>
      <c r="AW782">
        <v>1785772.8</v>
      </c>
    </row>
    <row r="783" spans="1:49" hidden="1" x14ac:dyDescent="0.35">
      <c r="A783">
        <v>5837510</v>
      </c>
      <c r="B783">
        <v>1250005837501</v>
      </c>
      <c r="D783">
        <v>23256349469</v>
      </c>
      <c r="E783" t="s">
        <v>766</v>
      </c>
      <c r="F783" t="s">
        <v>1</v>
      </c>
      <c r="G783" t="s">
        <v>457</v>
      </c>
      <c r="H783" t="s">
        <v>48</v>
      </c>
      <c r="I783">
        <v>6128</v>
      </c>
      <c r="J783">
        <v>3</v>
      </c>
      <c r="K783" t="s">
        <v>32</v>
      </c>
      <c r="L783">
        <v>4401</v>
      </c>
      <c r="M783" t="s">
        <v>132</v>
      </c>
      <c r="N783">
        <v>2</v>
      </c>
      <c r="O783" t="s">
        <v>119</v>
      </c>
      <c r="P783" t="s">
        <v>1242</v>
      </c>
      <c r="Q783">
        <v>1608</v>
      </c>
      <c r="R783">
        <v>40200</v>
      </c>
      <c r="S783">
        <v>67</v>
      </c>
      <c r="T783">
        <v>600</v>
      </c>
      <c r="U783">
        <v>26</v>
      </c>
      <c r="V783">
        <v>1442</v>
      </c>
      <c r="W783" t="s">
        <v>121</v>
      </c>
      <c r="X783" t="s">
        <v>1</v>
      </c>
      <c r="Y783">
        <v>2318736</v>
      </c>
      <c r="Z783">
        <v>57968400</v>
      </c>
      <c r="AA783">
        <v>865200</v>
      </c>
      <c r="AB783">
        <v>106</v>
      </c>
      <c r="AC783" s="34">
        <v>45998</v>
      </c>
      <c r="AD783" s="34">
        <v>46173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 t="s">
        <v>122</v>
      </c>
      <c r="AT783">
        <v>24120</v>
      </c>
      <c r="AU783">
        <v>964.8</v>
      </c>
      <c r="AV783">
        <v>34781040</v>
      </c>
      <c r="AW783">
        <v>1391241.6</v>
      </c>
    </row>
    <row r="784" spans="1:49" hidden="1" x14ac:dyDescent="0.35">
      <c r="A784">
        <v>5837510</v>
      </c>
      <c r="B784">
        <v>1250005837501</v>
      </c>
      <c r="D784">
        <v>23256349469</v>
      </c>
      <c r="E784" t="s">
        <v>766</v>
      </c>
      <c r="F784" t="s">
        <v>1</v>
      </c>
      <c r="G784" t="s">
        <v>457</v>
      </c>
      <c r="H784" t="s">
        <v>48</v>
      </c>
      <c r="I784">
        <v>6128</v>
      </c>
      <c r="J784">
        <v>3</v>
      </c>
      <c r="K784" t="s">
        <v>32</v>
      </c>
      <c r="L784">
        <v>4401</v>
      </c>
      <c r="M784" t="s">
        <v>132</v>
      </c>
      <c r="N784">
        <v>3</v>
      </c>
      <c r="O784" t="s">
        <v>119</v>
      </c>
      <c r="P784" t="s">
        <v>1243</v>
      </c>
      <c r="Q784">
        <v>3552</v>
      </c>
      <c r="R784">
        <v>88800</v>
      </c>
      <c r="S784">
        <v>148</v>
      </c>
      <c r="T784">
        <v>600</v>
      </c>
      <c r="U784">
        <v>26</v>
      </c>
      <c r="V784">
        <v>1442</v>
      </c>
      <c r="W784" t="s">
        <v>121</v>
      </c>
      <c r="X784" t="s">
        <v>1</v>
      </c>
      <c r="Y784">
        <v>5121984</v>
      </c>
      <c r="Z784">
        <v>128049600</v>
      </c>
      <c r="AA784">
        <v>865200</v>
      </c>
      <c r="AB784">
        <v>106</v>
      </c>
      <c r="AC784" s="34">
        <v>45998</v>
      </c>
      <c r="AD784" s="34">
        <v>46173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 t="s">
        <v>122</v>
      </c>
      <c r="AT784">
        <v>53280</v>
      </c>
      <c r="AU784">
        <v>2131.1999999999998</v>
      </c>
      <c r="AV784">
        <v>76829760</v>
      </c>
      <c r="AW784">
        <v>3073190.4</v>
      </c>
    </row>
    <row r="785" spans="1:49" hidden="1" x14ac:dyDescent="0.35">
      <c r="A785">
        <v>5837610</v>
      </c>
      <c r="B785">
        <v>1250005837601</v>
      </c>
      <c r="D785">
        <v>20066550614</v>
      </c>
      <c r="E785" t="s">
        <v>1244</v>
      </c>
      <c r="F785" t="s">
        <v>1</v>
      </c>
      <c r="G785" t="s">
        <v>432</v>
      </c>
      <c r="H785" t="s">
        <v>48</v>
      </c>
      <c r="I785">
        <v>6128</v>
      </c>
      <c r="J785">
        <v>3</v>
      </c>
      <c r="K785" t="s">
        <v>32</v>
      </c>
      <c r="L785">
        <v>4401</v>
      </c>
      <c r="M785" t="s">
        <v>132</v>
      </c>
      <c r="N785">
        <v>1</v>
      </c>
      <c r="O785" t="s">
        <v>119</v>
      </c>
      <c r="P785" t="s">
        <v>1245</v>
      </c>
      <c r="Q785">
        <v>28080</v>
      </c>
      <c r="R785">
        <v>720000</v>
      </c>
      <c r="S785">
        <v>12</v>
      </c>
      <c r="T785">
        <v>60000</v>
      </c>
      <c r="U785">
        <v>1</v>
      </c>
      <c r="V785">
        <v>1</v>
      </c>
      <c r="W785" t="s">
        <v>121</v>
      </c>
      <c r="X785" t="s">
        <v>1</v>
      </c>
      <c r="Y785">
        <v>28080</v>
      </c>
      <c r="Z785">
        <v>720000</v>
      </c>
      <c r="AA785">
        <v>60000</v>
      </c>
      <c r="AB785">
        <v>211</v>
      </c>
      <c r="AC785" s="34">
        <v>46001</v>
      </c>
      <c r="AD785" s="34">
        <v>46112</v>
      </c>
      <c r="AF785">
        <v>0</v>
      </c>
      <c r="AG785">
        <v>56160</v>
      </c>
      <c r="AH785">
        <v>0</v>
      </c>
      <c r="AI785">
        <v>56160</v>
      </c>
      <c r="AJ785">
        <v>0</v>
      </c>
      <c r="AK785">
        <v>0</v>
      </c>
      <c r="AL785">
        <v>12972.96</v>
      </c>
      <c r="AM785">
        <v>0</v>
      </c>
      <c r="AN785">
        <v>69132.960000000006</v>
      </c>
      <c r="AO785" t="s">
        <v>122</v>
      </c>
      <c r="AP785">
        <v>15</v>
      </c>
      <c r="AQ785">
        <v>8424</v>
      </c>
      <c r="AR785">
        <v>8424</v>
      </c>
      <c r="AT785">
        <v>432000</v>
      </c>
      <c r="AU785">
        <v>16848</v>
      </c>
      <c r="AV785">
        <v>432000</v>
      </c>
      <c r="AW785">
        <v>16848</v>
      </c>
    </row>
    <row r="786" spans="1:49" hidden="1" x14ac:dyDescent="0.35">
      <c r="A786">
        <v>5837610</v>
      </c>
      <c r="B786">
        <v>1250005837601</v>
      </c>
      <c r="D786">
        <v>20066550614</v>
      </c>
      <c r="E786" t="s">
        <v>1244</v>
      </c>
      <c r="F786" t="s">
        <v>1</v>
      </c>
      <c r="G786" t="s">
        <v>432</v>
      </c>
      <c r="H786" t="s">
        <v>48</v>
      </c>
      <c r="I786">
        <v>6128</v>
      </c>
      <c r="J786">
        <v>3</v>
      </c>
      <c r="K786" t="s">
        <v>32</v>
      </c>
      <c r="L786">
        <v>4401</v>
      </c>
      <c r="M786" t="s">
        <v>132</v>
      </c>
      <c r="N786">
        <v>2</v>
      </c>
      <c r="O786" t="s">
        <v>119</v>
      </c>
      <c r="P786" t="s">
        <v>1246</v>
      </c>
      <c r="Q786">
        <v>28080</v>
      </c>
      <c r="R786">
        <v>720000</v>
      </c>
      <c r="S786">
        <v>12</v>
      </c>
      <c r="T786">
        <v>60000</v>
      </c>
      <c r="U786">
        <v>1</v>
      </c>
      <c r="V786">
        <v>1</v>
      </c>
      <c r="W786" t="s">
        <v>121</v>
      </c>
      <c r="X786" t="s">
        <v>1</v>
      </c>
      <c r="Y786">
        <v>28080</v>
      </c>
      <c r="Z786">
        <v>720000</v>
      </c>
      <c r="AA786">
        <v>60000</v>
      </c>
      <c r="AB786">
        <v>211</v>
      </c>
      <c r="AC786" s="34">
        <v>46001</v>
      </c>
      <c r="AD786" s="34">
        <v>46112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 t="s">
        <v>122</v>
      </c>
      <c r="AT786">
        <v>432000</v>
      </c>
      <c r="AU786">
        <v>16848</v>
      </c>
      <c r="AV786">
        <v>432000</v>
      </c>
      <c r="AW786">
        <v>16848</v>
      </c>
    </row>
    <row r="787" spans="1:49" hidden="1" x14ac:dyDescent="0.35">
      <c r="A787">
        <v>5837710</v>
      </c>
      <c r="B787">
        <v>1250005837701</v>
      </c>
      <c r="D787">
        <v>20168087633</v>
      </c>
      <c r="E787" t="s">
        <v>130</v>
      </c>
      <c r="F787" t="s">
        <v>1</v>
      </c>
      <c r="G787" t="s">
        <v>131</v>
      </c>
      <c r="H787" t="s">
        <v>23</v>
      </c>
      <c r="I787">
        <v>6105</v>
      </c>
      <c r="J787">
        <v>1</v>
      </c>
      <c r="K787" t="s">
        <v>16</v>
      </c>
      <c r="L787">
        <v>4401</v>
      </c>
      <c r="M787" t="s">
        <v>132</v>
      </c>
      <c r="N787">
        <v>1</v>
      </c>
      <c r="O787" t="s">
        <v>119</v>
      </c>
      <c r="P787" t="s">
        <v>1247</v>
      </c>
      <c r="Q787">
        <v>3667.5</v>
      </c>
      <c r="R787">
        <v>81500</v>
      </c>
      <c r="S787">
        <v>326</v>
      </c>
      <c r="T787">
        <v>250</v>
      </c>
      <c r="U787">
        <v>26</v>
      </c>
      <c r="V787">
        <v>1442</v>
      </c>
      <c r="W787" t="s">
        <v>121</v>
      </c>
      <c r="X787" t="s">
        <v>1</v>
      </c>
      <c r="Y787">
        <v>5288535</v>
      </c>
      <c r="Z787">
        <v>117523000</v>
      </c>
      <c r="AA787">
        <v>360500</v>
      </c>
      <c r="AB787">
        <v>106</v>
      </c>
      <c r="AC787" s="34">
        <v>46001</v>
      </c>
      <c r="AD787" s="34">
        <v>46188</v>
      </c>
      <c r="AF787">
        <v>0</v>
      </c>
      <c r="AG787">
        <v>3667.5</v>
      </c>
      <c r="AH787">
        <v>0</v>
      </c>
      <c r="AI787">
        <v>5288535</v>
      </c>
      <c r="AJ787">
        <v>0</v>
      </c>
      <c r="AK787">
        <v>0</v>
      </c>
      <c r="AL787">
        <v>1327447.52</v>
      </c>
      <c r="AM787">
        <v>0</v>
      </c>
      <c r="AN787">
        <v>6615982.5199999996</v>
      </c>
      <c r="AO787" t="s">
        <v>122</v>
      </c>
      <c r="AP787">
        <v>15</v>
      </c>
      <c r="AQ787">
        <v>550.13</v>
      </c>
      <c r="AR787">
        <v>793287.46</v>
      </c>
      <c r="AT787">
        <v>48900</v>
      </c>
      <c r="AU787">
        <v>2200.5</v>
      </c>
      <c r="AV787">
        <v>70513800</v>
      </c>
      <c r="AW787">
        <v>3173121</v>
      </c>
    </row>
    <row r="788" spans="1:49" hidden="1" x14ac:dyDescent="0.35">
      <c r="A788">
        <v>5837810</v>
      </c>
      <c r="B788">
        <v>1250005837801</v>
      </c>
      <c r="D788">
        <v>20117887201</v>
      </c>
      <c r="E788" t="s">
        <v>136</v>
      </c>
      <c r="F788" t="s">
        <v>1</v>
      </c>
      <c r="G788" t="s">
        <v>131</v>
      </c>
      <c r="H788" t="s">
        <v>23</v>
      </c>
      <c r="I788">
        <v>6105</v>
      </c>
      <c r="J788">
        <v>1</v>
      </c>
      <c r="K788" t="s">
        <v>16</v>
      </c>
      <c r="L788">
        <v>4401</v>
      </c>
      <c r="M788" t="s">
        <v>132</v>
      </c>
      <c r="N788">
        <v>1</v>
      </c>
      <c r="O788" t="s">
        <v>119</v>
      </c>
      <c r="P788" t="s">
        <v>1248</v>
      </c>
      <c r="Q788">
        <v>7335</v>
      </c>
      <c r="R788">
        <v>163000</v>
      </c>
      <c r="S788">
        <v>326</v>
      </c>
      <c r="T788">
        <v>500</v>
      </c>
      <c r="U788">
        <v>26</v>
      </c>
      <c r="V788">
        <v>1442</v>
      </c>
      <c r="W788" t="s">
        <v>121</v>
      </c>
      <c r="X788" t="s">
        <v>1</v>
      </c>
      <c r="Y788">
        <v>10577070</v>
      </c>
      <c r="Z788">
        <v>235046000</v>
      </c>
      <c r="AA788">
        <v>721000</v>
      </c>
      <c r="AB788">
        <v>106</v>
      </c>
      <c r="AC788" s="34">
        <v>46001</v>
      </c>
      <c r="AD788" s="34">
        <v>46188</v>
      </c>
      <c r="AF788">
        <v>0</v>
      </c>
      <c r="AG788">
        <v>7335</v>
      </c>
      <c r="AH788">
        <v>0</v>
      </c>
      <c r="AI788">
        <v>10577070</v>
      </c>
      <c r="AJ788">
        <v>0</v>
      </c>
      <c r="AK788">
        <v>0</v>
      </c>
      <c r="AL788">
        <v>2654851.7799999998</v>
      </c>
      <c r="AM788">
        <v>0</v>
      </c>
      <c r="AN788">
        <v>13231921.779999999</v>
      </c>
      <c r="AO788" t="s">
        <v>122</v>
      </c>
      <c r="AP788">
        <v>15</v>
      </c>
      <c r="AQ788">
        <v>1100.25</v>
      </c>
      <c r="AR788">
        <v>1586560.5</v>
      </c>
      <c r="AT788">
        <v>97800</v>
      </c>
      <c r="AU788">
        <v>4401</v>
      </c>
      <c r="AV788">
        <v>141027600</v>
      </c>
      <c r="AW788">
        <v>6346242</v>
      </c>
    </row>
    <row r="789" spans="1:49" hidden="1" x14ac:dyDescent="0.35">
      <c r="A789">
        <v>5837910</v>
      </c>
      <c r="B789">
        <v>1090005837901</v>
      </c>
      <c r="D789">
        <v>20228489469</v>
      </c>
      <c r="E789" t="s">
        <v>1249</v>
      </c>
      <c r="F789" t="s">
        <v>1</v>
      </c>
      <c r="G789" t="s">
        <v>370</v>
      </c>
      <c r="H789" t="s">
        <v>58</v>
      </c>
      <c r="I789">
        <v>6333</v>
      </c>
      <c r="J789">
        <v>21</v>
      </c>
      <c r="K789" t="s">
        <v>33</v>
      </c>
      <c r="L789">
        <v>6864</v>
      </c>
      <c r="M789" t="s">
        <v>371</v>
      </c>
      <c r="N789">
        <v>1</v>
      </c>
      <c r="O789" t="s">
        <v>119</v>
      </c>
      <c r="P789" t="s">
        <v>1250</v>
      </c>
      <c r="Q789">
        <v>3027.5</v>
      </c>
      <c r="R789">
        <v>87500</v>
      </c>
      <c r="S789">
        <v>175</v>
      </c>
      <c r="T789">
        <v>500</v>
      </c>
      <c r="U789">
        <v>26</v>
      </c>
      <c r="V789">
        <v>1442</v>
      </c>
      <c r="W789" t="s">
        <v>121</v>
      </c>
      <c r="X789" t="s">
        <v>1</v>
      </c>
      <c r="Y789">
        <v>4365655</v>
      </c>
      <c r="Z789">
        <v>126175000</v>
      </c>
      <c r="AA789">
        <v>721000</v>
      </c>
      <c r="AB789">
        <v>211</v>
      </c>
      <c r="AC789" s="34">
        <v>45984</v>
      </c>
      <c r="AD789" s="34">
        <v>46142</v>
      </c>
      <c r="AF789">
        <v>1</v>
      </c>
      <c r="AG789">
        <v>3027.5</v>
      </c>
      <c r="AH789">
        <v>0</v>
      </c>
      <c r="AI789">
        <v>4365655</v>
      </c>
      <c r="AJ789">
        <v>0</v>
      </c>
      <c r="AK789">
        <v>0</v>
      </c>
      <c r="AL789">
        <v>1095804.6399999999</v>
      </c>
      <c r="AM789">
        <v>0</v>
      </c>
      <c r="AN789">
        <v>5461459.6399999997</v>
      </c>
      <c r="AO789" t="s">
        <v>122</v>
      </c>
      <c r="AP789">
        <v>15</v>
      </c>
      <c r="AQ789">
        <v>454.13</v>
      </c>
      <c r="AR789">
        <v>654855.46</v>
      </c>
      <c r="AT789">
        <v>52500</v>
      </c>
      <c r="AU789">
        <v>1816.5</v>
      </c>
      <c r="AV789">
        <v>75705000</v>
      </c>
      <c r="AW789">
        <v>2619393</v>
      </c>
    </row>
    <row r="790" spans="1:49" hidden="1" x14ac:dyDescent="0.35">
      <c r="A790">
        <v>5838010</v>
      </c>
      <c r="B790">
        <v>1090005838001</v>
      </c>
      <c r="D790">
        <v>20050373577</v>
      </c>
      <c r="E790" t="s">
        <v>1251</v>
      </c>
      <c r="F790" t="s">
        <v>1</v>
      </c>
      <c r="G790" t="s">
        <v>370</v>
      </c>
      <c r="H790" t="s">
        <v>58</v>
      </c>
      <c r="I790">
        <v>6333</v>
      </c>
      <c r="J790">
        <v>21</v>
      </c>
      <c r="K790" t="s">
        <v>33</v>
      </c>
      <c r="L790">
        <v>6864</v>
      </c>
      <c r="M790" t="s">
        <v>371</v>
      </c>
      <c r="N790">
        <v>1</v>
      </c>
      <c r="O790" t="s">
        <v>119</v>
      </c>
      <c r="P790" t="s">
        <v>1252</v>
      </c>
      <c r="Q790">
        <v>440160</v>
      </c>
      <c r="R790">
        <v>8400000</v>
      </c>
      <c r="S790">
        <v>12</v>
      </c>
      <c r="T790">
        <v>700000</v>
      </c>
      <c r="U790">
        <v>1</v>
      </c>
      <c r="V790">
        <v>1</v>
      </c>
      <c r="W790" t="s">
        <v>121</v>
      </c>
      <c r="X790" t="s">
        <v>1</v>
      </c>
      <c r="Y790">
        <v>440160</v>
      </c>
      <c r="Z790">
        <v>8400000</v>
      </c>
      <c r="AA790">
        <v>700000</v>
      </c>
      <c r="AB790">
        <v>105</v>
      </c>
      <c r="AC790" s="34">
        <v>45993</v>
      </c>
      <c r="AD790" s="34">
        <v>46112</v>
      </c>
      <c r="AE790" t="s">
        <v>355</v>
      </c>
      <c r="AF790">
        <v>0</v>
      </c>
      <c r="AG790">
        <v>440160</v>
      </c>
      <c r="AH790">
        <v>0</v>
      </c>
      <c r="AI790">
        <v>440160</v>
      </c>
      <c r="AJ790">
        <v>0</v>
      </c>
      <c r="AK790">
        <v>0</v>
      </c>
      <c r="AL790">
        <v>110480.16</v>
      </c>
      <c r="AM790">
        <v>0</v>
      </c>
      <c r="AN790">
        <v>550640.16</v>
      </c>
      <c r="AO790" t="s">
        <v>122</v>
      </c>
      <c r="AP790">
        <v>15</v>
      </c>
      <c r="AQ790">
        <v>66024</v>
      </c>
      <c r="AR790">
        <v>66024</v>
      </c>
      <c r="AT790">
        <v>5040000</v>
      </c>
      <c r="AU790">
        <v>264096</v>
      </c>
      <c r="AV790">
        <v>5040000</v>
      </c>
      <c r="AW790">
        <v>264096</v>
      </c>
    </row>
    <row r="791" spans="1:49" hidden="1" x14ac:dyDescent="0.35">
      <c r="A791">
        <v>5838110</v>
      </c>
      <c r="B791">
        <v>1090005838101</v>
      </c>
      <c r="D791">
        <v>27141299757</v>
      </c>
      <c r="E791" t="s">
        <v>1253</v>
      </c>
      <c r="F791" t="s">
        <v>1</v>
      </c>
      <c r="G791" t="s">
        <v>370</v>
      </c>
      <c r="H791" t="s">
        <v>58</v>
      </c>
      <c r="I791">
        <v>6333</v>
      </c>
      <c r="J791">
        <v>21</v>
      </c>
      <c r="K791" t="s">
        <v>33</v>
      </c>
      <c r="L791">
        <v>6864</v>
      </c>
      <c r="M791" t="s">
        <v>371</v>
      </c>
      <c r="N791">
        <v>1</v>
      </c>
      <c r="O791" t="s">
        <v>119</v>
      </c>
      <c r="P791" t="s">
        <v>1254</v>
      </c>
      <c r="Q791">
        <v>430.32</v>
      </c>
      <c r="R791">
        <v>13200</v>
      </c>
      <c r="S791">
        <v>22</v>
      </c>
      <c r="T791">
        <v>600</v>
      </c>
      <c r="U791">
        <v>26</v>
      </c>
      <c r="V791">
        <v>1442</v>
      </c>
      <c r="W791" t="s">
        <v>121</v>
      </c>
      <c r="X791" t="s">
        <v>1</v>
      </c>
      <c r="Y791">
        <v>620521.43999999994</v>
      </c>
      <c r="Z791">
        <v>19034400</v>
      </c>
      <c r="AA791">
        <v>865200</v>
      </c>
      <c r="AB791">
        <v>211</v>
      </c>
      <c r="AC791" s="34">
        <v>45994</v>
      </c>
      <c r="AD791" s="34">
        <v>46112</v>
      </c>
      <c r="AF791">
        <v>0</v>
      </c>
      <c r="AG791">
        <v>1212.72</v>
      </c>
      <c r="AH791">
        <v>0</v>
      </c>
      <c r="AI791">
        <v>1748742.24</v>
      </c>
      <c r="AJ791">
        <v>0</v>
      </c>
      <c r="AK791">
        <v>0</v>
      </c>
      <c r="AL791">
        <v>438930.38</v>
      </c>
      <c r="AM791">
        <v>0</v>
      </c>
      <c r="AN791">
        <v>2187672.62</v>
      </c>
      <c r="AO791" t="s">
        <v>122</v>
      </c>
      <c r="AP791">
        <v>15</v>
      </c>
      <c r="AQ791">
        <v>181.91</v>
      </c>
      <c r="AR791">
        <v>262314.21999999997</v>
      </c>
      <c r="AT791">
        <v>7920</v>
      </c>
      <c r="AU791">
        <v>258.19</v>
      </c>
      <c r="AV791">
        <v>11420640</v>
      </c>
      <c r="AW791">
        <v>372309.98</v>
      </c>
    </row>
    <row r="792" spans="1:49" hidden="1" x14ac:dyDescent="0.35">
      <c r="A792">
        <v>5838110</v>
      </c>
      <c r="B792">
        <v>1090005838101</v>
      </c>
      <c r="D792">
        <v>27141299757</v>
      </c>
      <c r="E792" t="s">
        <v>1253</v>
      </c>
      <c r="F792" t="s">
        <v>1</v>
      </c>
      <c r="G792" t="s">
        <v>370</v>
      </c>
      <c r="H792" t="s">
        <v>58</v>
      </c>
      <c r="I792">
        <v>6333</v>
      </c>
      <c r="J792">
        <v>21</v>
      </c>
      <c r="K792" t="s">
        <v>33</v>
      </c>
      <c r="L792">
        <v>6864</v>
      </c>
      <c r="M792" t="s">
        <v>371</v>
      </c>
      <c r="N792">
        <v>2</v>
      </c>
      <c r="O792" t="s">
        <v>119</v>
      </c>
      <c r="P792" t="s">
        <v>1255</v>
      </c>
      <c r="Q792">
        <v>782.4</v>
      </c>
      <c r="R792">
        <v>24000</v>
      </c>
      <c r="S792">
        <v>40</v>
      </c>
      <c r="T792">
        <v>600</v>
      </c>
      <c r="U792">
        <v>26</v>
      </c>
      <c r="V792">
        <v>1442</v>
      </c>
      <c r="W792" t="s">
        <v>121</v>
      </c>
      <c r="X792" t="s">
        <v>1</v>
      </c>
      <c r="Y792">
        <v>1128220.8</v>
      </c>
      <c r="Z792">
        <v>34608000</v>
      </c>
      <c r="AA792">
        <v>865200</v>
      </c>
      <c r="AB792">
        <v>211</v>
      </c>
      <c r="AC792" s="34">
        <v>45994</v>
      </c>
      <c r="AD792" s="34">
        <v>46112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 t="s">
        <v>122</v>
      </c>
      <c r="AT792">
        <v>14400</v>
      </c>
      <c r="AU792">
        <v>469.44</v>
      </c>
      <c r="AV792">
        <v>20764800</v>
      </c>
      <c r="AW792">
        <v>676932.48</v>
      </c>
    </row>
    <row r="793" spans="1:49" hidden="1" x14ac:dyDescent="0.35">
      <c r="A793">
        <v>5838210</v>
      </c>
      <c r="B793">
        <v>1250005838201</v>
      </c>
      <c r="D793">
        <v>20166400555</v>
      </c>
      <c r="E793" t="s">
        <v>1256</v>
      </c>
      <c r="F793" t="s">
        <v>1</v>
      </c>
      <c r="G793" t="s">
        <v>1257</v>
      </c>
      <c r="H793" t="s">
        <v>47</v>
      </c>
      <c r="I793">
        <v>6121</v>
      </c>
      <c r="J793">
        <v>3</v>
      </c>
      <c r="K793" t="s">
        <v>32</v>
      </c>
      <c r="L793">
        <v>10067</v>
      </c>
      <c r="M793" t="s">
        <v>704</v>
      </c>
      <c r="N793">
        <v>1</v>
      </c>
      <c r="O793" t="s">
        <v>119</v>
      </c>
      <c r="P793" t="s">
        <v>1258</v>
      </c>
      <c r="Q793">
        <v>5846742</v>
      </c>
      <c r="R793">
        <v>151470000</v>
      </c>
      <c r="S793">
        <v>255</v>
      </c>
      <c r="T793">
        <v>594000</v>
      </c>
      <c r="U793">
        <v>1</v>
      </c>
      <c r="V793">
        <v>1</v>
      </c>
      <c r="W793" t="s">
        <v>127</v>
      </c>
      <c r="X793">
        <v>29700</v>
      </c>
      <c r="Y793">
        <v>5846742</v>
      </c>
      <c r="Z793">
        <v>151470000</v>
      </c>
      <c r="AA793">
        <v>594000</v>
      </c>
      <c r="AB793">
        <v>105</v>
      </c>
      <c r="AC793" s="34">
        <v>45985</v>
      </c>
      <c r="AD793" s="34">
        <v>46173</v>
      </c>
      <c r="AF793">
        <v>0</v>
      </c>
      <c r="AG793">
        <v>5846742</v>
      </c>
      <c r="AH793">
        <v>0</v>
      </c>
      <c r="AI793">
        <v>5846742</v>
      </c>
      <c r="AJ793">
        <v>0</v>
      </c>
      <c r="AK793">
        <v>0</v>
      </c>
      <c r="AL793">
        <v>1525999.66</v>
      </c>
      <c r="AM793">
        <v>0</v>
      </c>
      <c r="AN793">
        <v>7372741.6600000001</v>
      </c>
      <c r="AO793" t="s">
        <v>122</v>
      </c>
      <c r="AP793">
        <v>10</v>
      </c>
      <c r="AQ793">
        <v>584674.19999999995</v>
      </c>
      <c r="AR793">
        <v>584674.19999999995</v>
      </c>
      <c r="AT793">
        <v>90882000</v>
      </c>
      <c r="AU793">
        <v>3508045.2</v>
      </c>
      <c r="AV793">
        <v>90882000</v>
      </c>
      <c r="AW793">
        <v>3508045.2</v>
      </c>
    </row>
    <row r="794" spans="1:49" hidden="1" x14ac:dyDescent="0.35">
      <c r="A794">
        <v>5838310</v>
      </c>
      <c r="B794">
        <v>1250005838301</v>
      </c>
      <c r="D794">
        <v>20166400555</v>
      </c>
      <c r="E794" t="s">
        <v>1256</v>
      </c>
      <c r="F794" t="s">
        <v>1</v>
      </c>
      <c r="G794" t="s">
        <v>1257</v>
      </c>
      <c r="H794" t="s">
        <v>47</v>
      </c>
      <c r="I794">
        <v>6121</v>
      </c>
      <c r="J794">
        <v>3</v>
      </c>
      <c r="K794" t="s">
        <v>32</v>
      </c>
      <c r="L794">
        <v>10067</v>
      </c>
      <c r="M794" t="s">
        <v>704</v>
      </c>
      <c r="N794">
        <v>1</v>
      </c>
      <c r="O794" t="s">
        <v>119</v>
      </c>
      <c r="P794" t="s">
        <v>1259</v>
      </c>
      <c r="Q794">
        <v>3178324</v>
      </c>
      <c r="R794">
        <v>82340000</v>
      </c>
      <c r="S794">
        <v>115</v>
      </c>
      <c r="T794">
        <v>716000</v>
      </c>
      <c r="U794">
        <v>1</v>
      </c>
      <c r="V794">
        <v>1</v>
      </c>
      <c r="W794" t="s">
        <v>127</v>
      </c>
      <c r="X794">
        <v>17900</v>
      </c>
      <c r="Y794">
        <v>3178324</v>
      </c>
      <c r="Z794">
        <v>82340000</v>
      </c>
      <c r="AA794">
        <v>716000</v>
      </c>
      <c r="AB794">
        <v>105</v>
      </c>
      <c r="AC794" s="34">
        <v>45985</v>
      </c>
      <c r="AD794" s="34">
        <v>46203</v>
      </c>
      <c r="AF794">
        <v>0</v>
      </c>
      <c r="AG794">
        <v>3178324</v>
      </c>
      <c r="AH794">
        <v>0</v>
      </c>
      <c r="AI794">
        <v>3178324</v>
      </c>
      <c r="AJ794">
        <v>0</v>
      </c>
      <c r="AK794">
        <v>0</v>
      </c>
      <c r="AL794">
        <v>829542.56</v>
      </c>
      <c r="AM794">
        <v>0</v>
      </c>
      <c r="AN794">
        <v>4007866.56</v>
      </c>
      <c r="AO794" t="s">
        <v>122</v>
      </c>
      <c r="AP794">
        <v>10</v>
      </c>
      <c r="AQ794">
        <v>317832.40000000002</v>
      </c>
      <c r="AR794">
        <v>317832.40000000002</v>
      </c>
      <c r="AT794">
        <v>49404000</v>
      </c>
      <c r="AU794">
        <v>1906994.4</v>
      </c>
      <c r="AV794">
        <v>49404000</v>
      </c>
      <c r="AW794">
        <v>1906994.4</v>
      </c>
    </row>
    <row r="795" spans="1:49" hidden="1" x14ac:dyDescent="0.35">
      <c r="A795">
        <v>5838410</v>
      </c>
      <c r="B795">
        <v>1250005838401</v>
      </c>
      <c r="D795">
        <v>20313666221</v>
      </c>
      <c r="E795" t="s">
        <v>1260</v>
      </c>
      <c r="F795" t="s">
        <v>1</v>
      </c>
      <c r="G795" t="s">
        <v>703</v>
      </c>
      <c r="H795" t="s">
        <v>47</v>
      </c>
      <c r="I795">
        <v>2670</v>
      </c>
      <c r="J795">
        <v>3</v>
      </c>
      <c r="K795" t="s">
        <v>32</v>
      </c>
      <c r="L795">
        <v>10067</v>
      </c>
      <c r="M795" t="s">
        <v>704</v>
      </c>
      <c r="N795">
        <v>1</v>
      </c>
      <c r="O795" t="s">
        <v>119</v>
      </c>
      <c r="P795" t="s">
        <v>1261</v>
      </c>
      <c r="Q795">
        <v>2211008</v>
      </c>
      <c r="R795">
        <v>57280000</v>
      </c>
      <c r="S795">
        <v>80</v>
      </c>
      <c r="T795">
        <v>716000</v>
      </c>
      <c r="U795">
        <v>1</v>
      </c>
      <c r="V795">
        <v>1</v>
      </c>
      <c r="W795" t="s">
        <v>127</v>
      </c>
      <c r="X795">
        <v>17900</v>
      </c>
      <c r="Y795">
        <v>2211008</v>
      </c>
      <c r="Z795">
        <v>57280000</v>
      </c>
      <c r="AA795">
        <v>716000</v>
      </c>
      <c r="AB795">
        <v>105</v>
      </c>
      <c r="AC795" s="34">
        <v>45998</v>
      </c>
      <c r="AD795" s="34">
        <v>46203</v>
      </c>
      <c r="AF795">
        <v>0</v>
      </c>
      <c r="AG795">
        <v>2211008</v>
      </c>
      <c r="AH795">
        <v>0</v>
      </c>
      <c r="AI795">
        <v>2211008</v>
      </c>
      <c r="AJ795">
        <v>0</v>
      </c>
      <c r="AK795">
        <v>0</v>
      </c>
      <c r="AL795">
        <v>510742.85</v>
      </c>
      <c r="AM795">
        <v>0</v>
      </c>
      <c r="AN795">
        <v>2721750.85</v>
      </c>
      <c r="AO795" t="s">
        <v>122</v>
      </c>
      <c r="AP795">
        <v>10</v>
      </c>
      <c r="AQ795">
        <v>221100.79999999999</v>
      </c>
      <c r="AR795">
        <v>221100.79999999999</v>
      </c>
      <c r="AT795">
        <v>34368000</v>
      </c>
      <c r="AU795">
        <v>1326604.8</v>
      </c>
      <c r="AV795">
        <v>34368000</v>
      </c>
      <c r="AW795">
        <v>1326604.8</v>
      </c>
    </row>
    <row r="796" spans="1:49" x14ac:dyDescent="0.35">
      <c r="A796">
        <v>5838510</v>
      </c>
      <c r="B796">
        <v>1250005838501</v>
      </c>
      <c r="D796">
        <v>33715575669</v>
      </c>
      <c r="E796" t="s">
        <v>1262</v>
      </c>
      <c r="F796" t="s">
        <v>1</v>
      </c>
      <c r="G796" t="s">
        <v>1263</v>
      </c>
      <c r="H796" t="s">
        <v>68</v>
      </c>
      <c r="I796">
        <v>6270</v>
      </c>
      <c r="J796">
        <v>3</v>
      </c>
      <c r="K796" t="s">
        <v>32</v>
      </c>
      <c r="L796">
        <v>8212</v>
      </c>
      <c r="M796" t="s">
        <v>1264</v>
      </c>
      <c r="N796">
        <v>1</v>
      </c>
      <c r="O796" t="s">
        <v>119</v>
      </c>
      <c r="P796" t="s">
        <v>1265</v>
      </c>
      <c r="Q796">
        <v>3318975</v>
      </c>
      <c r="R796" s="60">
        <v>74250000</v>
      </c>
      <c r="S796">
        <v>200</v>
      </c>
      <c r="T796">
        <v>371250</v>
      </c>
      <c r="U796">
        <v>1</v>
      </c>
      <c r="V796">
        <v>1</v>
      </c>
      <c r="W796" t="s">
        <v>127</v>
      </c>
      <c r="X796">
        <v>29700</v>
      </c>
      <c r="Y796" s="60">
        <v>3318975</v>
      </c>
      <c r="Z796" s="60">
        <v>74250000</v>
      </c>
      <c r="AA796">
        <v>371250</v>
      </c>
      <c r="AB796">
        <v>105</v>
      </c>
      <c r="AC796" s="34">
        <v>46000</v>
      </c>
      <c r="AD796" s="34">
        <v>46173</v>
      </c>
      <c r="AF796">
        <v>0</v>
      </c>
      <c r="AG796">
        <v>3318975</v>
      </c>
      <c r="AH796">
        <v>0</v>
      </c>
      <c r="AI796">
        <v>3318975</v>
      </c>
      <c r="AJ796">
        <v>0</v>
      </c>
      <c r="AK796">
        <v>0</v>
      </c>
      <c r="AL796">
        <v>866252.48</v>
      </c>
      <c r="AM796">
        <v>0</v>
      </c>
      <c r="AN796">
        <v>4185227.48</v>
      </c>
      <c r="AO796" t="s">
        <v>122</v>
      </c>
      <c r="AP796">
        <v>10</v>
      </c>
      <c r="AQ796">
        <v>331897.5</v>
      </c>
      <c r="AR796">
        <v>331897.5</v>
      </c>
      <c r="AT796">
        <v>44550000</v>
      </c>
      <c r="AU796">
        <v>1991385</v>
      </c>
      <c r="AV796">
        <v>44550000</v>
      </c>
      <c r="AW796">
        <v>1991385</v>
      </c>
    </row>
    <row r="797" spans="1:49" hidden="1" x14ac:dyDescent="0.35">
      <c r="A797">
        <v>5838610</v>
      </c>
      <c r="B797">
        <v>5010005838601</v>
      </c>
      <c r="D797">
        <v>30614483179</v>
      </c>
      <c r="E797" t="s">
        <v>287</v>
      </c>
      <c r="F797" t="s">
        <v>1</v>
      </c>
      <c r="G797" t="s">
        <v>24</v>
      </c>
      <c r="H797" t="s">
        <v>24</v>
      </c>
      <c r="I797">
        <v>6070</v>
      </c>
      <c r="J797">
        <v>1</v>
      </c>
      <c r="K797" t="s">
        <v>16</v>
      </c>
      <c r="L797">
        <v>11014</v>
      </c>
      <c r="M797" t="s">
        <v>232</v>
      </c>
      <c r="N797">
        <v>1</v>
      </c>
      <c r="O797" t="s">
        <v>119</v>
      </c>
      <c r="P797" t="s">
        <v>1266</v>
      </c>
      <c r="Q797">
        <v>1085.58</v>
      </c>
      <c r="R797">
        <v>66600</v>
      </c>
      <c r="S797">
        <v>111</v>
      </c>
      <c r="T797">
        <v>600</v>
      </c>
      <c r="U797">
        <v>26</v>
      </c>
      <c r="V797">
        <v>1442</v>
      </c>
      <c r="W797" t="s">
        <v>121</v>
      </c>
      <c r="X797" t="s">
        <v>1</v>
      </c>
      <c r="Y797">
        <v>1565406.36</v>
      </c>
      <c r="Z797">
        <v>96037200</v>
      </c>
      <c r="AA797">
        <v>865200</v>
      </c>
      <c r="AB797">
        <v>210</v>
      </c>
      <c r="AC797" s="34">
        <v>45997</v>
      </c>
      <c r="AD797" s="34">
        <v>46142</v>
      </c>
      <c r="AF797">
        <v>0</v>
      </c>
      <c r="AG797">
        <v>1085.58</v>
      </c>
      <c r="AH797">
        <v>0</v>
      </c>
      <c r="AI797">
        <v>1565406.36</v>
      </c>
      <c r="AJ797">
        <v>0</v>
      </c>
      <c r="AK797">
        <v>0</v>
      </c>
      <c r="AL797">
        <v>392916.16</v>
      </c>
      <c r="AM797">
        <v>0</v>
      </c>
      <c r="AN797">
        <v>1958322.52</v>
      </c>
      <c r="AO797" t="s">
        <v>122</v>
      </c>
      <c r="AP797">
        <v>15</v>
      </c>
      <c r="AQ797">
        <v>162.84</v>
      </c>
      <c r="AR797">
        <v>234815.28</v>
      </c>
      <c r="AT797">
        <v>39960</v>
      </c>
      <c r="AU797">
        <v>651.35</v>
      </c>
      <c r="AV797">
        <v>57622320</v>
      </c>
      <c r="AW797">
        <v>939246.7</v>
      </c>
    </row>
    <row r="798" spans="1:49" hidden="1" x14ac:dyDescent="0.35">
      <c r="A798">
        <v>5838710</v>
      </c>
      <c r="B798">
        <v>5010005838701</v>
      </c>
      <c r="D798">
        <v>20209151333</v>
      </c>
      <c r="E798" t="s">
        <v>1211</v>
      </c>
      <c r="F798" t="s">
        <v>1</v>
      </c>
      <c r="G798" t="s">
        <v>1267</v>
      </c>
      <c r="H798" t="s">
        <v>32</v>
      </c>
      <c r="I798">
        <v>6271</v>
      </c>
      <c r="J798">
        <v>3</v>
      </c>
      <c r="K798" t="s">
        <v>32</v>
      </c>
      <c r="L798">
        <v>11014</v>
      </c>
      <c r="M798" t="s">
        <v>232</v>
      </c>
      <c r="N798">
        <v>1</v>
      </c>
      <c r="O798" t="s">
        <v>119</v>
      </c>
      <c r="P798" t="s">
        <v>1268</v>
      </c>
      <c r="Q798">
        <v>1196.9100000000001</v>
      </c>
      <c r="R798">
        <v>30225</v>
      </c>
      <c r="S798">
        <v>93</v>
      </c>
      <c r="T798">
        <v>325</v>
      </c>
      <c r="U798">
        <v>26</v>
      </c>
      <c r="V798">
        <v>1442</v>
      </c>
      <c r="W798" t="s">
        <v>121</v>
      </c>
      <c r="X798" t="s">
        <v>1</v>
      </c>
      <c r="Y798">
        <v>1725944.22</v>
      </c>
      <c r="Z798">
        <v>43584450</v>
      </c>
      <c r="AA798">
        <v>468650</v>
      </c>
      <c r="AB798">
        <v>210</v>
      </c>
      <c r="AC798" s="34">
        <v>45980</v>
      </c>
      <c r="AD798" s="34">
        <v>46142</v>
      </c>
      <c r="AF798">
        <v>0</v>
      </c>
      <c r="AG798">
        <v>1196.9100000000001</v>
      </c>
      <c r="AH798">
        <v>0</v>
      </c>
      <c r="AI798">
        <v>1725944.22</v>
      </c>
      <c r="AJ798">
        <v>0</v>
      </c>
      <c r="AK798">
        <v>0</v>
      </c>
      <c r="AL798">
        <v>450466.38</v>
      </c>
      <c r="AM798">
        <v>0</v>
      </c>
      <c r="AN798">
        <v>2176410.6</v>
      </c>
      <c r="AO798" t="s">
        <v>122</v>
      </c>
      <c r="AP798">
        <v>15</v>
      </c>
      <c r="AQ798">
        <v>179.54</v>
      </c>
      <c r="AR798">
        <v>258896.68</v>
      </c>
      <c r="AT798">
        <v>18135</v>
      </c>
      <c r="AU798">
        <v>718.15</v>
      </c>
      <c r="AV798">
        <v>26150670</v>
      </c>
      <c r="AW798">
        <v>1035572.3</v>
      </c>
    </row>
    <row r="799" spans="1:49" hidden="1" x14ac:dyDescent="0.35">
      <c r="A799">
        <v>5838810</v>
      </c>
      <c r="B799">
        <v>1170005838801</v>
      </c>
      <c r="D799">
        <v>20060700835</v>
      </c>
      <c r="E799" t="s">
        <v>1269</v>
      </c>
      <c r="F799" t="s">
        <v>1</v>
      </c>
      <c r="G799" t="s">
        <v>578</v>
      </c>
      <c r="H799" t="s">
        <v>297</v>
      </c>
      <c r="I799">
        <v>2107</v>
      </c>
      <c r="J799">
        <v>12</v>
      </c>
      <c r="K799" t="s">
        <v>34</v>
      </c>
      <c r="L799">
        <v>10987</v>
      </c>
      <c r="M799" t="s">
        <v>298</v>
      </c>
      <c r="N799">
        <v>1</v>
      </c>
      <c r="O799" t="s">
        <v>125</v>
      </c>
      <c r="P799" t="s">
        <v>1270</v>
      </c>
      <c r="Q799">
        <v>463617</v>
      </c>
      <c r="R799">
        <v>15610000</v>
      </c>
      <c r="S799">
        <v>20</v>
      </c>
      <c r="T799">
        <v>780500</v>
      </c>
      <c r="U799">
        <v>1</v>
      </c>
      <c r="V799">
        <v>1</v>
      </c>
      <c r="W799" t="s">
        <v>127</v>
      </c>
      <c r="X799">
        <v>22300</v>
      </c>
      <c r="Y799">
        <v>463617</v>
      </c>
      <c r="Z799">
        <v>15610000</v>
      </c>
      <c r="AA799">
        <v>780500</v>
      </c>
      <c r="AB799">
        <v>105</v>
      </c>
      <c r="AC799" s="34">
        <v>45927</v>
      </c>
      <c r="AD799" s="34">
        <v>46022</v>
      </c>
      <c r="AF799">
        <v>0</v>
      </c>
      <c r="AG799">
        <v>463617</v>
      </c>
      <c r="AH799">
        <v>0</v>
      </c>
      <c r="AI799">
        <v>463617</v>
      </c>
      <c r="AJ799">
        <v>0</v>
      </c>
      <c r="AK799">
        <v>0</v>
      </c>
      <c r="AL799">
        <v>118685.96</v>
      </c>
      <c r="AM799">
        <v>0</v>
      </c>
      <c r="AN799">
        <v>582302.96</v>
      </c>
      <c r="AO799" t="s">
        <v>122</v>
      </c>
      <c r="AP799">
        <v>15</v>
      </c>
      <c r="AQ799">
        <v>69542.55</v>
      </c>
      <c r="AR799">
        <v>69542.55</v>
      </c>
      <c r="AT799">
        <v>9366000</v>
      </c>
      <c r="AU799">
        <v>278170.2</v>
      </c>
      <c r="AV799">
        <v>9366000</v>
      </c>
      <c r="AW799">
        <v>278170.2</v>
      </c>
    </row>
    <row r="800" spans="1:49" hidden="1" x14ac:dyDescent="0.35">
      <c r="A800">
        <v>5838910</v>
      </c>
      <c r="B800">
        <v>1170005838901</v>
      </c>
      <c r="D800">
        <v>20131920203</v>
      </c>
      <c r="E800" t="s">
        <v>1271</v>
      </c>
      <c r="F800" t="s">
        <v>1</v>
      </c>
      <c r="G800" t="s">
        <v>296</v>
      </c>
      <c r="H800" t="s">
        <v>297</v>
      </c>
      <c r="I800">
        <v>2107</v>
      </c>
      <c r="J800">
        <v>12</v>
      </c>
      <c r="K800" t="s">
        <v>34</v>
      </c>
      <c r="L800">
        <v>10987</v>
      </c>
      <c r="M800" t="s">
        <v>298</v>
      </c>
      <c r="N800">
        <v>1</v>
      </c>
      <c r="O800" t="s">
        <v>125</v>
      </c>
      <c r="P800" t="s">
        <v>1272</v>
      </c>
      <c r="Q800">
        <v>682.56</v>
      </c>
      <c r="R800">
        <v>21600</v>
      </c>
      <c r="S800">
        <v>36</v>
      </c>
      <c r="T800">
        <v>600</v>
      </c>
      <c r="U800">
        <v>26</v>
      </c>
      <c r="V800">
        <v>1442</v>
      </c>
      <c r="W800" t="s">
        <v>121</v>
      </c>
      <c r="X800" t="s">
        <v>1</v>
      </c>
      <c r="Y800">
        <v>984251.52</v>
      </c>
      <c r="Z800">
        <v>31147200</v>
      </c>
      <c r="AA800">
        <v>865200</v>
      </c>
      <c r="AB800">
        <v>106</v>
      </c>
      <c r="AC800" s="34">
        <v>45930</v>
      </c>
      <c r="AD800" s="34">
        <v>46022</v>
      </c>
      <c r="AE800" t="s">
        <v>161</v>
      </c>
      <c r="AF800">
        <v>0</v>
      </c>
      <c r="AG800">
        <v>682.56</v>
      </c>
      <c r="AH800">
        <v>0</v>
      </c>
      <c r="AI800">
        <v>984251.52</v>
      </c>
      <c r="AJ800">
        <v>0</v>
      </c>
      <c r="AK800">
        <v>0</v>
      </c>
      <c r="AL800">
        <v>251975.08</v>
      </c>
      <c r="AM800">
        <v>0</v>
      </c>
      <c r="AN800">
        <v>1236226.6000000001</v>
      </c>
      <c r="AO800" t="s">
        <v>122</v>
      </c>
      <c r="AP800">
        <v>14.999000000000001</v>
      </c>
      <c r="AQ800">
        <v>102.38</v>
      </c>
      <c r="AR800">
        <v>147631.96</v>
      </c>
      <c r="AT800">
        <v>12960</v>
      </c>
      <c r="AU800">
        <v>409.54</v>
      </c>
      <c r="AV800">
        <v>18688320</v>
      </c>
      <c r="AW800">
        <v>590556.68000000005</v>
      </c>
    </row>
    <row r="801" spans="1:49" hidden="1" x14ac:dyDescent="0.35">
      <c r="A801">
        <v>5839010</v>
      </c>
      <c r="B801">
        <v>1250005839001</v>
      </c>
      <c r="D801">
        <v>20294635425</v>
      </c>
      <c r="E801" t="s">
        <v>959</v>
      </c>
      <c r="F801" t="s">
        <v>1</v>
      </c>
      <c r="G801" t="s">
        <v>960</v>
      </c>
      <c r="H801" t="s">
        <v>49</v>
      </c>
      <c r="I801">
        <v>5815</v>
      </c>
      <c r="J801">
        <v>3</v>
      </c>
      <c r="K801" t="s">
        <v>32</v>
      </c>
      <c r="L801">
        <v>12031</v>
      </c>
      <c r="M801" t="s">
        <v>721</v>
      </c>
      <c r="N801">
        <v>1</v>
      </c>
      <c r="O801" t="s">
        <v>119</v>
      </c>
      <c r="P801" t="s">
        <v>1273</v>
      </c>
      <c r="Q801">
        <v>854023.5</v>
      </c>
      <c r="R801">
        <v>13365000</v>
      </c>
      <c r="S801">
        <v>30</v>
      </c>
      <c r="T801">
        <v>445500</v>
      </c>
      <c r="U801">
        <v>1</v>
      </c>
      <c r="V801">
        <v>1</v>
      </c>
      <c r="W801" t="s">
        <v>127</v>
      </c>
      <c r="X801">
        <v>29700</v>
      </c>
      <c r="Y801">
        <v>854023.5</v>
      </c>
      <c r="Z801">
        <v>13365000</v>
      </c>
      <c r="AA801">
        <v>445500</v>
      </c>
      <c r="AB801">
        <v>105</v>
      </c>
      <c r="AC801" s="34">
        <v>45966</v>
      </c>
      <c r="AD801" s="34">
        <v>46173</v>
      </c>
      <c r="AF801">
        <v>1</v>
      </c>
      <c r="AG801">
        <v>854023.5</v>
      </c>
      <c r="AH801">
        <v>0</v>
      </c>
      <c r="AI801">
        <v>854023.5</v>
      </c>
      <c r="AJ801">
        <v>0</v>
      </c>
      <c r="AK801">
        <v>0</v>
      </c>
      <c r="AL801">
        <v>222900.15</v>
      </c>
      <c r="AM801">
        <v>0</v>
      </c>
      <c r="AN801">
        <v>1076923.6499999999</v>
      </c>
      <c r="AO801" t="s">
        <v>122</v>
      </c>
      <c r="AP801">
        <v>10</v>
      </c>
      <c r="AQ801">
        <v>85402.35</v>
      </c>
      <c r="AR801">
        <v>85402.35</v>
      </c>
      <c r="AT801">
        <v>8019000</v>
      </c>
      <c r="AU801">
        <v>512414.1</v>
      </c>
      <c r="AV801">
        <v>8019000</v>
      </c>
      <c r="AW801">
        <v>512414.1</v>
      </c>
    </row>
    <row r="802" spans="1:49" hidden="1" x14ac:dyDescent="0.35">
      <c r="A802">
        <v>5839110</v>
      </c>
      <c r="B802">
        <v>1250005839101</v>
      </c>
      <c r="D802">
        <v>20329008518</v>
      </c>
      <c r="E802" t="s">
        <v>1274</v>
      </c>
      <c r="F802" t="s">
        <v>1</v>
      </c>
      <c r="G802" t="s">
        <v>703</v>
      </c>
      <c r="H802" t="s">
        <v>47</v>
      </c>
      <c r="I802">
        <v>2670</v>
      </c>
      <c r="J802">
        <v>3</v>
      </c>
      <c r="K802" t="s">
        <v>32</v>
      </c>
      <c r="L802">
        <v>10067</v>
      </c>
      <c r="M802" t="s">
        <v>704</v>
      </c>
      <c r="N802">
        <v>1</v>
      </c>
      <c r="O802" t="s">
        <v>119</v>
      </c>
      <c r="P802" t="s">
        <v>1275</v>
      </c>
      <c r="Q802">
        <v>3783186</v>
      </c>
      <c r="R802">
        <v>98010000</v>
      </c>
      <c r="S802">
        <v>165</v>
      </c>
      <c r="T802">
        <v>594000</v>
      </c>
      <c r="U802">
        <v>1</v>
      </c>
      <c r="V802">
        <v>1</v>
      </c>
      <c r="W802" t="s">
        <v>127</v>
      </c>
      <c r="X802">
        <v>29700</v>
      </c>
      <c r="Y802">
        <v>3783186</v>
      </c>
      <c r="Z802">
        <v>98010000</v>
      </c>
      <c r="AA802">
        <v>594000</v>
      </c>
      <c r="AB802">
        <v>105</v>
      </c>
      <c r="AC802" s="34">
        <v>45986</v>
      </c>
      <c r="AD802" s="34">
        <v>46173</v>
      </c>
      <c r="AF802">
        <v>0</v>
      </c>
      <c r="AG802">
        <v>3783186</v>
      </c>
      <c r="AH802">
        <v>0</v>
      </c>
      <c r="AI802">
        <v>3783186</v>
      </c>
      <c r="AJ802">
        <v>0</v>
      </c>
      <c r="AK802">
        <v>0</v>
      </c>
      <c r="AL802">
        <v>987411.55</v>
      </c>
      <c r="AM802">
        <v>0</v>
      </c>
      <c r="AN802">
        <v>4770597.55</v>
      </c>
      <c r="AO802" t="s">
        <v>122</v>
      </c>
      <c r="AP802">
        <v>10</v>
      </c>
      <c r="AQ802">
        <v>378318.6</v>
      </c>
      <c r="AR802">
        <v>378318.6</v>
      </c>
      <c r="AT802">
        <v>58806000</v>
      </c>
      <c r="AU802">
        <v>2269911.6</v>
      </c>
      <c r="AV802">
        <v>58806000</v>
      </c>
      <c r="AW802">
        <v>2269911.6</v>
      </c>
    </row>
    <row r="803" spans="1:49" hidden="1" x14ac:dyDescent="0.35">
      <c r="A803">
        <v>5839210</v>
      </c>
      <c r="B803">
        <v>1250005839201</v>
      </c>
      <c r="D803">
        <v>20329008518</v>
      </c>
      <c r="E803" t="s">
        <v>1274</v>
      </c>
      <c r="F803" t="s">
        <v>1</v>
      </c>
      <c r="G803" t="s">
        <v>703</v>
      </c>
      <c r="H803" t="s">
        <v>47</v>
      </c>
      <c r="I803">
        <v>2670</v>
      </c>
      <c r="J803">
        <v>3</v>
      </c>
      <c r="K803" t="s">
        <v>32</v>
      </c>
      <c r="L803">
        <v>10067</v>
      </c>
      <c r="M803" t="s">
        <v>704</v>
      </c>
      <c r="N803">
        <v>1</v>
      </c>
      <c r="O803" t="s">
        <v>119</v>
      </c>
      <c r="P803" t="s">
        <v>1276</v>
      </c>
      <c r="Q803">
        <v>3178324</v>
      </c>
      <c r="R803">
        <v>82340000</v>
      </c>
      <c r="S803">
        <v>115</v>
      </c>
      <c r="T803">
        <v>716000</v>
      </c>
      <c r="U803">
        <v>1</v>
      </c>
      <c r="V803">
        <v>1</v>
      </c>
      <c r="W803" t="s">
        <v>127</v>
      </c>
      <c r="X803">
        <v>17900</v>
      </c>
      <c r="Y803">
        <v>3178324</v>
      </c>
      <c r="Z803">
        <v>82340000</v>
      </c>
      <c r="AA803">
        <v>716000</v>
      </c>
      <c r="AB803">
        <v>105</v>
      </c>
      <c r="AC803" s="34">
        <v>45986</v>
      </c>
      <c r="AD803" s="34">
        <v>46203</v>
      </c>
      <c r="AF803">
        <v>0</v>
      </c>
      <c r="AG803">
        <v>3178324</v>
      </c>
      <c r="AH803">
        <v>0</v>
      </c>
      <c r="AI803">
        <v>3178324</v>
      </c>
      <c r="AJ803">
        <v>0</v>
      </c>
      <c r="AK803">
        <v>0</v>
      </c>
      <c r="AL803">
        <v>829542.56</v>
      </c>
      <c r="AM803">
        <v>0</v>
      </c>
      <c r="AN803">
        <v>4007866.56</v>
      </c>
      <c r="AO803" t="s">
        <v>122</v>
      </c>
      <c r="AP803">
        <v>10</v>
      </c>
      <c r="AQ803">
        <v>317832.40000000002</v>
      </c>
      <c r="AR803">
        <v>317832.40000000002</v>
      </c>
      <c r="AT803">
        <v>49404000</v>
      </c>
      <c r="AU803">
        <v>1906994.4</v>
      </c>
      <c r="AV803">
        <v>49404000</v>
      </c>
      <c r="AW803">
        <v>1906994.4</v>
      </c>
    </row>
    <row r="804" spans="1:49" hidden="1" x14ac:dyDescent="0.35">
      <c r="A804">
        <v>5839310</v>
      </c>
      <c r="B804">
        <v>1250005839301</v>
      </c>
      <c r="D804">
        <v>20320129533</v>
      </c>
      <c r="E804" t="s">
        <v>964</v>
      </c>
      <c r="F804" t="s">
        <v>1</v>
      </c>
      <c r="G804" t="s">
        <v>960</v>
      </c>
      <c r="H804" t="s">
        <v>49</v>
      </c>
      <c r="I804">
        <v>5815</v>
      </c>
      <c r="J804">
        <v>3</v>
      </c>
      <c r="K804" t="s">
        <v>32</v>
      </c>
      <c r="L804">
        <v>12031</v>
      </c>
      <c r="M804" t="s">
        <v>721</v>
      </c>
      <c r="N804">
        <v>1</v>
      </c>
      <c r="O804" t="s">
        <v>119</v>
      </c>
      <c r="P804" t="s">
        <v>1277</v>
      </c>
      <c r="Q804">
        <v>3700768.5</v>
      </c>
      <c r="R804">
        <v>57915000</v>
      </c>
      <c r="S804">
        <v>130</v>
      </c>
      <c r="T804">
        <v>445500</v>
      </c>
      <c r="U804">
        <v>1</v>
      </c>
      <c r="V804">
        <v>1</v>
      </c>
      <c r="W804" t="s">
        <v>127</v>
      </c>
      <c r="X804">
        <v>29700</v>
      </c>
      <c r="Y804">
        <v>3700768.5</v>
      </c>
      <c r="Z804">
        <v>57915000</v>
      </c>
      <c r="AA804">
        <v>445500</v>
      </c>
      <c r="AB804">
        <v>105</v>
      </c>
      <c r="AC804" s="34">
        <v>45966</v>
      </c>
      <c r="AD804" s="34">
        <v>46173</v>
      </c>
      <c r="AF804">
        <v>2</v>
      </c>
      <c r="AG804">
        <v>3700768.5</v>
      </c>
      <c r="AH804">
        <v>0</v>
      </c>
      <c r="AI804">
        <v>3700768.5</v>
      </c>
      <c r="AJ804">
        <v>0</v>
      </c>
      <c r="AK804">
        <v>0</v>
      </c>
      <c r="AL804">
        <v>965900.59</v>
      </c>
      <c r="AM804">
        <v>0</v>
      </c>
      <c r="AN804">
        <v>4666669.09</v>
      </c>
      <c r="AO804" t="s">
        <v>122</v>
      </c>
      <c r="AP804">
        <v>10</v>
      </c>
      <c r="AQ804">
        <v>370076.85</v>
      </c>
      <c r="AR804">
        <v>370076.85</v>
      </c>
      <c r="AT804">
        <v>34749000</v>
      </c>
      <c r="AU804">
        <v>2220461.1</v>
      </c>
      <c r="AV804">
        <v>34749000</v>
      </c>
      <c r="AW804">
        <v>2220461.1</v>
      </c>
    </row>
    <row r="805" spans="1:49" hidden="1" x14ac:dyDescent="0.35">
      <c r="A805">
        <v>5839410</v>
      </c>
      <c r="B805">
        <v>1250005839401</v>
      </c>
      <c r="D805">
        <v>20289289160</v>
      </c>
      <c r="E805" t="s">
        <v>1278</v>
      </c>
      <c r="F805" t="s">
        <v>1</v>
      </c>
      <c r="G805" t="s">
        <v>960</v>
      </c>
      <c r="H805" t="s">
        <v>49</v>
      </c>
      <c r="I805">
        <v>5815</v>
      </c>
      <c r="J805">
        <v>3</v>
      </c>
      <c r="K805" t="s">
        <v>32</v>
      </c>
      <c r="L805">
        <v>12031</v>
      </c>
      <c r="M805" t="s">
        <v>721</v>
      </c>
      <c r="N805">
        <v>1</v>
      </c>
      <c r="O805" t="s">
        <v>119</v>
      </c>
      <c r="P805" t="s">
        <v>1279</v>
      </c>
      <c r="Q805">
        <v>3605877</v>
      </c>
      <c r="R805">
        <v>56430000</v>
      </c>
      <c r="S805">
        <v>95</v>
      </c>
      <c r="T805">
        <v>594000</v>
      </c>
      <c r="U805">
        <v>1</v>
      </c>
      <c r="V805">
        <v>1</v>
      </c>
      <c r="W805" t="s">
        <v>127</v>
      </c>
      <c r="X805">
        <v>29700</v>
      </c>
      <c r="Y805">
        <v>3605877</v>
      </c>
      <c r="Z805">
        <v>56430000</v>
      </c>
      <c r="AA805">
        <v>594000</v>
      </c>
      <c r="AB805">
        <v>105</v>
      </c>
      <c r="AC805" s="34">
        <v>45966</v>
      </c>
      <c r="AD805" s="34">
        <v>46173</v>
      </c>
      <c r="AF805">
        <v>0</v>
      </c>
      <c r="AG805">
        <v>10893544.199999999</v>
      </c>
      <c r="AH805">
        <v>0</v>
      </c>
      <c r="AI805">
        <v>10893544.199999999</v>
      </c>
      <c r="AJ805">
        <v>0</v>
      </c>
      <c r="AK805">
        <v>0</v>
      </c>
      <c r="AL805">
        <v>2843215.04</v>
      </c>
      <c r="AM805">
        <v>0</v>
      </c>
      <c r="AN805">
        <v>13736759.24</v>
      </c>
      <c r="AO805" t="s">
        <v>122</v>
      </c>
      <c r="AP805">
        <v>10</v>
      </c>
      <c r="AQ805">
        <v>1089354.42</v>
      </c>
      <c r="AR805">
        <v>1089354.42</v>
      </c>
      <c r="AT805">
        <v>33858000</v>
      </c>
      <c r="AU805">
        <v>2163526.2000000002</v>
      </c>
      <c r="AV805">
        <v>33858000</v>
      </c>
      <c r="AW805">
        <v>2163526.2000000002</v>
      </c>
    </row>
    <row r="806" spans="1:49" hidden="1" x14ac:dyDescent="0.35">
      <c r="A806">
        <v>5839410</v>
      </c>
      <c r="B806">
        <v>1250005839401</v>
      </c>
      <c r="D806">
        <v>20289289160</v>
      </c>
      <c r="E806" t="s">
        <v>1278</v>
      </c>
      <c r="F806" t="s">
        <v>1</v>
      </c>
      <c r="G806" t="s">
        <v>960</v>
      </c>
      <c r="H806" t="s">
        <v>49</v>
      </c>
      <c r="I806">
        <v>5815</v>
      </c>
      <c r="J806">
        <v>3</v>
      </c>
      <c r="K806" t="s">
        <v>32</v>
      </c>
      <c r="L806">
        <v>12031</v>
      </c>
      <c r="M806" t="s">
        <v>721</v>
      </c>
      <c r="N806">
        <v>2</v>
      </c>
      <c r="O806" t="s">
        <v>119</v>
      </c>
      <c r="P806" t="s">
        <v>1280</v>
      </c>
      <c r="Q806">
        <v>7287667.2000000002</v>
      </c>
      <c r="R806">
        <v>114048000</v>
      </c>
      <c r="S806">
        <v>192</v>
      </c>
      <c r="T806">
        <v>594000</v>
      </c>
      <c r="U806">
        <v>1</v>
      </c>
      <c r="V806">
        <v>1</v>
      </c>
      <c r="W806" t="s">
        <v>127</v>
      </c>
      <c r="X806">
        <v>29700</v>
      </c>
      <c r="Y806">
        <v>7287667.2000000002</v>
      </c>
      <c r="Z806">
        <v>114048000</v>
      </c>
      <c r="AA806">
        <v>594000</v>
      </c>
      <c r="AB806">
        <v>105</v>
      </c>
      <c r="AC806" s="34">
        <v>45966</v>
      </c>
      <c r="AD806" s="34">
        <v>46173</v>
      </c>
      <c r="AF806">
        <v>2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 t="s">
        <v>122</v>
      </c>
      <c r="AT806">
        <v>68428800</v>
      </c>
      <c r="AU806">
        <v>4372600.32</v>
      </c>
      <c r="AV806">
        <v>68428800</v>
      </c>
      <c r="AW806">
        <v>4372600.32</v>
      </c>
    </row>
    <row r="807" spans="1:49" hidden="1" x14ac:dyDescent="0.35">
      <c r="A807">
        <v>5839510</v>
      </c>
      <c r="B807">
        <v>5010005839501</v>
      </c>
      <c r="D807">
        <v>20130429212</v>
      </c>
      <c r="E807" t="s">
        <v>1281</v>
      </c>
      <c r="F807" t="s">
        <v>1</v>
      </c>
      <c r="G807" t="s">
        <v>1282</v>
      </c>
      <c r="H807" t="s">
        <v>61</v>
      </c>
      <c r="I807">
        <v>2725</v>
      </c>
      <c r="J807">
        <v>12</v>
      </c>
      <c r="K807" t="s">
        <v>34</v>
      </c>
      <c r="L807">
        <v>9370</v>
      </c>
      <c r="M807" t="s">
        <v>156</v>
      </c>
      <c r="N807">
        <v>1</v>
      </c>
      <c r="O807" t="s">
        <v>119</v>
      </c>
      <c r="P807" t="s">
        <v>1283</v>
      </c>
      <c r="Q807">
        <v>1268680</v>
      </c>
      <c r="R807">
        <v>55160000</v>
      </c>
      <c r="S807">
        <v>40</v>
      </c>
      <c r="T807">
        <v>1379000</v>
      </c>
      <c r="U807">
        <v>1</v>
      </c>
      <c r="V807">
        <v>1</v>
      </c>
      <c r="W807" t="s">
        <v>127</v>
      </c>
      <c r="X807">
        <v>19700</v>
      </c>
      <c r="Y807">
        <v>1268680</v>
      </c>
      <c r="Z807">
        <v>55160000</v>
      </c>
      <c r="AA807">
        <v>1379000</v>
      </c>
      <c r="AB807">
        <v>105</v>
      </c>
      <c r="AC807" s="34">
        <v>46001</v>
      </c>
      <c r="AD807" s="34">
        <v>46142</v>
      </c>
      <c r="AF807">
        <v>0</v>
      </c>
      <c r="AG807">
        <v>3362002</v>
      </c>
      <c r="AH807">
        <v>0</v>
      </c>
      <c r="AI807">
        <v>3362002</v>
      </c>
      <c r="AJ807">
        <v>0</v>
      </c>
      <c r="AK807">
        <v>0</v>
      </c>
      <c r="AL807">
        <v>860672.51</v>
      </c>
      <c r="AM807">
        <v>0</v>
      </c>
      <c r="AN807">
        <v>4222674.51</v>
      </c>
      <c r="AO807" t="s">
        <v>122</v>
      </c>
      <c r="AP807">
        <v>10</v>
      </c>
      <c r="AQ807">
        <v>336200.2</v>
      </c>
      <c r="AR807">
        <v>336200.2</v>
      </c>
      <c r="AT807">
        <v>33096000</v>
      </c>
      <c r="AU807">
        <v>761208</v>
      </c>
      <c r="AV807">
        <v>33096000</v>
      </c>
      <c r="AW807">
        <v>761208</v>
      </c>
    </row>
    <row r="808" spans="1:49" hidden="1" x14ac:dyDescent="0.35">
      <c r="A808">
        <v>5839510</v>
      </c>
      <c r="B808">
        <v>5010005839501</v>
      </c>
      <c r="D808">
        <v>20130429212</v>
      </c>
      <c r="E808" t="s">
        <v>1281</v>
      </c>
      <c r="F808" t="s">
        <v>1</v>
      </c>
      <c r="G808" t="s">
        <v>1282</v>
      </c>
      <c r="H808" t="s">
        <v>61</v>
      </c>
      <c r="I808">
        <v>2725</v>
      </c>
      <c r="J808">
        <v>12</v>
      </c>
      <c r="K808" t="s">
        <v>34</v>
      </c>
      <c r="L808">
        <v>9370</v>
      </c>
      <c r="M808" t="s">
        <v>156</v>
      </c>
      <c r="N808">
        <v>2</v>
      </c>
      <c r="O808" t="s">
        <v>119</v>
      </c>
      <c r="P808" t="s">
        <v>1284</v>
      </c>
      <c r="Q808">
        <v>983227</v>
      </c>
      <c r="R808">
        <v>42749000</v>
      </c>
      <c r="S808">
        <v>31</v>
      </c>
      <c r="T808">
        <v>1379000</v>
      </c>
      <c r="U808">
        <v>1</v>
      </c>
      <c r="V808">
        <v>1</v>
      </c>
      <c r="W808" t="s">
        <v>127</v>
      </c>
      <c r="X808">
        <v>19700</v>
      </c>
      <c r="Y808">
        <v>983227</v>
      </c>
      <c r="Z808">
        <v>42749000</v>
      </c>
      <c r="AA808">
        <v>1379000</v>
      </c>
      <c r="AB808">
        <v>105</v>
      </c>
      <c r="AC808" s="34">
        <v>46001</v>
      </c>
      <c r="AD808" s="34">
        <v>46142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 t="s">
        <v>122</v>
      </c>
      <c r="AT808">
        <v>25649400</v>
      </c>
      <c r="AU808">
        <v>589936.19999999995</v>
      </c>
      <c r="AV808">
        <v>25649400</v>
      </c>
      <c r="AW808">
        <v>589936.19999999995</v>
      </c>
    </row>
    <row r="809" spans="1:49" hidden="1" x14ac:dyDescent="0.35">
      <c r="A809">
        <v>5839510</v>
      </c>
      <c r="B809">
        <v>5010005839501</v>
      </c>
      <c r="D809">
        <v>20130429212</v>
      </c>
      <c r="E809" t="s">
        <v>1281</v>
      </c>
      <c r="F809" t="s">
        <v>1</v>
      </c>
      <c r="G809" t="s">
        <v>1282</v>
      </c>
      <c r="H809" t="s">
        <v>61</v>
      </c>
      <c r="I809">
        <v>2725</v>
      </c>
      <c r="J809">
        <v>12</v>
      </c>
      <c r="K809" t="s">
        <v>34</v>
      </c>
      <c r="L809">
        <v>9370</v>
      </c>
      <c r="M809" t="s">
        <v>156</v>
      </c>
      <c r="N809">
        <v>3</v>
      </c>
      <c r="O809" t="s">
        <v>119</v>
      </c>
      <c r="P809" t="s">
        <v>1285</v>
      </c>
      <c r="Q809">
        <v>1110095</v>
      </c>
      <c r="R809">
        <v>48265000</v>
      </c>
      <c r="S809">
        <v>35</v>
      </c>
      <c r="T809">
        <v>1379000</v>
      </c>
      <c r="U809">
        <v>1</v>
      </c>
      <c r="V809">
        <v>1</v>
      </c>
      <c r="W809" t="s">
        <v>127</v>
      </c>
      <c r="X809">
        <v>19700</v>
      </c>
      <c r="Y809">
        <v>1110095</v>
      </c>
      <c r="Z809">
        <v>48265000</v>
      </c>
      <c r="AA809">
        <v>1379000</v>
      </c>
      <c r="AB809">
        <v>105</v>
      </c>
      <c r="AC809" s="34">
        <v>46001</v>
      </c>
      <c r="AD809" s="34">
        <v>46142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 t="s">
        <v>122</v>
      </c>
      <c r="AT809">
        <v>28959000</v>
      </c>
      <c r="AU809">
        <v>666057</v>
      </c>
      <c r="AV809">
        <v>28959000</v>
      </c>
      <c r="AW809">
        <v>666057</v>
      </c>
    </row>
    <row r="810" spans="1:49" hidden="1" x14ac:dyDescent="0.35">
      <c r="A810">
        <v>5839610</v>
      </c>
      <c r="B810">
        <v>1250005839601</v>
      </c>
      <c r="D810">
        <v>20144525915</v>
      </c>
      <c r="E810" t="s">
        <v>1286</v>
      </c>
      <c r="F810" t="s">
        <v>1</v>
      </c>
      <c r="G810" t="s">
        <v>1287</v>
      </c>
      <c r="H810" t="s">
        <v>37</v>
      </c>
      <c r="I810">
        <v>5730</v>
      </c>
      <c r="J810">
        <v>11</v>
      </c>
      <c r="K810" t="s">
        <v>37</v>
      </c>
      <c r="L810">
        <v>10984</v>
      </c>
      <c r="M810" t="s">
        <v>1288</v>
      </c>
      <c r="N810">
        <v>1</v>
      </c>
      <c r="O810" t="s">
        <v>119</v>
      </c>
      <c r="P810" t="s">
        <v>1289</v>
      </c>
      <c r="Q810">
        <v>3773385</v>
      </c>
      <c r="R810">
        <v>45738000</v>
      </c>
      <c r="S810">
        <v>220</v>
      </c>
      <c r="T810">
        <v>207900</v>
      </c>
      <c r="U810">
        <v>1</v>
      </c>
      <c r="V810">
        <v>1</v>
      </c>
      <c r="W810" t="s">
        <v>127</v>
      </c>
      <c r="X810">
        <v>29700</v>
      </c>
      <c r="Y810">
        <v>3773385</v>
      </c>
      <c r="Z810">
        <v>45738000</v>
      </c>
      <c r="AA810">
        <v>207900</v>
      </c>
      <c r="AB810">
        <v>105</v>
      </c>
      <c r="AC810" s="34">
        <v>45991</v>
      </c>
      <c r="AD810" s="34">
        <v>46173</v>
      </c>
      <c r="AF810">
        <v>0</v>
      </c>
      <c r="AG810">
        <v>3773385</v>
      </c>
      <c r="AH810">
        <v>0</v>
      </c>
      <c r="AI810">
        <v>3773385</v>
      </c>
      <c r="AJ810">
        <v>0</v>
      </c>
      <c r="AK810">
        <v>0</v>
      </c>
      <c r="AL810">
        <v>1098055.04</v>
      </c>
      <c r="AM810">
        <v>0</v>
      </c>
      <c r="AN810">
        <v>4871440.04</v>
      </c>
      <c r="AO810" t="s">
        <v>122</v>
      </c>
      <c r="AP810">
        <v>12</v>
      </c>
      <c r="AQ810">
        <v>452806.2</v>
      </c>
      <c r="AR810">
        <v>452806.2</v>
      </c>
      <c r="AT810">
        <v>27442800</v>
      </c>
      <c r="AU810">
        <v>2264031</v>
      </c>
      <c r="AV810">
        <v>27442800</v>
      </c>
      <c r="AW810">
        <v>2264031</v>
      </c>
    </row>
    <row r="811" spans="1:49" hidden="1" x14ac:dyDescent="0.35">
      <c r="A811">
        <v>5839710</v>
      </c>
      <c r="B811">
        <v>1250005839701</v>
      </c>
      <c r="D811">
        <v>23270761259</v>
      </c>
      <c r="E811" t="s">
        <v>1290</v>
      </c>
      <c r="F811" t="s">
        <v>1</v>
      </c>
      <c r="G811" t="s">
        <v>1287</v>
      </c>
      <c r="H811" t="s">
        <v>37</v>
      </c>
      <c r="I811">
        <v>5730</v>
      </c>
      <c r="J811">
        <v>11</v>
      </c>
      <c r="K811" t="s">
        <v>37</v>
      </c>
      <c r="L811">
        <v>10984</v>
      </c>
      <c r="M811" t="s">
        <v>1288</v>
      </c>
      <c r="N811">
        <v>1</v>
      </c>
      <c r="O811" t="s">
        <v>119</v>
      </c>
      <c r="P811" t="s">
        <v>1289</v>
      </c>
      <c r="Q811">
        <v>3773385</v>
      </c>
      <c r="R811">
        <v>45738000</v>
      </c>
      <c r="S811">
        <v>220</v>
      </c>
      <c r="T811">
        <v>207900</v>
      </c>
      <c r="U811">
        <v>1</v>
      </c>
      <c r="V811">
        <v>1</v>
      </c>
      <c r="W811" t="s">
        <v>127</v>
      </c>
      <c r="X811">
        <v>29700</v>
      </c>
      <c r="Y811">
        <v>3773385</v>
      </c>
      <c r="Z811">
        <v>45738000</v>
      </c>
      <c r="AA811">
        <v>207900</v>
      </c>
      <c r="AB811">
        <v>105</v>
      </c>
      <c r="AC811" s="34">
        <v>45991</v>
      </c>
      <c r="AD811" s="34">
        <v>46173</v>
      </c>
      <c r="AF811">
        <v>0</v>
      </c>
      <c r="AG811">
        <v>3773385</v>
      </c>
      <c r="AH811">
        <v>0</v>
      </c>
      <c r="AI811">
        <v>3773385</v>
      </c>
      <c r="AJ811">
        <v>0</v>
      </c>
      <c r="AK811">
        <v>0</v>
      </c>
      <c r="AL811">
        <v>1098055.04</v>
      </c>
      <c r="AM811">
        <v>0</v>
      </c>
      <c r="AN811">
        <v>4871440.04</v>
      </c>
      <c r="AO811" t="s">
        <v>122</v>
      </c>
      <c r="AP811">
        <v>12</v>
      </c>
      <c r="AQ811">
        <v>452806.2</v>
      </c>
      <c r="AR811">
        <v>452806.2</v>
      </c>
      <c r="AT811">
        <v>27442800</v>
      </c>
      <c r="AU811">
        <v>2264031</v>
      </c>
      <c r="AV811">
        <v>27442800</v>
      </c>
      <c r="AW811">
        <v>2264031</v>
      </c>
    </row>
    <row r="812" spans="1:49" hidden="1" x14ac:dyDescent="0.35">
      <c r="A812">
        <v>5839810</v>
      </c>
      <c r="B812">
        <v>1090005839801</v>
      </c>
      <c r="D812">
        <v>30694863791</v>
      </c>
      <c r="E812" t="s">
        <v>1291</v>
      </c>
      <c r="F812" t="s">
        <v>1</v>
      </c>
      <c r="G812" t="s">
        <v>1292</v>
      </c>
      <c r="H812" t="s">
        <v>57</v>
      </c>
      <c r="I812">
        <v>6360</v>
      </c>
      <c r="J812">
        <v>21</v>
      </c>
      <c r="K812" t="s">
        <v>33</v>
      </c>
      <c r="L812">
        <v>6127</v>
      </c>
      <c r="M812" t="s">
        <v>118</v>
      </c>
      <c r="N812">
        <v>1</v>
      </c>
      <c r="O812" t="s">
        <v>119</v>
      </c>
      <c r="P812" t="s">
        <v>1293</v>
      </c>
      <c r="Q812">
        <v>2411.1999999999998</v>
      </c>
      <c r="R812">
        <v>88000</v>
      </c>
      <c r="S812">
        <v>220</v>
      </c>
      <c r="T812">
        <v>400</v>
      </c>
      <c r="U812">
        <v>26</v>
      </c>
      <c r="V812">
        <v>1437.5</v>
      </c>
      <c r="W812" t="s">
        <v>121</v>
      </c>
      <c r="X812" t="s">
        <v>1</v>
      </c>
      <c r="Y812">
        <v>3466100</v>
      </c>
      <c r="Z812">
        <v>126500000</v>
      </c>
      <c r="AA812">
        <v>575000</v>
      </c>
      <c r="AB812">
        <v>106</v>
      </c>
      <c r="AC812" s="34">
        <v>45992</v>
      </c>
      <c r="AD812" s="34">
        <v>46173</v>
      </c>
      <c r="AF812">
        <v>0</v>
      </c>
      <c r="AG812">
        <v>2411.1999999999998</v>
      </c>
      <c r="AH812">
        <v>0</v>
      </c>
      <c r="AI812">
        <v>3466100</v>
      </c>
      <c r="AJ812">
        <v>0</v>
      </c>
      <c r="AK812">
        <v>0</v>
      </c>
      <c r="AL812">
        <v>870003.75</v>
      </c>
      <c r="AM812">
        <v>0</v>
      </c>
      <c r="AN812">
        <v>4336103.75</v>
      </c>
      <c r="AO812" t="s">
        <v>122</v>
      </c>
      <c r="AP812">
        <v>12</v>
      </c>
      <c r="AQ812">
        <v>289.33999999999997</v>
      </c>
      <c r="AR812">
        <v>415926.25</v>
      </c>
      <c r="AT812">
        <v>52800</v>
      </c>
      <c r="AU812">
        <v>1446.72</v>
      </c>
      <c r="AV812">
        <v>75900000</v>
      </c>
      <c r="AW812">
        <v>2079660</v>
      </c>
    </row>
    <row r="813" spans="1:49" hidden="1" x14ac:dyDescent="0.35">
      <c r="A813">
        <v>5839910</v>
      </c>
      <c r="B813">
        <v>1090005839901</v>
      </c>
      <c r="D813">
        <v>30694863791</v>
      </c>
      <c r="E813" t="s">
        <v>1291</v>
      </c>
      <c r="F813" t="s">
        <v>1</v>
      </c>
      <c r="G813" t="s">
        <v>1292</v>
      </c>
      <c r="H813" t="s">
        <v>57</v>
      </c>
      <c r="I813">
        <v>6360</v>
      </c>
      <c r="J813">
        <v>21</v>
      </c>
      <c r="K813" t="s">
        <v>33</v>
      </c>
      <c r="L813">
        <v>6127</v>
      </c>
      <c r="M813" t="s">
        <v>118</v>
      </c>
      <c r="N813">
        <v>1</v>
      </c>
      <c r="O813" t="s">
        <v>119</v>
      </c>
      <c r="P813" t="s">
        <v>1294</v>
      </c>
      <c r="Q813">
        <v>744.8</v>
      </c>
      <c r="R813">
        <v>28000</v>
      </c>
      <c r="S813">
        <v>70</v>
      </c>
      <c r="T813">
        <v>400</v>
      </c>
      <c r="U813">
        <v>26</v>
      </c>
      <c r="V813">
        <v>1437.5</v>
      </c>
      <c r="W813" t="s">
        <v>121</v>
      </c>
      <c r="X813" t="s">
        <v>1</v>
      </c>
      <c r="Y813">
        <v>1070650</v>
      </c>
      <c r="Z813">
        <v>40250000</v>
      </c>
      <c r="AA813">
        <v>575000</v>
      </c>
      <c r="AB813">
        <v>106</v>
      </c>
      <c r="AC813" s="34">
        <v>45992</v>
      </c>
      <c r="AD813" s="34">
        <v>46188</v>
      </c>
      <c r="AF813">
        <v>0</v>
      </c>
      <c r="AG813">
        <v>744.8</v>
      </c>
      <c r="AH813">
        <v>0</v>
      </c>
      <c r="AI813">
        <v>1070650</v>
      </c>
      <c r="AJ813">
        <v>0</v>
      </c>
      <c r="AK813">
        <v>0</v>
      </c>
      <c r="AL813">
        <v>268726.25</v>
      </c>
      <c r="AM813">
        <v>0</v>
      </c>
      <c r="AN813">
        <v>1339376.25</v>
      </c>
      <c r="AO813" t="s">
        <v>122</v>
      </c>
      <c r="AP813">
        <v>12.000999999999999</v>
      </c>
      <c r="AQ813">
        <v>89.38</v>
      </c>
      <c r="AR813">
        <v>128483.75</v>
      </c>
      <c r="AT813">
        <v>16800</v>
      </c>
      <c r="AU813">
        <v>446.88</v>
      </c>
      <c r="AV813">
        <v>24150000</v>
      </c>
      <c r="AW813">
        <v>642390</v>
      </c>
    </row>
    <row r="814" spans="1:49" hidden="1" x14ac:dyDescent="0.35">
      <c r="A814">
        <v>5840010</v>
      </c>
      <c r="B814">
        <v>1090005840001</v>
      </c>
      <c r="D814">
        <v>30694863791</v>
      </c>
      <c r="E814" t="s">
        <v>1291</v>
      </c>
      <c r="F814" t="s">
        <v>1</v>
      </c>
      <c r="G814" t="s">
        <v>1292</v>
      </c>
      <c r="H814" t="s">
        <v>57</v>
      </c>
      <c r="I814">
        <v>6360</v>
      </c>
      <c r="J814">
        <v>21</v>
      </c>
      <c r="K814" t="s">
        <v>33</v>
      </c>
      <c r="L814">
        <v>6127</v>
      </c>
      <c r="M814" t="s">
        <v>118</v>
      </c>
      <c r="N814">
        <v>1</v>
      </c>
      <c r="O814" t="s">
        <v>119</v>
      </c>
      <c r="P814" t="s">
        <v>1295</v>
      </c>
      <c r="Q814">
        <v>425.6</v>
      </c>
      <c r="R814">
        <v>14000</v>
      </c>
      <c r="S814">
        <v>35</v>
      </c>
      <c r="T814">
        <v>400</v>
      </c>
      <c r="U814">
        <v>26</v>
      </c>
      <c r="V814">
        <v>1437.5</v>
      </c>
      <c r="W814" t="s">
        <v>121</v>
      </c>
      <c r="X814" t="s">
        <v>1</v>
      </c>
      <c r="Y814">
        <v>611800</v>
      </c>
      <c r="Z814">
        <v>20125000</v>
      </c>
      <c r="AA814">
        <v>575000</v>
      </c>
      <c r="AB814">
        <v>106</v>
      </c>
      <c r="AC814" s="34">
        <v>45992</v>
      </c>
      <c r="AD814" s="34">
        <v>46112</v>
      </c>
      <c r="AF814">
        <v>0</v>
      </c>
      <c r="AG814">
        <v>425.6</v>
      </c>
      <c r="AH814">
        <v>0</v>
      </c>
      <c r="AI814">
        <v>611800</v>
      </c>
      <c r="AJ814">
        <v>0</v>
      </c>
      <c r="AK814">
        <v>0</v>
      </c>
      <c r="AL814">
        <v>153568.13</v>
      </c>
      <c r="AM814">
        <v>0</v>
      </c>
      <c r="AN814">
        <v>765368.13</v>
      </c>
      <c r="AO814" t="s">
        <v>122</v>
      </c>
      <c r="AP814">
        <v>12</v>
      </c>
      <c r="AQ814">
        <v>51.07</v>
      </c>
      <c r="AR814">
        <v>73413.13</v>
      </c>
      <c r="AT814">
        <v>8400</v>
      </c>
      <c r="AU814">
        <v>255.36</v>
      </c>
      <c r="AV814">
        <v>12075000</v>
      </c>
      <c r="AW814">
        <v>367080</v>
      </c>
    </row>
    <row r="815" spans="1:49" hidden="1" x14ac:dyDescent="0.35">
      <c r="A815">
        <v>5840110</v>
      </c>
      <c r="B815">
        <v>1090005840101</v>
      </c>
      <c r="D815">
        <v>23052678439</v>
      </c>
      <c r="E815" t="s">
        <v>822</v>
      </c>
      <c r="F815" t="s">
        <v>1</v>
      </c>
      <c r="G815" t="s">
        <v>1296</v>
      </c>
      <c r="H815" t="s">
        <v>57</v>
      </c>
      <c r="I815">
        <v>6360</v>
      </c>
      <c r="J815">
        <v>21</v>
      </c>
      <c r="K815" t="s">
        <v>33</v>
      </c>
      <c r="L815">
        <v>6127</v>
      </c>
      <c r="M815" t="s">
        <v>118</v>
      </c>
      <c r="N815">
        <v>1</v>
      </c>
      <c r="O815" t="s">
        <v>119</v>
      </c>
      <c r="P815" t="s">
        <v>1297</v>
      </c>
      <c r="Q815">
        <v>1301.5</v>
      </c>
      <c r="R815">
        <v>47500</v>
      </c>
      <c r="S815">
        <v>95</v>
      </c>
      <c r="T815">
        <v>500</v>
      </c>
      <c r="U815">
        <v>26</v>
      </c>
      <c r="V815">
        <v>1437.5</v>
      </c>
      <c r="W815" t="s">
        <v>121</v>
      </c>
      <c r="X815" t="s">
        <v>1</v>
      </c>
      <c r="Y815">
        <v>1870906.25</v>
      </c>
      <c r="Z815">
        <v>68281250</v>
      </c>
      <c r="AA815">
        <v>718750</v>
      </c>
      <c r="AB815">
        <v>106</v>
      </c>
      <c r="AC815" s="34">
        <v>45997</v>
      </c>
      <c r="AD815" s="34">
        <v>46173</v>
      </c>
      <c r="AF815">
        <v>0</v>
      </c>
      <c r="AG815">
        <v>1301.5</v>
      </c>
      <c r="AH815">
        <v>0</v>
      </c>
      <c r="AI815">
        <v>1870906.25</v>
      </c>
      <c r="AJ815">
        <v>0</v>
      </c>
      <c r="AK815">
        <v>0</v>
      </c>
      <c r="AL815">
        <v>469616.88</v>
      </c>
      <c r="AM815">
        <v>0</v>
      </c>
      <c r="AN815">
        <v>2340523.13</v>
      </c>
      <c r="AO815" t="s">
        <v>122</v>
      </c>
      <c r="AP815">
        <v>12</v>
      </c>
      <c r="AQ815">
        <v>156.18</v>
      </c>
      <c r="AR815">
        <v>224508.75</v>
      </c>
      <c r="AT815">
        <v>28500</v>
      </c>
      <c r="AU815">
        <v>780.9</v>
      </c>
      <c r="AV815">
        <v>40968750</v>
      </c>
      <c r="AW815">
        <v>1122543.75</v>
      </c>
    </row>
    <row r="816" spans="1:49" hidden="1" x14ac:dyDescent="0.35">
      <c r="A816">
        <v>5840210</v>
      </c>
      <c r="B816">
        <v>1090005840201</v>
      </c>
      <c r="D816">
        <v>30718576780</v>
      </c>
      <c r="E816" t="s">
        <v>1298</v>
      </c>
      <c r="F816" t="s">
        <v>1</v>
      </c>
      <c r="G816" t="s">
        <v>1296</v>
      </c>
      <c r="H816" t="s">
        <v>57</v>
      </c>
      <c r="I816">
        <v>6360</v>
      </c>
      <c r="J816">
        <v>21</v>
      </c>
      <c r="K816" t="s">
        <v>33</v>
      </c>
      <c r="L816">
        <v>6127</v>
      </c>
      <c r="M816" t="s">
        <v>118</v>
      </c>
      <c r="N816">
        <v>1</v>
      </c>
      <c r="O816" t="s">
        <v>119</v>
      </c>
      <c r="P816" t="s">
        <v>1299</v>
      </c>
      <c r="Q816">
        <v>1301.5</v>
      </c>
      <c r="R816">
        <v>47500</v>
      </c>
      <c r="S816">
        <v>95</v>
      </c>
      <c r="T816">
        <v>500</v>
      </c>
      <c r="U816">
        <v>26</v>
      </c>
      <c r="V816">
        <v>1437.5</v>
      </c>
      <c r="W816" t="s">
        <v>121</v>
      </c>
      <c r="X816" t="s">
        <v>1</v>
      </c>
      <c r="Y816">
        <v>1870906.25</v>
      </c>
      <c r="Z816">
        <v>68281250</v>
      </c>
      <c r="AA816">
        <v>718750</v>
      </c>
      <c r="AB816">
        <v>106</v>
      </c>
      <c r="AC816" s="34">
        <v>45997</v>
      </c>
      <c r="AD816" s="34">
        <v>46173</v>
      </c>
      <c r="AF816">
        <v>0</v>
      </c>
      <c r="AG816">
        <v>1301.5</v>
      </c>
      <c r="AH816">
        <v>0</v>
      </c>
      <c r="AI816">
        <v>1870906.25</v>
      </c>
      <c r="AJ816">
        <v>0</v>
      </c>
      <c r="AK816">
        <v>0</v>
      </c>
      <c r="AL816">
        <v>469616.88</v>
      </c>
      <c r="AM816">
        <v>0</v>
      </c>
      <c r="AN816">
        <v>2340523.13</v>
      </c>
      <c r="AO816" t="s">
        <v>122</v>
      </c>
      <c r="AP816">
        <v>12</v>
      </c>
      <c r="AQ816">
        <v>156.18</v>
      </c>
      <c r="AR816">
        <v>224508.75</v>
      </c>
      <c r="AT816">
        <v>28500</v>
      </c>
      <c r="AU816">
        <v>780.9</v>
      </c>
      <c r="AV816">
        <v>40968750</v>
      </c>
      <c r="AW816">
        <v>1122543.75</v>
      </c>
    </row>
    <row r="817" spans="1:49" hidden="1" x14ac:dyDescent="0.35">
      <c r="A817">
        <v>5840310</v>
      </c>
      <c r="B817">
        <v>1090005840301</v>
      </c>
      <c r="D817">
        <v>20345367676</v>
      </c>
      <c r="E817" t="s">
        <v>1057</v>
      </c>
      <c r="F817" t="s">
        <v>1</v>
      </c>
      <c r="G817" t="s">
        <v>568</v>
      </c>
      <c r="H817" t="s">
        <v>57</v>
      </c>
      <c r="I817">
        <v>6360</v>
      </c>
      <c r="J817">
        <v>21</v>
      </c>
      <c r="K817" t="s">
        <v>33</v>
      </c>
      <c r="L817">
        <v>6127</v>
      </c>
      <c r="M817" t="s">
        <v>118</v>
      </c>
      <c r="N817">
        <v>1</v>
      </c>
      <c r="O817" t="s">
        <v>119</v>
      </c>
      <c r="P817" t="s">
        <v>1300</v>
      </c>
      <c r="Q817">
        <v>1862</v>
      </c>
      <c r="R817">
        <v>70000</v>
      </c>
      <c r="S817">
        <v>100</v>
      </c>
      <c r="T817">
        <v>700</v>
      </c>
      <c r="U817">
        <v>26</v>
      </c>
      <c r="V817">
        <v>1437.5</v>
      </c>
      <c r="W817" t="s">
        <v>121</v>
      </c>
      <c r="X817" t="s">
        <v>1</v>
      </c>
      <c r="Y817">
        <v>2676625</v>
      </c>
      <c r="Z817">
        <v>100625000</v>
      </c>
      <c r="AA817">
        <v>1006250</v>
      </c>
      <c r="AB817">
        <v>106</v>
      </c>
      <c r="AC817" s="34">
        <v>46000</v>
      </c>
      <c r="AD817" s="34">
        <v>46188</v>
      </c>
      <c r="AF817">
        <v>0</v>
      </c>
      <c r="AG817">
        <v>1862</v>
      </c>
      <c r="AH817">
        <v>0</v>
      </c>
      <c r="AI817">
        <v>2676625</v>
      </c>
      <c r="AJ817">
        <v>0</v>
      </c>
      <c r="AK817">
        <v>0</v>
      </c>
      <c r="AL817">
        <v>671830</v>
      </c>
      <c r="AM817">
        <v>0</v>
      </c>
      <c r="AN817">
        <v>3348455</v>
      </c>
      <c r="AO817" t="s">
        <v>122</v>
      </c>
      <c r="AP817">
        <v>12</v>
      </c>
      <c r="AQ817">
        <v>223.44</v>
      </c>
      <c r="AR817">
        <v>321195</v>
      </c>
      <c r="AT817">
        <v>42000</v>
      </c>
      <c r="AU817">
        <v>1117.2</v>
      </c>
      <c r="AV817">
        <v>60375000</v>
      </c>
      <c r="AW817">
        <v>1605975</v>
      </c>
    </row>
    <row r="818" spans="1:49" hidden="1" x14ac:dyDescent="0.35">
      <c r="A818">
        <v>5840410</v>
      </c>
      <c r="B818">
        <v>1170005840401</v>
      </c>
      <c r="D818">
        <v>20238019134</v>
      </c>
      <c r="E818" t="s">
        <v>138</v>
      </c>
      <c r="F818" t="s">
        <v>1</v>
      </c>
      <c r="G818" t="s">
        <v>226</v>
      </c>
      <c r="H818" t="s">
        <v>63</v>
      </c>
      <c r="I818">
        <v>2535</v>
      </c>
      <c r="J818">
        <v>12</v>
      </c>
      <c r="K818" t="s">
        <v>34</v>
      </c>
      <c r="L818">
        <v>83429</v>
      </c>
      <c r="M818" t="s">
        <v>140</v>
      </c>
      <c r="N818">
        <v>1</v>
      </c>
      <c r="O818" t="s">
        <v>119</v>
      </c>
      <c r="P818" t="s">
        <v>1301</v>
      </c>
      <c r="Q818">
        <v>1174635</v>
      </c>
      <c r="R818">
        <v>57024000</v>
      </c>
      <c r="S818">
        <v>64</v>
      </c>
      <c r="T818">
        <v>891000</v>
      </c>
      <c r="U818">
        <v>1</v>
      </c>
      <c r="V818">
        <v>1</v>
      </c>
      <c r="W818" t="s">
        <v>127</v>
      </c>
      <c r="X818">
        <v>29700</v>
      </c>
      <c r="Y818">
        <v>1174635</v>
      </c>
      <c r="Z818">
        <v>57024000</v>
      </c>
      <c r="AA818">
        <v>891000</v>
      </c>
      <c r="AB818">
        <v>210</v>
      </c>
      <c r="AC818" s="34">
        <v>46001</v>
      </c>
      <c r="AD818" s="34">
        <v>46188</v>
      </c>
      <c r="AF818">
        <v>0</v>
      </c>
      <c r="AG818">
        <v>1174635</v>
      </c>
      <c r="AH818">
        <v>0</v>
      </c>
      <c r="AI818">
        <v>1174635</v>
      </c>
      <c r="AJ818">
        <v>0</v>
      </c>
      <c r="AK818">
        <v>0</v>
      </c>
      <c r="AL818">
        <v>300706.57</v>
      </c>
      <c r="AM818">
        <v>0</v>
      </c>
      <c r="AN818">
        <v>1475341.57</v>
      </c>
      <c r="AO818" t="s">
        <v>122</v>
      </c>
      <c r="AP818">
        <v>15</v>
      </c>
      <c r="AQ818">
        <v>176195.25</v>
      </c>
      <c r="AR818">
        <v>176195.25</v>
      </c>
      <c r="AT818">
        <v>34214400</v>
      </c>
      <c r="AU818">
        <v>704781</v>
      </c>
      <c r="AV818">
        <v>34214400</v>
      </c>
      <c r="AW818">
        <v>704781</v>
      </c>
    </row>
    <row r="819" spans="1:49" hidden="1" x14ac:dyDescent="0.35">
      <c r="A819">
        <v>5840510</v>
      </c>
      <c r="B819">
        <v>1250005840501</v>
      </c>
      <c r="D819">
        <v>20066550614</v>
      </c>
      <c r="E819" t="s">
        <v>1244</v>
      </c>
      <c r="F819" t="s">
        <v>1</v>
      </c>
      <c r="G819" t="s">
        <v>432</v>
      </c>
      <c r="H819" t="s">
        <v>48</v>
      </c>
      <c r="I819">
        <v>6128</v>
      </c>
      <c r="J819">
        <v>3</v>
      </c>
      <c r="K819" t="s">
        <v>32</v>
      </c>
      <c r="L819">
        <v>4401</v>
      </c>
      <c r="M819" t="s">
        <v>132</v>
      </c>
      <c r="N819">
        <v>1</v>
      </c>
      <c r="O819" t="s">
        <v>125</v>
      </c>
      <c r="P819" t="s">
        <v>1302</v>
      </c>
      <c r="Q819">
        <v>168885</v>
      </c>
      <c r="R819">
        <v>3000000</v>
      </c>
      <c r="S819">
        <v>20</v>
      </c>
      <c r="T819">
        <v>150000</v>
      </c>
      <c r="U819">
        <v>1</v>
      </c>
      <c r="V819">
        <v>1</v>
      </c>
      <c r="W819" t="s">
        <v>121</v>
      </c>
      <c r="X819" t="s">
        <v>1</v>
      </c>
      <c r="Y819">
        <v>168885</v>
      </c>
      <c r="Z819">
        <v>3000000</v>
      </c>
      <c r="AA819">
        <v>150000</v>
      </c>
      <c r="AB819">
        <v>214</v>
      </c>
      <c r="AC819" s="34">
        <v>45976</v>
      </c>
      <c r="AD819" s="34">
        <v>46022</v>
      </c>
      <c r="AF819">
        <v>0</v>
      </c>
      <c r="AG819">
        <v>222885</v>
      </c>
      <c r="AH819">
        <v>0</v>
      </c>
      <c r="AI819">
        <v>222885</v>
      </c>
      <c r="AJ819">
        <v>0</v>
      </c>
      <c r="AK819">
        <v>0</v>
      </c>
      <c r="AL819">
        <v>51486.44</v>
      </c>
      <c r="AM819">
        <v>0</v>
      </c>
      <c r="AN819">
        <v>274371.44</v>
      </c>
      <c r="AO819" t="s">
        <v>122</v>
      </c>
      <c r="AP819">
        <v>15</v>
      </c>
      <c r="AQ819">
        <v>33432.75</v>
      </c>
      <c r="AR819">
        <v>33432.75</v>
      </c>
      <c r="AT819">
        <v>1800000</v>
      </c>
      <c r="AU819">
        <v>101331</v>
      </c>
      <c r="AV819">
        <v>1800000</v>
      </c>
      <c r="AW819">
        <v>101331</v>
      </c>
    </row>
    <row r="820" spans="1:49" hidden="1" x14ac:dyDescent="0.35">
      <c r="A820">
        <v>5840510</v>
      </c>
      <c r="B820">
        <v>1250005840501</v>
      </c>
      <c r="D820">
        <v>20066550614</v>
      </c>
      <c r="E820" t="s">
        <v>1244</v>
      </c>
      <c r="F820" t="s">
        <v>1</v>
      </c>
      <c r="G820" t="s">
        <v>432</v>
      </c>
      <c r="H820" t="s">
        <v>48</v>
      </c>
      <c r="I820">
        <v>6128</v>
      </c>
      <c r="J820">
        <v>3</v>
      </c>
      <c r="K820" t="s">
        <v>32</v>
      </c>
      <c r="L820">
        <v>4401</v>
      </c>
      <c r="M820" t="s">
        <v>132</v>
      </c>
      <c r="N820">
        <v>2</v>
      </c>
      <c r="O820" t="s">
        <v>125</v>
      </c>
      <c r="P820" t="s">
        <v>1303</v>
      </c>
      <c r="Q820">
        <v>54000</v>
      </c>
      <c r="R820">
        <v>1200000</v>
      </c>
      <c r="S820">
        <v>8</v>
      </c>
      <c r="T820">
        <v>150000</v>
      </c>
      <c r="U820">
        <v>1</v>
      </c>
      <c r="V820">
        <v>1</v>
      </c>
      <c r="W820" t="s">
        <v>121</v>
      </c>
      <c r="X820" t="s">
        <v>1</v>
      </c>
      <c r="Y820">
        <v>54000</v>
      </c>
      <c r="Z820">
        <v>1200000</v>
      </c>
      <c r="AA820">
        <v>150000</v>
      </c>
      <c r="AB820">
        <v>214</v>
      </c>
      <c r="AC820" s="34">
        <v>45976</v>
      </c>
      <c r="AD820" s="34">
        <v>46022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 t="s">
        <v>122</v>
      </c>
      <c r="AT820">
        <v>720000</v>
      </c>
      <c r="AU820">
        <v>32400</v>
      </c>
      <c r="AV820">
        <v>720000</v>
      </c>
      <c r="AW820">
        <v>32400</v>
      </c>
    </row>
    <row r="821" spans="1:49" hidden="1" x14ac:dyDescent="0.35">
      <c r="A821">
        <v>5840610</v>
      </c>
      <c r="B821">
        <v>1090005840601</v>
      </c>
      <c r="D821">
        <v>27035858682</v>
      </c>
      <c r="E821" t="s">
        <v>1304</v>
      </c>
      <c r="F821" t="s">
        <v>1</v>
      </c>
      <c r="G821" t="s">
        <v>370</v>
      </c>
      <c r="H821" t="s">
        <v>58</v>
      </c>
      <c r="I821">
        <v>6333</v>
      </c>
      <c r="J821">
        <v>21</v>
      </c>
      <c r="K821" t="s">
        <v>33</v>
      </c>
      <c r="L821">
        <v>6864</v>
      </c>
      <c r="M821" t="s">
        <v>371</v>
      </c>
      <c r="N821">
        <v>1</v>
      </c>
      <c r="O821" t="s">
        <v>119</v>
      </c>
      <c r="P821" t="s">
        <v>1305</v>
      </c>
      <c r="Q821">
        <v>3026800</v>
      </c>
      <c r="R821">
        <v>80500000</v>
      </c>
      <c r="S821">
        <v>115</v>
      </c>
      <c r="T821">
        <v>700000</v>
      </c>
      <c r="U821">
        <v>1</v>
      </c>
      <c r="V821">
        <v>1</v>
      </c>
      <c r="W821" t="s">
        <v>121</v>
      </c>
      <c r="X821" t="s">
        <v>1</v>
      </c>
      <c r="Y821">
        <v>3026800</v>
      </c>
      <c r="Z821">
        <v>80500000</v>
      </c>
      <c r="AA821">
        <v>700000</v>
      </c>
      <c r="AB821">
        <v>211</v>
      </c>
      <c r="AC821" s="34">
        <v>45979</v>
      </c>
      <c r="AD821" s="34">
        <v>46112</v>
      </c>
      <c r="AF821">
        <v>1</v>
      </c>
      <c r="AG821">
        <v>3553200</v>
      </c>
      <c r="AH821">
        <v>0</v>
      </c>
      <c r="AI821">
        <v>3553200</v>
      </c>
      <c r="AJ821">
        <v>0</v>
      </c>
      <c r="AK821">
        <v>0</v>
      </c>
      <c r="AL821">
        <v>891853.2</v>
      </c>
      <c r="AM821">
        <v>0</v>
      </c>
      <c r="AN821">
        <v>4445053.2</v>
      </c>
      <c r="AO821" t="s">
        <v>122</v>
      </c>
      <c r="AP821">
        <v>15</v>
      </c>
      <c r="AQ821">
        <v>532980</v>
      </c>
      <c r="AR821">
        <v>532980</v>
      </c>
      <c r="AT821">
        <v>48300000</v>
      </c>
      <c r="AU821">
        <v>1816080</v>
      </c>
      <c r="AV821">
        <v>48300000</v>
      </c>
      <c r="AW821">
        <v>1816080</v>
      </c>
    </row>
    <row r="822" spans="1:49" hidden="1" x14ac:dyDescent="0.35">
      <c r="A822">
        <v>5840610</v>
      </c>
      <c r="B822">
        <v>1090005840601</v>
      </c>
      <c r="D822">
        <v>27035858682</v>
      </c>
      <c r="E822" t="s">
        <v>1304</v>
      </c>
      <c r="F822" t="s">
        <v>1</v>
      </c>
      <c r="G822" t="s">
        <v>370</v>
      </c>
      <c r="H822" t="s">
        <v>58</v>
      </c>
      <c r="I822">
        <v>6333</v>
      </c>
      <c r="J822">
        <v>21</v>
      </c>
      <c r="K822" t="s">
        <v>33</v>
      </c>
      <c r="L822">
        <v>6864</v>
      </c>
      <c r="M822" t="s">
        <v>371</v>
      </c>
      <c r="N822">
        <v>2</v>
      </c>
      <c r="O822" t="s">
        <v>119</v>
      </c>
      <c r="P822" t="s">
        <v>1306</v>
      </c>
      <c r="Q822">
        <v>526400</v>
      </c>
      <c r="R822">
        <v>14000000</v>
      </c>
      <c r="S822">
        <v>20</v>
      </c>
      <c r="T822">
        <v>700000</v>
      </c>
      <c r="U822">
        <v>1</v>
      </c>
      <c r="V822">
        <v>1</v>
      </c>
      <c r="W822" t="s">
        <v>121</v>
      </c>
      <c r="X822" t="s">
        <v>1</v>
      </c>
      <c r="Y822">
        <v>526400</v>
      </c>
      <c r="Z822">
        <v>14000000</v>
      </c>
      <c r="AA822">
        <v>700000</v>
      </c>
      <c r="AB822">
        <v>211</v>
      </c>
      <c r="AC822" s="34">
        <v>45979</v>
      </c>
      <c r="AD822" s="34">
        <v>46112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 t="s">
        <v>122</v>
      </c>
      <c r="AT822">
        <v>8400000</v>
      </c>
      <c r="AU822">
        <v>315840</v>
      </c>
      <c r="AV822">
        <v>8400000</v>
      </c>
      <c r="AW822">
        <v>315840</v>
      </c>
    </row>
    <row r="823" spans="1:49" hidden="1" x14ac:dyDescent="0.35">
      <c r="A823">
        <v>5840710</v>
      </c>
      <c r="B823">
        <v>5010005840701</v>
      </c>
      <c r="D823">
        <v>20409151427</v>
      </c>
      <c r="E823" t="s">
        <v>231</v>
      </c>
      <c r="F823" t="s">
        <v>1</v>
      </c>
      <c r="G823" t="s">
        <v>24</v>
      </c>
      <c r="H823" t="s">
        <v>24</v>
      </c>
      <c r="I823">
        <v>6070</v>
      </c>
      <c r="J823">
        <v>1</v>
      </c>
      <c r="K823" t="s">
        <v>16</v>
      </c>
      <c r="L823">
        <v>11014</v>
      </c>
      <c r="M823" t="s">
        <v>232</v>
      </c>
      <c r="N823">
        <v>1</v>
      </c>
      <c r="O823" t="s">
        <v>119</v>
      </c>
      <c r="P823" t="s">
        <v>1307</v>
      </c>
      <c r="Q823">
        <v>541296</v>
      </c>
      <c r="R823">
        <v>32220000</v>
      </c>
      <c r="S823">
        <v>30</v>
      </c>
      <c r="T823">
        <v>1074000</v>
      </c>
      <c r="U823">
        <v>1</v>
      </c>
      <c r="V823">
        <v>1</v>
      </c>
      <c r="W823" t="s">
        <v>127</v>
      </c>
      <c r="X823">
        <v>17900</v>
      </c>
      <c r="Y823">
        <v>541296</v>
      </c>
      <c r="Z823">
        <v>32220000</v>
      </c>
      <c r="AA823">
        <v>1074000</v>
      </c>
      <c r="AB823">
        <v>210</v>
      </c>
      <c r="AC823" s="34">
        <v>45981</v>
      </c>
      <c r="AD823" s="34">
        <v>46142</v>
      </c>
      <c r="AF823">
        <v>0</v>
      </c>
      <c r="AG823">
        <v>4745361.5999999996</v>
      </c>
      <c r="AH823">
        <v>0</v>
      </c>
      <c r="AI823">
        <v>4745361.5999999996</v>
      </c>
      <c r="AJ823">
        <v>0</v>
      </c>
      <c r="AK823">
        <v>0</v>
      </c>
      <c r="AL823">
        <v>1191085.77</v>
      </c>
      <c r="AM823">
        <v>0</v>
      </c>
      <c r="AN823">
        <v>5936447.3700000001</v>
      </c>
      <c r="AO823" t="s">
        <v>122</v>
      </c>
      <c r="AP823">
        <v>15</v>
      </c>
      <c r="AQ823">
        <v>711804.24</v>
      </c>
      <c r="AR823">
        <v>711804.24</v>
      </c>
      <c r="AT823">
        <v>19332000</v>
      </c>
      <c r="AU823">
        <v>324777.59999999998</v>
      </c>
      <c r="AV823">
        <v>19332000</v>
      </c>
      <c r="AW823">
        <v>324777.59999999998</v>
      </c>
    </row>
    <row r="824" spans="1:49" hidden="1" x14ac:dyDescent="0.35">
      <c r="A824">
        <v>5840710</v>
      </c>
      <c r="B824">
        <v>5010005840701</v>
      </c>
      <c r="D824">
        <v>20409151427</v>
      </c>
      <c r="E824" t="s">
        <v>231</v>
      </c>
      <c r="F824" t="s">
        <v>1</v>
      </c>
      <c r="G824" t="s">
        <v>24</v>
      </c>
      <c r="H824" t="s">
        <v>24</v>
      </c>
      <c r="I824">
        <v>6070</v>
      </c>
      <c r="J824">
        <v>1</v>
      </c>
      <c r="K824" t="s">
        <v>16</v>
      </c>
      <c r="L824">
        <v>11014</v>
      </c>
      <c r="M824" t="s">
        <v>232</v>
      </c>
      <c r="N824">
        <v>2</v>
      </c>
      <c r="O824" t="s">
        <v>119</v>
      </c>
      <c r="P824" t="s">
        <v>1308</v>
      </c>
      <c r="Q824">
        <v>1263024</v>
      </c>
      <c r="R824">
        <v>75180000</v>
      </c>
      <c r="S824">
        <v>70</v>
      </c>
      <c r="T824">
        <v>1074000</v>
      </c>
      <c r="U824">
        <v>1</v>
      </c>
      <c r="V824">
        <v>1</v>
      </c>
      <c r="W824" t="s">
        <v>127</v>
      </c>
      <c r="X824">
        <v>17900</v>
      </c>
      <c r="Y824">
        <v>1263024</v>
      </c>
      <c r="Z824">
        <v>75180000</v>
      </c>
      <c r="AA824">
        <v>1074000</v>
      </c>
      <c r="AB824">
        <v>210</v>
      </c>
      <c r="AC824" s="34">
        <v>45981</v>
      </c>
      <c r="AD824" s="34">
        <v>46142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 t="s">
        <v>122</v>
      </c>
      <c r="AT824">
        <v>45108000</v>
      </c>
      <c r="AU824">
        <v>757814.4</v>
      </c>
      <c r="AV824">
        <v>45108000</v>
      </c>
      <c r="AW824">
        <v>757814.4</v>
      </c>
    </row>
    <row r="825" spans="1:49" hidden="1" x14ac:dyDescent="0.35">
      <c r="A825">
        <v>5840710</v>
      </c>
      <c r="B825">
        <v>5010005840701</v>
      </c>
      <c r="D825">
        <v>20409151427</v>
      </c>
      <c r="E825" t="s">
        <v>231</v>
      </c>
      <c r="F825" t="s">
        <v>1</v>
      </c>
      <c r="G825" t="s">
        <v>24</v>
      </c>
      <c r="H825" t="s">
        <v>24</v>
      </c>
      <c r="I825">
        <v>6070</v>
      </c>
      <c r="J825">
        <v>1</v>
      </c>
      <c r="K825" t="s">
        <v>16</v>
      </c>
      <c r="L825">
        <v>11014</v>
      </c>
      <c r="M825" t="s">
        <v>232</v>
      </c>
      <c r="N825">
        <v>3</v>
      </c>
      <c r="O825" t="s">
        <v>119</v>
      </c>
      <c r="P825" t="s">
        <v>1309</v>
      </c>
      <c r="Q825">
        <v>703684.8</v>
      </c>
      <c r="R825">
        <v>41886000</v>
      </c>
      <c r="S825">
        <v>39</v>
      </c>
      <c r="T825">
        <v>1074000</v>
      </c>
      <c r="U825">
        <v>1</v>
      </c>
      <c r="V825">
        <v>1</v>
      </c>
      <c r="W825" t="s">
        <v>127</v>
      </c>
      <c r="X825">
        <v>17900</v>
      </c>
      <c r="Y825">
        <v>703684.8</v>
      </c>
      <c r="Z825">
        <v>41886000</v>
      </c>
      <c r="AA825">
        <v>1074000</v>
      </c>
      <c r="AB825">
        <v>210</v>
      </c>
      <c r="AC825" s="34">
        <v>45981</v>
      </c>
      <c r="AD825" s="34">
        <v>46142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 t="s">
        <v>122</v>
      </c>
      <c r="AT825">
        <v>25131600</v>
      </c>
      <c r="AU825">
        <v>422210.88</v>
      </c>
      <c r="AV825">
        <v>25131600</v>
      </c>
      <c r="AW825">
        <v>422210.88</v>
      </c>
    </row>
    <row r="826" spans="1:49" hidden="1" x14ac:dyDescent="0.35">
      <c r="A826">
        <v>5840710</v>
      </c>
      <c r="B826">
        <v>5010005840701</v>
      </c>
      <c r="D826">
        <v>20409151427</v>
      </c>
      <c r="E826" t="s">
        <v>231</v>
      </c>
      <c r="F826" t="s">
        <v>1</v>
      </c>
      <c r="G826" t="s">
        <v>24</v>
      </c>
      <c r="H826" t="s">
        <v>24</v>
      </c>
      <c r="I826">
        <v>6070</v>
      </c>
      <c r="J826">
        <v>1</v>
      </c>
      <c r="K826" t="s">
        <v>16</v>
      </c>
      <c r="L826">
        <v>11014</v>
      </c>
      <c r="M826" t="s">
        <v>232</v>
      </c>
      <c r="N826">
        <v>4</v>
      </c>
      <c r="O826" t="s">
        <v>119</v>
      </c>
      <c r="P826" t="s">
        <v>1310</v>
      </c>
      <c r="Q826">
        <v>902160</v>
      </c>
      <c r="R826">
        <v>53700000</v>
      </c>
      <c r="S826">
        <v>50</v>
      </c>
      <c r="T826">
        <v>1074000</v>
      </c>
      <c r="U826">
        <v>1</v>
      </c>
      <c r="V826">
        <v>1</v>
      </c>
      <c r="W826" t="s">
        <v>127</v>
      </c>
      <c r="X826">
        <v>17900</v>
      </c>
      <c r="Y826">
        <v>902160</v>
      </c>
      <c r="Z826">
        <v>53700000</v>
      </c>
      <c r="AA826">
        <v>1074000</v>
      </c>
      <c r="AB826">
        <v>210</v>
      </c>
      <c r="AC826" s="34">
        <v>45981</v>
      </c>
      <c r="AD826" s="34">
        <v>46142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 t="s">
        <v>122</v>
      </c>
      <c r="AT826">
        <v>32220000</v>
      </c>
      <c r="AU826">
        <v>541296</v>
      </c>
      <c r="AV826">
        <v>32220000</v>
      </c>
      <c r="AW826">
        <v>541296</v>
      </c>
    </row>
    <row r="827" spans="1:49" hidden="1" x14ac:dyDescent="0.35">
      <c r="A827">
        <v>5840710</v>
      </c>
      <c r="B827">
        <v>5010005840701</v>
      </c>
      <c r="D827">
        <v>20409151427</v>
      </c>
      <c r="E827" t="s">
        <v>231</v>
      </c>
      <c r="F827" t="s">
        <v>1</v>
      </c>
      <c r="G827" t="s">
        <v>24</v>
      </c>
      <c r="H827" t="s">
        <v>24</v>
      </c>
      <c r="I827">
        <v>6070</v>
      </c>
      <c r="J827">
        <v>1</v>
      </c>
      <c r="K827" t="s">
        <v>16</v>
      </c>
      <c r="L827">
        <v>11014</v>
      </c>
      <c r="M827" t="s">
        <v>232</v>
      </c>
      <c r="N827">
        <v>5</v>
      </c>
      <c r="O827" t="s">
        <v>119</v>
      </c>
      <c r="P827" t="s">
        <v>1311</v>
      </c>
      <c r="Q827">
        <v>541296</v>
      </c>
      <c r="R827">
        <v>32220000</v>
      </c>
      <c r="S827">
        <v>30</v>
      </c>
      <c r="T827">
        <v>1074000</v>
      </c>
      <c r="U827">
        <v>1</v>
      </c>
      <c r="V827">
        <v>1</v>
      </c>
      <c r="W827" t="s">
        <v>127</v>
      </c>
      <c r="X827">
        <v>17900</v>
      </c>
      <c r="Y827">
        <v>541296</v>
      </c>
      <c r="Z827">
        <v>32220000</v>
      </c>
      <c r="AA827">
        <v>1074000</v>
      </c>
      <c r="AB827">
        <v>210</v>
      </c>
      <c r="AC827" s="34">
        <v>45981</v>
      </c>
      <c r="AD827" s="34">
        <v>46142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 t="s">
        <v>122</v>
      </c>
      <c r="AT827">
        <v>19332000</v>
      </c>
      <c r="AU827">
        <v>324777.59999999998</v>
      </c>
      <c r="AV827">
        <v>19332000</v>
      </c>
      <c r="AW827">
        <v>324777.59999999998</v>
      </c>
    </row>
    <row r="828" spans="1:49" hidden="1" x14ac:dyDescent="0.35">
      <c r="A828">
        <v>5840710</v>
      </c>
      <c r="B828">
        <v>5010005840701</v>
      </c>
      <c r="D828">
        <v>20409151427</v>
      </c>
      <c r="E828" t="s">
        <v>231</v>
      </c>
      <c r="F828" t="s">
        <v>1</v>
      </c>
      <c r="G828" t="s">
        <v>24</v>
      </c>
      <c r="H828" t="s">
        <v>24</v>
      </c>
      <c r="I828">
        <v>6070</v>
      </c>
      <c r="J828">
        <v>1</v>
      </c>
      <c r="K828" t="s">
        <v>16</v>
      </c>
      <c r="L828">
        <v>11014</v>
      </c>
      <c r="M828" t="s">
        <v>232</v>
      </c>
      <c r="N828">
        <v>6</v>
      </c>
      <c r="O828" t="s">
        <v>119</v>
      </c>
      <c r="P828" t="s">
        <v>1312</v>
      </c>
      <c r="Q828">
        <v>793900.8</v>
      </c>
      <c r="R828">
        <v>47256000</v>
      </c>
      <c r="S828">
        <v>44</v>
      </c>
      <c r="T828">
        <v>1074000</v>
      </c>
      <c r="U828">
        <v>1</v>
      </c>
      <c r="V828">
        <v>1</v>
      </c>
      <c r="W828" t="s">
        <v>127</v>
      </c>
      <c r="X828">
        <v>17900</v>
      </c>
      <c r="Y828">
        <v>793900.8</v>
      </c>
      <c r="Z828">
        <v>47256000</v>
      </c>
      <c r="AA828">
        <v>1074000</v>
      </c>
      <c r="AB828">
        <v>210</v>
      </c>
      <c r="AC828" s="34">
        <v>45981</v>
      </c>
      <c r="AD828" s="34">
        <v>46142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 t="s">
        <v>122</v>
      </c>
      <c r="AT828">
        <v>28353600</v>
      </c>
      <c r="AU828">
        <v>476340.47999999998</v>
      </c>
      <c r="AV828">
        <v>28353600</v>
      </c>
      <c r="AW828">
        <v>476340.47999999998</v>
      </c>
    </row>
    <row r="829" spans="1:49" hidden="1" x14ac:dyDescent="0.35">
      <c r="A829">
        <v>5840810</v>
      </c>
      <c r="B829">
        <v>5010005840801</v>
      </c>
      <c r="D829">
        <v>33717354759</v>
      </c>
      <c r="E829" t="s">
        <v>1313</v>
      </c>
      <c r="F829" t="s">
        <v>1</v>
      </c>
      <c r="G829" t="s">
        <v>23</v>
      </c>
      <c r="H829" t="s">
        <v>23</v>
      </c>
      <c r="I829">
        <v>6230</v>
      </c>
      <c r="J829">
        <v>1</v>
      </c>
      <c r="K829" t="s">
        <v>16</v>
      </c>
      <c r="L829">
        <v>11014</v>
      </c>
      <c r="M829" t="s">
        <v>232</v>
      </c>
      <c r="N829">
        <v>1</v>
      </c>
      <c r="O829" t="s">
        <v>119</v>
      </c>
      <c r="P829" t="s">
        <v>1314</v>
      </c>
      <c r="Q829">
        <v>646.55999999999995</v>
      </c>
      <c r="R829">
        <v>31850</v>
      </c>
      <c r="S829">
        <v>49</v>
      </c>
      <c r="T829">
        <v>650</v>
      </c>
      <c r="U829">
        <v>26</v>
      </c>
      <c r="V829">
        <v>1437.5</v>
      </c>
      <c r="W829" t="s">
        <v>121</v>
      </c>
      <c r="X829" t="s">
        <v>1</v>
      </c>
      <c r="Y829">
        <v>929430</v>
      </c>
      <c r="Z829">
        <v>45784375</v>
      </c>
      <c r="AA829">
        <v>934375</v>
      </c>
      <c r="AB829">
        <v>106</v>
      </c>
      <c r="AC829" s="34">
        <v>46006</v>
      </c>
      <c r="AD829" s="34">
        <v>46173</v>
      </c>
      <c r="AF829">
        <v>0</v>
      </c>
      <c r="AG829">
        <v>6069.71</v>
      </c>
      <c r="AH829">
        <v>0</v>
      </c>
      <c r="AI829">
        <v>8725208.1300000008</v>
      </c>
      <c r="AJ829">
        <v>0</v>
      </c>
      <c r="AK829">
        <v>0</v>
      </c>
      <c r="AL829">
        <v>2190031.25</v>
      </c>
      <c r="AM829">
        <v>0</v>
      </c>
      <c r="AN829">
        <v>10915239.380000001</v>
      </c>
      <c r="AO829" t="s">
        <v>122</v>
      </c>
      <c r="AP829">
        <v>15</v>
      </c>
      <c r="AQ829">
        <v>910.46</v>
      </c>
      <c r="AR829">
        <v>1308786.25</v>
      </c>
      <c r="AT829">
        <v>19110</v>
      </c>
      <c r="AU829">
        <v>387.94</v>
      </c>
      <c r="AV829">
        <v>27470625</v>
      </c>
      <c r="AW829">
        <v>557663.75</v>
      </c>
    </row>
    <row r="830" spans="1:49" hidden="1" x14ac:dyDescent="0.35">
      <c r="A830">
        <v>5840810</v>
      </c>
      <c r="B830">
        <v>5010005840801</v>
      </c>
      <c r="D830">
        <v>33717354759</v>
      </c>
      <c r="E830" t="s">
        <v>1313</v>
      </c>
      <c r="F830" t="s">
        <v>1</v>
      </c>
      <c r="G830" t="s">
        <v>23</v>
      </c>
      <c r="H830" t="s">
        <v>23</v>
      </c>
      <c r="I830">
        <v>6230</v>
      </c>
      <c r="J830">
        <v>1</v>
      </c>
      <c r="K830" t="s">
        <v>16</v>
      </c>
      <c r="L830">
        <v>11014</v>
      </c>
      <c r="M830" t="s">
        <v>232</v>
      </c>
      <c r="N830">
        <v>2</v>
      </c>
      <c r="O830" t="s">
        <v>119</v>
      </c>
      <c r="P830" t="s">
        <v>1315</v>
      </c>
      <c r="Q830">
        <v>1293.1099999999999</v>
      </c>
      <c r="R830">
        <v>63700</v>
      </c>
      <c r="S830">
        <v>98</v>
      </c>
      <c r="T830">
        <v>650</v>
      </c>
      <c r="U830">
        <v>26</v>
      </c>
      <c r="V830">
        <v>1437.5</v>
      </c>
      <c r="W830" t="s">
        <v>121</v>
      </c>
      <c r="X830" t="s">
        <v>1</v>
      </c>
      <c r="Y830">
        <v>1858845.63</v>
      </c>
      <c r="Z830">
        <v>91568750</v>
      </c>
      <c r="AA830">
        <v>934375</v>
      </c>
      <c r="AB830">
        <v>106</v>
      </c>
      <c r="AC830" s="34">
        <v>46006</v>
      </c>
      <c r="AD830" s="34">
        <v>46173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 t="s">
        <v>122</v>
      </c>
      <c r="AT830">
        <v>38220</v>
      </c>
      <c r="AU830">
        <v>775.87</v>
      </c>
      <c r="AV830">
        <v>54941250</v>
      </c>
      <c r="AW830">
        <v>1115313.1299999999</v>
      </c>
    </row>
    <row r="831" spans="1:49" hidden="1" x14ac:dyDescent="0.35">
      <c r="A831">
        <v>5840810</v>
      </c>
      <c r="B831">
        <v>5010005840801</v>
      </c>
      <c r="D831">
        <v>33717354759</v>
      </c>
      <c r="E831" t="s">
        <v>1313</v>
      </c>
      <c r="F831" t="s">
        <v>1</v>
      </c>
      <c r="G831" t="s">
        <v>23</v>
      </c>
      <c r="H831" t="s">
        <v>23</v>
      </c>
      <c r="I831">
        <v>6230</v>
      </c>
      <c r="J831">
        <v>1</v>
      </c>
      <c r="K831" t="s">
        <v>16</v>
      </c>
      <c r="L831">
        <v>11014</v>
      </c>
      <c r="M831" t="s">
        <v>232</v>
      </c>
      <c r="N831">
        <v>3</v>
      </c>
      <c r="O831" t="s">
        <v>119</v>
      </c>
      <c r="P831" t="s">
        <v>1316</v>
      </c>
      <c r="Q831">
        <v>3232.78</v>
      </c>
      <c r="R831">
        <v>159250</v>
      </c>
      <c r="S831">
        <v>245</v>
      </c>
      <c r="T831">
        <v>650</v>
      </c>
      <c r="U831">
        <v>26</v>
      </c>
      <c r="V831">
        <v>1437.5</v>
      </c>
      <c r="W831" t="s">
        <v>121</v>
      </c>
      <c r="X831" t="s">
        <v>1</v>
      </c>
      <c r="Y831">
        <v>4647121.25</v>
      </c>
      <c r="Z831">
        <v>228921875</v>
      </c>
      <c r="AA831">
        <v>934375</v>
      </c>
      <c r="AB831">
        <v>106</v>
      </c>
      <c r="AC831" s="34">
        <v>46006</v>
      </c>
      <c r="AD831" s="34">
        <v>46173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 t="s">
        <v>122</v>
      </c>
      <c r="AT831">
        <v>95550</v>
      </c>
      <c r="AU831">
        <v>1939.67</v>
      </c>
      <c r="AV831">
        <v>137353125</v>
      </c>
      <c r="AW831">
        <v>2788275.63</v>
      </c>
    </row>
    <row r="832" spans="1:49" hidden="1" x14ac:dyDescent="0.35">
      <c r="A832">
        <v>5840810</v>
      </c>
      <c r="B832">
        <v>5010005840801</v>
      </c>
      <c r="D832">
        <v>33717354759</v>
      </c>
      <c r="E832" t="s">
        <v>1313</v>
      </c>
      <c r="F832" t="s">
        <v>1</v>
      </c>
      <c r="G832" t="s">
        <v>23</v>
      </c>
      <c r="H832" t="s">
        <v>23</v>
      </c>
      <c r="I832">
        <v>6230</v>
      </c>
      <c r="J832">
        <v>1</v>
      </c>
      <c r="K832" t="s">
        <v>16</v>
      </c>
      <c r="L832">
        <v>11014</v>
      </c>
      <c r="M832" t="s">
        <v>232</v>
      </c>
      <c r="N832">
        <v>4</v>
      </c>
      <c r="O832" t="s">
        <v>119</v>
      </c>
      <c r="P832" t="s">
        <v>1317</v>
      </c>
      <c r="Q832">
        <v>606.97</v>
      </c>
      <c r="R832">
        <v>29900</v>
      </c>
      <c r="S832">
        <v>46</v>
      </c>
      <c r="T832">
        <v>650</v>
      </c>
      <c r="U832">
        <v>26</v>
      </c>
      <c r="V832">
        <v>1437.5</v>
      </c>
      <c r="W832" t="s">
        <v>121</v>
      </c>
      <c r="X832" t="s">
        <v>1</v>
      </c>
      <c r="Y832">
        <v>872519.38</v>
      </c>
      <c r="Z832">
        <v>42981250</v>
      </c>
      <c r="AA832">
        <v>934375</v>
      </c>
      <c r="AB832">
        <v>106</v>
      </c>
      <c r="AC832" s="34">
        <v>46006</v>
      </c>
      <c r="AD832" s="34">
        <v>46173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 t="s">
        <v>122</v>
      </c>
      <c r="AT832">
        <v>17940</v>
      </c>
      <c r="AU832">
        <v>364.19</v>
      </c>
      <c r="AV832">
        <v>25788750</v>
      </c>
      <c r="AW832">
        <v>523523.13</v>
      </c>
    </row>
    <row r="833" spans="1:49" hidden="1" x14ac:dyDescent="0.35">
      <c r="A833">
        <v>5840810</v>
      </c>
      <c r="B833">
        <v>5010005840801</v>
      </c>
      <c r="D833">
        <v>33717354759</v>
      </c>
      <c r="E833" t="s">
        <v>1313</v>
      </c>
      <c r="F833" t="s">
        <v>1</v>
      </c>
      <c r="G833" t="s">
        <v>23</v>
      </c>
      <c r="H833" t="s">
        <v>23</v>
      </c>
      <c r="I833">
        <v>6230</v>
      </c>
      <c r="J833">
        <v>1</v>
      </c>
      <c r="K833" t="s">
        <v>16</v>
      </c>
      <c r="L833">
        <v>11014</v>
      </c>
      <c r="M833" t="s">
        <v>232</v>
      </c>
      <c r="N833">
        <v>5</v>
      </c>
      <c r="O833" t="s">
        <v>119</v>
      </c>
      <c r="P833" t="s">
        <v>1318</v>
      </c>
      <c r="Q833">
        <v>290.29000000000002</v>
      </c>
      <c r="R833">
        <v>14300</v>
      </c>
      <c r="S833">
        <v>22</v>
      </c>
      <c r="T833">
        <v>650</v>
      </c>
      <c r="U833">
        <v>26</v>
      </c>
      <c r="V833">
        <v>1437.5</v>
      </c>
      <c r="W833" t="s">
        <v>121</v>
      </c>
      <c r="X833" t="s">
        <v>1</v>
      </c>
      <c r="Y833">
        <v>417291.88</v>
      </c>
      <c r="Z833">
        <v>20556250</v>
      </c>
      <c r="AA833">
        <v>934375</v>
      </c>
      <c r="AB833">
        <v>106</v>
      </c>
      <c r="AC833" s="34">
        <v>46006</v>
      </c>
      <c r="AD833" s="34">
        <v>46173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 t="s">
        <v>122</v>
      </c>
      <c r="AT833">
        <v>8580</v>
      </c>
      <c r="AU833">
        <v>174.17</v>
      </c>
      <c r="AV833">
        <v>12333750</v>
      </c>
      <c r="AW833">
        <v>250369.38</v>
      </c>
    </row>
    <row r="834" spans="1:49" hidden="1" x14ac:dyDescent="0.35">
      <c r="A834">
        <v>5840910</v>
      </c>
      <c r="B834">
        <v>5010005840901</v>
      </c>
      <c r="D834">
        <v>33717354759</v>
      </c>
      <c r="E834" t="s">
        <v>1313</v>
      </c>
      <c r="F834" t="s">
        <v>1</v>
      </c>
      <c r="G834" t="s">
        <v>23</v>
      </c>
      <c r="H834" t="s">
        <v>23</v>
      </c>
      <c r="I834">
        <v>6230</v>
      </c>
      <c r="J834">
        <v>1</v>
      </c>
      <c r="K834" t="s">
        <v>16</v>
      </c>
      <c r="L834">
        <v>11014</v>
      </c>
      <c r="M834" t="s">
        <v>232</v>
      </c>
      <c r="N834">
        <v>1</v>
      </c>
      <c r="O834" t="s">
        <v>119</v>
      </c>
      <c r="P834" t="s">
        <v>1319</v>
      </c>
      <c r="Q834">
        <v>118.76</v>
      </c>
      <c r="R834">
        <v>5850</v>
      </c>
      <c r="S834">
        <v>19.5</v>
      </c>
      <c r="T834">
        <v>300</v>
      </c>
      <c r="U834">
        <v>26</v>
      </c>
      <c r="V834">
        <v>1437.5</v>
      </c>
      <c r="W834" t="s">
        <v>121</v>
      </c>
      <c r="X834" t="s">
        <v>1</v>
      </c>
      <c r="Y834">
        <v>170717.5</v>
      </c>
      <c r="Z834">
        <v>8409375</v>
      </c>
      <c r="AA834">
        <v>431250</v>
      </c>
      <c r="AB834">
        <v>106</v>
      </c>
      <c r="AC834" s="34">
        <v>46006</v>
      </c>
      <c r="AD834" s="34">
        <v>46157</v>
      </c>
      <c r="AF834">
        <v>0</v>
      </c>
      <c r="AG834">
        <v>258.83</v>
      </c>
      <c r="AH834">
        <v>0</v>
      </c>
      <c r="AI834">
        <v>372068.13</v>
      </c>
      <c r="AJ834">
        <v>0</v>
      </c>
      <c r="AK834">
        <v>0</v>
      </c>
      <c r="AL834">
        <v>93365.63</v>
      </c>
      <c r="AM834">
        <v>0</v>
      </c>
      <c r="AN834">
        <v>465433.75</v>
      </c>
      <c r="AO834" t="s">
        <v>122</v>
      </c>
      <c r="AP834">
        <v>14.997999999999999</v>
      </c>
      <c r="AQ834">
        <v>38.82</v>
      </c>
      <c r="AR834">
        <v>55803.75</v>
      </c>
      <c r="AT834">
        <v>3510</v>
      </c>
      <c r="AU834">
        <v>71.260000000000005</v>
      </c>
      <c r="AV834">
        <v>5045625</v>
      </c>
      <c r="AW834">
        <v>102436.25</v>
      </c>
    </row>
    <row r="835" spans="1:49" hidden="1" x14ac:dyDescent="0.35">
      <c r="A835">
        <v>5840910</v>
      </c>
      <c r="B835">
        <v>5010005840901</v>
      </c>
      <c r="D835">
        <v>33717354759</v>
      </c>
      <c r="E835" t="s">
        <v>1313</v>
      </c>
      <c r="F835" t="s">
        <v>1</v>
      </c>
      <c r="G835" t="s">
        <v>23</v>
      </c>
      <c r="H835" t="s">
        <v>23</v>
      </c>
      <c r="I835">
        <v>6230</v>
      </c>
      <c r="J835">
        <v>1</v>
      </c>
      <c r="K835" t="s">
        <v>16</v>
      </c>
      <c r="L835">
        <v>11014</v>
      </c>
      <c r="M835" t="s">
        <v>232</v>
      </c>
      <c r="N835">
        <v>2</v>
      </c>
      <c r="O835" t="s">
        <v>119</v>
      </c>
      <c r="P835" t="s">
        <v>1320</v>
      </c>
      <c r="Q835">
        <v>140.07</v>
      </c>
      <c r="R835">
        <v>6900</v>
      </c>
      <c r="S835">
        <v>23</v>
      </c>
      <c r="T835">
        <v>300</v>
      </c>
      <c r="U835">
        <v>26</v>
      </c>
      <c r="V835">
        <v>1437.5</v>
      </c>
      <c r="W835" t="s">
        <v>121</v>
      </c>
      <c r="X835" t="s">
        <v>1</v>
      </c>
      <c r="Y835">
        <v>201350.63</v>
      </c>
      <c r="Z835">
        <v>9918750</v>
      </c>
      <c r="AA835">
        <v>431250</v>
      </c>
      <c r="AB835">
        <v>106</v>
      </c>
      <c r="AC835" s="34">
        <v>46006</v>
      </c>
      <c r="AD835" s="34">
        <v>46157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 t="s">
        <v>122</v>
      </c>
      <c r="AT835">
        <v>4140</v>
      </c>
      <c r="AU835">
        <v>84.04</v>
      </c>
      <c r="AV835">
        <v>5951250</v>
      </c>
      <c r="AW835">
        <v>120807.5</v>
      </c>
    </row>
    <row r="836" spans="1:49" hidden="1" x14ac:dyDescent="0.35">
      <c r="A836">
        <v>5841010</v>
      </c>
      <c r="B836">
        <v>5010005841001</v>
      </c>
      <c r="D836">
        <v>33717354759</v>
      </c>
      <c r="E836" t="s">
        <v>1313</v>
      </c>
      <c r="F836" t="s">
        <v>1</v>
      </c>
      <c r="G836" t="s">
        <v>23</v>
      </c>
      <c r="H836" t="s">
        <v>23</v>
      </c>
      <c r="I836">
        <v>6230</v>
      </c>
      <c r="J836">
        <v>1</v>
      </c>
      <c r="K836" t="s">
        <v>16</v>
      </c>
      <c r="L836">
        <v>11014</v>
      </c>
      <c r="M836" t="s">
        <v>232</v>
      </c>
      <c r="N836">
        <v>1</v>
      </c>
      <c r="O836" t="s">
        <v>119</v>
      </c>
      <c r="P836" t="s">
        <v>1321</v>
      </c>
      <c r="Q836">
        <v>667.92</v>
      </c>
      <c r="R836">
        <v>27600</v>
      </c>
      <c r="S836">
        <v>69</v>
      </c>
      <c r="T836">
        <v>400</v>
      </c>
      <c r="U836">
        <v>26</v>
      </c>
      <c r="V836">
        <v>1437.5</v>
      </c>
      <c r="W836" t="s">
        <v>121</v>
      </c>
      <c r="X836" t="s">
        <v>1</v>
      </c>
      <c r="Y836">
        <v>960135</v>
      </c>
      <c r="Z836">
        <v>39675000</v>
      </c>
      <c r="AA836">
        <v>575000</v>
      </c>
      <c r="AB836">
        <v>210</v>
      </c>
      <c r="AC836" s="34">
        <v>46006</v>
      </c>
      <c r="AD836" s="34">
        <v>46142</v>
      </c>
      <c r="AF836">
        <v>0</v>
      </c>
      <c r="AG836">
        <v>1558.48</v>
      </c>
      <c r="AH836">
        <v>0</v>
      </c>
      <c r="AI836">
        <v>2240315</v>
      </c>
      <c r="AJ836">
        <v>0</v>
      </c>
      <c r="AK836">
        <v>0</v>
      </c>
      <c r="AL836">
        <v>562306.88</v>
      </c>
      <c r="AM836">
        <v>0</v>
      </c>
      <c r="AN836">
        <v>2802621.88</v>
      </c>
      <c r="AO836" t="s">
        <v>122</v>
      </c>
      <c r="AP836">
        <v>15</v>
      </c>
      <c r="AQ836">
        <v>233.77</v>
      </c>
      <c r="AR836">
        <v>336044.38</v>
      </c>
      <c r="AT836">
        <v>16560</v>
      </c>
      <c r="AU836">
        <v>400.75</v>
      </c>
      <c r="AV836">
        <v>23805000</v>
      </c>
      <c r="AW836">
        <v>576078.13</v>
      </c>
    </row>
    <row r="837" spans="1:49" hidden="1" x14ac:dyDescent="0.35">
      <c r="A837">
        <v>5841010</v>
      </c>
      <c r="B837">
        <v>5010005841001</v>
      </c>
      <c r="D837">
        <v>33717354759</v>
      </c>
      <c r="E837" t="s">
        <v>1313</v>
      </c>
      <c r="F837" t="s">
        <v>1</v>
      </c>
      <c r="G837" t="s">
        <v>23</v>
      </c>
      <c r="H837" t="s">
        <v>23</v>
      </c>
      <c r="I837">
        <v>6230</v>
      </c>
      <c r="J837">
        <v>1</v>
      </c>
      <c r="K837" t="s">
        <v>16</v>
      </c>
      <c r="L837">
        <v>11014</v>
      </c>
      <c r="M837" t="s">
        <v>232</v>
      </c>
      <c r="N837">
        <v>2</v>
      </c>
      <c r="O837" t="s">
        <v>119</v>
      </c>
      <c r="P837" t="s">
        <v>1322</v>
      </c>
      <c r="Q837">
        <v>890.56</v>
      </c>
      <c r="R837">
        <v>36800</v>
      </c>
      <c r="S837">
        <v>92</v>
      </c>
      <c r="T837">
        <v>400</v>
      </c>
      <c r="U837">
        <v>26</v>
      </c>
      <c r="V837">
        <v>1437.5</v>
      </c>
      <c r="W837" t="s">
        <v>121</v>
      </c>
      <c r="X837" t="s">
        <v>1</v>
      </c>
      <c r="Y837">
        <v>1280180</v>
      </c>
      <c r="Z837">
        <v>52900000</v>
      </c>
      <c r="AA837">
        <v>575000</v>
      </c>
      <c r="AB837">
        <v>210</v>
      </c>
      <c r="AC837" s="34">
        <v>46006</v>
      </c>
      <c r="AD837" s="34">
        <v>46142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 t="s">
        <v>122</v>
      </c>
      <c r="AT837">
        <v>22080</v>
      </c>
      <c r="AU837">
        <v>534.34</v>
      </c>
      <c r="AV837">
        <v>31740000</v>
      </c>
      <c r="AW837">
        <v>768113.75</v>
      </c>
    </row>
    <row r="838" spans="1:49" hidden="1" x14ac:dyDescent="0.35">
      <c r="A838">
        <v>5841110</v>
      </c>
      <c r="B838">
        <v>5010005841101</v>
      </c>
      <c r="D838">
        <v>33717354759</v>
      </c>
      <c r="E838" t="s">
        <v>1313</v>
      </c>
      <c r="F838" t="s">
        <v>1</v>
      </c>
      <c r="G838" t="s">
        <v>23</v>
      </c>
      <c r="H838" t="s">
        <v>23</v>
      </c>
      <c r="I838">
        <v>6230</v>
      </c>
      <c r="J838">
        <v>1</v>
      </c>
      <c r="K838" t="s">
        <v>16</v>
      </c>
      <c r="L838">
        <v>11014</v>
      </c>
      <c r="M838" t="s">
        <v>232</v>
      </c>
      <c r="N838">
        <v>1</v>
      </c>
      <c r="O838" t="s">
        <v>119</v>
      </c>
      <c r="P838" t="s">
        <v>1323</v>
      </c>
      <c r="Q838">
        <v>580.79999999999995</v>
      </c>
      <c r="R838">
        <v>24000</v>
      </c>
      <c r="S838">
        <v>60</v>
      </c>
      <c r="T838">
        <v>400</v>
      </c>
      <c r="U838">
        <v>26</v>
      </c>
      <c r="V838">
        <v>1437.5</v>
      </c>
      <c r="W838" t="s">
        <v>121</v>
      </c>
      <c r="X838" t="s">
        <v>1</v>
      </c>
      <c r="Y838">
        <v>834900</v>
      </c>
      <c r="Z838">
        <v>34500000</v>
      </c>
      <c r="AA838">
        <v>575000</v>
      </c>
      <c r="AB838">
        <v>106</v>
      </c>
      <c r="AC838" s="34">
        <v>46006</v>
      </c>
      <c r="AD838" s="34">
        <v>46203</v>
      </c>
      <c r="AF838">
        <v>0</v>
      </c>
      <c r="AG838">
        <v>1984.4</v>
      </c>
      <c r="AH838">
        <v>0</v>
      </c>
      <c r="AI838">
        <v>2852575</v>
      </c>
      <c r="AJ838">
        <v>0</v>
      </c>
      <c r="AK838">
        <v>0</v>
      </c>
      <c r="AL838">
        <v>715990</v>
      </c>
      <c r="AM838">
        <v>0</v>
      </c>
      <c r="AN838">
        <v>3568565</v>
      </c>
      <c r="AO838" t="s">
        <v>122</v>
      </c>
      <c r="AP838">
        <v>15</v>
      </c>
      <c r="AQ838">
        <v>297.66000000000003</v>
      </c>
      <c r="AR838">
        <v>427886.25</v>
      </c>
      <c r="AT838">
        <v>14400</v>
      </c>
      <c r="AU838">
        <v>348.48</v>
      </c>
      <c r="AV838">
        <v>20700000</v>
      </c>
      <c r="AW838">
        <v>500940</v>
      </c>
    </row>
    <row r="839" spans="1:49" hidden="1" x14ac:dyDescent="0.35">
      <c r="A839">
        <v>5841110</v>
      </c>
      <c r="B839">
        <v>5010005841101</v>
      </c>
      <c r="D839">
        <v>33717354759</v>
      </c>
      <c r="E839" t="s">
        <v>1313</v>
      </c>
      <c r="F839" t="s">
        <v>1</v>
      </c>
      <c r="G839" t="s">
        <v>23</v>
      </c>
      <c r="H839" t="s">
        <v>23</v>
      </c>
      <c r="I839">
        <v>6230</v>
      </c>
      <c r="J839">
        <v>1</v>
      </c>
      <c r="K839" t="s">
        <v>16</v>
      </c>
      <c r="L839">
        <v>11014</v>
      </c>
      <c r="M839" t="s">
        <v>232</v>
      </c>
      <c r="N839">
        <v>2</v>
      </c>
      <c r="O839" t="s">
        <v>119</v>
      </c>
      <c r="P839" t="s">
        <v>1324</v>
      </c>
      <c r="Q839">
        <v>755.04</v>
      </c>
      <c r="R839">
        <v>31200</v>
      </c>
      <c r="S839">
        <v>78</v>
      </c>
      <c r="T839">
        <v>400</v>
      </c>
      <c r="U839">
        <v>26</v>
      </c>
      <c r="V839">
        <v>1437.5</v>
      </c>
      <c r="W839" t="s">
        <v>121</v>
      </c>
      <c r="X839" t="s">
        <v>1</v>
      </c>
      <c r="Y839">
        <v>1085370</v>
      </c>
      <c r="Z839">
        <v>44850000</v>
      </c>
      <c r="AA839">
        <v>575000</v>
      </c>
      <c r="AB839">
        <v>106</v>
      </c>
      <c r="AC839" s="34">
        <v>46006</v>
      </c>
      <c r="AD839" s="34">
        <v>46203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 t="s">
        <v>122</v>
      </c>
      <c r="AT839">
        <v>18720</v>
      </c>
      <c r="AU839">
        <v>453.02</v>
      </c>
      <c r="AV839">
        <v>26910000</v>
      </c>
      <c r="AW839">
        <v>651216.25</v>
      </c>
    </row>
    <row r="840" spans="1:49" hidden="1" x14ac:dyDescent="0.35">
      <c r="A840">
        <v>5841110</v>
      </c>
      <c r="B840">
        <v>5010005841101</v>
      </c>
      <c r="D840">
        <v>33717354759</v>
      </c>
      <c r="E840" t="s">
        <v>1313</v>
      </c>
      <c r="F840" t="s">
        <v>1</v>
      </c>
      <c r="G840" t="s">
        <v>23</v>
      </c>
      <c r="H840" t="s">
        <v>23</v>
      </c>
      <c r="I840">
        <v>6230</v>
      </c>
      <c r="J840">
        <v>1</v>
      </c>
      <c r="K840" t="s">
        <v>16</v>
      </c>
      <c r="L840">
        <v>11014</v>
      </c>
      <c r="M840" t="s">
        <v>232</v>
      </c>
      <c r="N840">
        <v>3</v>
      </c>
      <c r="O840" t="s">
        <v>119</v>
      </c>
      <c r="P840" t="s">
        <v>1325</v>
      </c>
      <c r="Q840">
        <v>648.55999999999995</v>
      </c>
      <c r="R840">
        <v>26800</v>
      </c>
      <c r="S840">
        <v>67</v>
      </c>
      <c r="T840">
        <v>400</v>
      </c>
      <c r="U840">
        <v>26</v>
      </c>
      <c r="V840">
        <v>1437.5</v>
      </c>
      <c r="W840" t="s">
        <v>121</v>
      </c>
      <c r="X840" t="s">
        <v>1</v>
      </c>
      <c r="Y840">
        <v>932305</v>
      </c>
      <c r="Z840">
        <v>38525000</v>
      </c>
      <c r="AA840">
        <v>575000</v>
      </c>
      <c r="AB840">
        <v>106</v>
      </c>
      <c r="AC840" s="34">
        <v>46006</v>
      </c>
      <c r="AD840" s="34">
        <v>46203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 t="s">
        <v>122</v>
      </c>
      <c r="AT840">
        <v>16080</v>
      </c>
      <c r="AU840">
        <v>389.14</v>
      </c>
      <c r="AV840">
        <v>23115000</v>
      </c>
      <c r="AW840">
        <v>559388.75</v>
      </c>
    </row>
    <row r="841" spans="1:49" hidden="1" x14ac:dyDescent="0.35">
      <c r="A841">
        <v>5841210</v>
      </c>
      <c r="B841">
        <v>5010005841201</v>
      </c>
      <c r="D841">
        <v>33717354759</v>
      </c>
      <c r="E841" t="s">
        <v>1313</v>
      </c>
      <c r="F841" t="s">
        <v>1</v>
      </c>
      <c r="G841" t="s">
        <v>23</v>
      </c>
      <c r="H841" t="s">
        <v>23</v>
      </c>
      <c r="I841">
        <v>6230</v>
      </c>
      <c r="J841">
        <v>1</v>
      </c>
      <c r="K841" t="s">
        <v>16</v>
      </c>
      <c r="L841">
        <v>11014</v>
      </c>
      <c r="M841" t="s">
        <v>232</v>
      </c>
      <c r="N841">
        <v>1</v>
      </c>
      <c r="O841" t="s">
        <v>119</v>
      </c>
      <c r="P841" t="s">
        <v>1326</v>
      </c>
      <c r="Q841">
        <v>273</v>
      </c>
      <c r="R841">
        <v>6000</v>
      </c>
      <c r="S841">
        <v>20</v>
      </c>
      <c r="T841">
        <v>300</v>
      </c>
      <c r="U841">
        <v>26</v>
      </c>
      <c r="V841">
        <v>1437.5</v>
      </c>
      <c r="W841" t="s">
        <v>121</v>
      </c>
      <c r="X841" t="s">
        <v>1</v>
      </c>
      <c r="Y841">
        <v>392437.5</v>
      </c>
      <c r="Z841">
        <v>8625000</v>
      </c>
      <c r="AA841">
        <v>431250</v>
      </c>
      <c r="AB841">
        <v>211</v>
      </c>
      <c r="AC841" s="34">
        <v>46006</v>
      </c>
      <c r="AD841" s="34">
        <v>46112</v>
      </c>
      <c r="AE841" t="s">
        <v>355</v>
      </c>
      <c r="AF841">
        <v>0</v>
      </c>
      <c r="AG841">
        <v>273</v>
      </c>
      <c r="AH841">
        <v>0</v>
      </c>
      <c r="AI841">
        <v>392437.5</v>
      </c>
      <c r="AJ841">
        <v>0</v>
      </c>
      <c r="AK841">
        <v>0</v>
      </c>
      <c r="AL841">
        <v>98511.88</v>
      </c>
      <c r="AM841">
        <v>0</v>
      </c>
      <c r="AN841">
        <v>490949.38</v>
      </c>
      <c r="AO841" t="s">
        <v>122</v>
      </c>
      <c r="AP841">
        <v>15</v>
      </c>
      <c r="AQ841">
        <v>40.950000000000003</v>
      </c>
      <c r="AR841">
        <v>58865.63</v>
      </c>
      <c r="AT841">
        <v>3600</v>
      </c>
      <c r="AU841">
        <v>163.80000000000001</v>
      </c>
      <c r="AV841">
        <v>5175000</v>
      </c>
      <c r="AW841">
        <v>235462.5</v>
      </c>
    </row>
    <row r="842" spans="1:49" hidden="1" x14ac:dyDescent="0.35">
      <c r="A842">
        <v>5841310</v>
      </c>
      <c r="B842">
        <v>1090005841301</v>
      </c>
      <c r="D842">
        <v>20073631808</v>
      </c>
      <c r="E842" t="s">
        <v>949</v>
      </c>
      <c r="F842" t="s">
        <v>1</v>
      </c>
      <c r="G842" t="s">
        <v>370</v>
      </c>
      <c r="H842" t="s">
        <v>58</v>
      </c>
      <c r="I842">
        <v>6333</v>
      </c>
      <c r="J842">
        <v>21</v>
      </c>
      <c r="K842" t="s">
        <v>33</v>
      </c>
      <c r="L842">
        <v>6864</v>
      </c>
      <c r="M842" t="s">
        <v>371</v>
      </c>
      <c r="N842">
        <v>1</v>
      </c>
      <c r="O842" t="s">
        <v>119</v>
      </c>
      <c r="P842" t="s">
        <v>1327</v>
      </c>
      <c r="Q842">
        <v>3514280</v>
      </c>
      <c r="R842">
        <v>107800000</v>
      </c>
      <c r="S842">
        <v>154</v>
      </c>
      <c r="T842">
        <v>700000</v>
      </c>
      <c r="U842">
        <v>1</v>
      </c>
      <c r="V842">
        <v>1</v>
      </c>
      <c r="W842" t="s">
        <v>121</v>
      </c>
      <c r="X842" t="s">
        <v>1</v>
      </c>
      <c r="Y842">
        <v>3514280</v>
      </c>
      <c r="Z842">
        <v>107800000</v>
      </c>
      <c r="AA842">
        <v>700000</v>
      </c>
      <c r="AB842">
        <v>105</v>
      </c>
      <c r="AC842" s="34">
        <v>46000</v>
      </c>
      <c r="AD842" s="34">
        <v>46234</v>
      </c>
      <c r="AF842">
        <v>0</v>
      </c>
      <c r="AG842">
        <v>3514280</v>
      </c>
      <c r="AH842">
        <v>0</v>
      </c>
      <c r="AI842">
        <v>3514280</v>
      </c>
      <c r="AJ842">
        <v>0</v>
      </c>
      <c r="AK842">
        <v>0</v>
      </c>
      <c r="AL842">
        <v>882084.28</v>
      </c>
      <c r="AM842">
        <v>0</v>
      </c>
      <c r="AN842">
        <v>4396364.28</v>
      </c>
      <c r="AO842" t="s">
        <v>122</v>
      </c>
      <c r="AP842">
        <v>15</v>
      </c>
      <c r="AQ842">
        <v>527142</v>
      </c>
      <c r="AR842">
        <v>527142</v>
      </c>
      <c r="AT842">
        <v>64680000</v>
      </c>
      <c r="AU842">
        <v>2108568</v>
      </c>
      <c r="AV842">
        <v>64680000</v>
      </c>
      <c r="AW842">
        <v>2108568</v>
      </c>
    </row>
    <row r="843" spans="1:49" hidden="1" x14ac:dyDescent="0.35">
      <c r="A843">
        <v>5841410</v>
      </c>
      <c r="B843">
        <v>1250005841401</v>
      </c>
      <c r="D843">
        <v>20066550525</v>
      </c>
      <c r="E843" t="s">
        <v>1328</v>
      </c>
      <c r="F843" t="s">
        <v>1</v>
      </c>
      <c r="G843" t="s">
        <v>432</v>
      </c>
      <c r="H843" t="s">
        <v>48</v>
      </c>
      <c r="I843">
        <v>6128</v>
      </c>
      <c r="J843">
        <v>3</v>
      </c>
      <c r="K843" t="s">
        <v>32</v>
      </c>
      <c r="L843">
        <v>4401</v>
      </c>
      <c r="M843" t="s">
        <v>132</v>
      </c>
      <c r="N843">
        <v>1</v>
      </c>
      <c r="O843" t="s">
        <v>119</v>
      </c>
      <c r="P843" t="s">
        <v>1329</v>
      </c>
      <c r="Q843">
        <v>3496.5</v>
      </c>
      <c r="R843">
        <v>94500</v>
      </c>
      <c r="S843">
        <v>126</v>
      </c>
      <c r="T843">
        <v>750</v>
      </c>
      <c r="U843">
        <v>26</v>
      </c>
      <c r="V843">
        <v>1437.5</v>
      </c>
      <c r="W843" t="s">
        <v>121</v>
      </c>
      <c r="X843" t="s">
        <v>1</v>
      </c>
      <c r="Y843">
        <v>5026218.75</v>
      </c>
      <c r="Z843">
        <v>135843750</v>
      </c>
      <c r="AA843">
        <v>1078125</v>
      </c>
      <c r="AB843">
        <v>106</v>
      </c>
      <c r="AC843" s="34">
        <v>45984</v>
      </c>
      <c r="AD843" s="34">
        <v>46142</v>
      </c>
      <c r="AF843">
        <v>0</v>
      </c>
      <c r="AG843">
        <v>3496.5</v>
      </c>
      <c r="AH843">
        <v>0</v>
      </c>
      <c r="AI843">
        <v>5026218.75</v>
      </c>
      <c r="AJ843">
        <v>0</v>
      </c>
      <c r="AK843">
        <v>0</v>
      </c>
      <c r="AL843">
        <v>1311862.5</v>
      </c>
      <c r="AM843">
        <v>0</v>
      </c>
      <c r="AN843">
        <v>6338081.25</v>
      </c>
      <c r="AO843" t="s">
        <v>122</v>
      </c>
      <c r="AP843">
        <v>15</v>
      </c>
      <c r="AQ843">
        <v>524.48</v>
      </c>
      <c r="AR843">
        <v>753940</v>
      </c>
      <c r="AT843">
        <v>56700</v>
      </c>
      <c r="AU843">
        <v>2097.9</v>
      </c>
      <c r="AV843">
        <v>81506250</v>
      </c>
      <c r="AW843">
        <v>3015731.25</v>
      </c>
    </row>
    <row r="844" spans="1:49" hidden="1" x14ac:dyDescent="0.35">
      <c r="A844">
        <v>5841510</v>
      </c>
      <c r="B844">
        <v>1090005841501</v>
      </c>
      <c r="D844">
        <v>20128775359</v>
      </c>
      <c r="E844" t="s">
        <v>1330</v>
      </c>
      <c r="F844" t="s">
        <v>1</v>
      </c>
      <c r="G844" t="s">
        <v>1331</v>
      </c>
      <c r="H844" t="s">
        <v>54</v>
      </c>
      <c r="I844">
        <v>6300</v>
      </c>
      <c r="J844">
        <v>21</v>
      </c>
      <c r="K844" t="s">
        <v>33</v>
      </c>
      <c r="L844">
        <v>13295</v>
      </c>
      <c r="M844" t="s">
        <v>1332</v>
      </c>
      <c r="N844">
        <v>1</v>
      </c>
      <c r="O844" t="s">
        <v>119</v>
      </c>
      <c r="P844" t="s">
        <v>1333</v>
      </c>
      <c r="Q844">
        <v>390.77</v>
      </c>
      <c r="R844">
        <v>12250</v>
      </c>
      <c r="S844">
        <v>35</v>
      </c>
      <c r="T844">
        <v>350</v>
      </c>
      <c r="U844">
        <v>26</v>
      </c>
      <c r="V844">
        <v>1437.5</v>
      </c>
      <c r="W844" t="s">
        <v>121</v>
      </c>
      <c r="X844" t="s">
        <v>1</v>
      </c>
      <c r="Y844">
        <v>561731.88</v>
      </c>
      <c r="Z844">
        <v>17609375</v>
      </c>
      <c r="AA844">
        <v>503125</v>
      </c>
      <c r="AB844">
        <v>106</v>
      </c>
      <c r="AC844" s="34">
        <v>46005</v>
      </c>
      <c r="AD844" s="34">
        <v>46142</v>
      </c>
      <c r="AF844">
        <v>1</v>
      </c>
      <c r="AG844">
        <v>390.77</v>
      </c>
      <c r="AH844">
        <v>0</v>
      </c>
      <c r="AI844">
        <v>561731.88</v>
      </c>
      <c r="AJ844">
        <v>0</v>
      </c>
      <c r="AK844">
        <v>0</v>
      </c>
      <c r="AL844">
        <v>140975.63</v>
      </c>
      <c r="AM844">
        <v>0</v>
      </c>
      <c r="AN844">
        <v>702707.5</v>
      </c>
      <c r="AO844" t="s">
        <v>122</v>
      </c>
      <c r="AP844">
        <v>10.000999999999999</v>
      </c>
      <c r="AQ844">
        <v>39.08</v>
      </c>
      <c r="AR844">
        <v>56177.5</v>
      </c>
      <c r="AT844">
        <v>7350</v>
      </c>
      <c r="AU844">
        <v>234.46</v>
      </c>
      <c r="AV844">
        <v>10565625</v>
      </c>
      <c r="AW844">
        <v>337036.25</v>
      </c>
    </row>
    <row r="845" spans="1:49" hidden="1" x14ac:dyDescent="0.35">
      <c r="A845">
        <v>5841610</v>
      </c>
      <c r="B845">
        <v>1250005841601</v>
      </c>
      <c r="D845">
        <v>30712319832</v>
      </c>
      <c r="E845" t="s">
        <v>1334</v>
      </c>
      <c r="F845" t="s">
        <v>1</v>
      </c>
      <c r="G845" t="s">
        <v>1335</v>
      </c>
      <c r="H845" t="s">
        <v>49</v>
      </c>
      <c r="I845">
        <v>5829</v>
      </c>
      <c r="J845">
        <v>3</v>
      </c>
      <c r="K845" t="s">
        <v>32</v>
      </c>
      <c r="L845">
        <v>8274</v>
      </c>
      <c r="M845" t="s">
        <v>416</v>
      </c>
      <c r="N845">
        <v>1</v>
      </c>
      <c r="O845" t="s">
        <v>119</v>
      </c>
      <c r="P845" t="s">
        <v>1336</v>
      </c>
      <c r="Q845">
        <v>955.68</v>
      </c>
      <c r="R845">
        <v>14635.2</v>
      </c>
      <c r="S845">
        <v>121.96</v>
      </c>
      <c r="T845">
        <v>120</v>
      </c>
      <c r="U845">
        <v>26</v>
      </c>
      <c r="V845">
        <v>1437.5</v>
      </c>
      <c r="W845" t="s">
        <v>121</v>
      </c>
      <c r="X845" t="s">
        <v>1</v>
      </c>
      <c r="Y845">
        <v>1373790</v>
      </c>
      <c r="Z845">
        <v>21038100</v>
      </c>
      <c r="AA845">
        <v>172500</v>
      </c>
      <c r="AB845">
        <v>106</v>
      </c>
      <c r="AC845" s="34">
        <v>45992</v>
      </c>
      <c r="AD845" s="34">
        <v>46173</v>
      </c>
      <c r="AF845">
        <v>0</v>
      </c>
      <c r="AG845">
        <v>2804.06</v>
      </c>
      <c r="AH845">
        <v>0</v>
      </c>
      <c r="AI845">
        <v>4030836.25</v>
      </c>
      <c r="AJ845">
        <v>0</v>
      </c>
      <c r="AK845">
        <v>0</v>
      </c>
      <c r="AL845">
        <v>1052034.3799999999</v>
      </c>
      <c r="AM845">
        <v>0</v>
      </c>
      <c r="AN845">
        <v>5082870.63</v>
      </c>
      <c r="AO845" t="s">
        <v>122</v>
      </c>
      <c r="AP845">
        <v>15</v>
      </c>
      <c r="AQ845">
        <v>420.61</v>
      </c>
      <c r="AR845">
        <v>604626.88</v>
      </c>
      <c r="AT845">
        <v>8781.1200000000008</v>
      </c>
      <c r="AU845">
        <v>573.41</v>
      </c>
      <c r="AV845">
        <v>12622860</v>
      </c>
      <c r="AW845">
        <v>824276.88</v>
      </c>
    </row>
    <row r="846" spans="1:49" hidden="1" x14ac:dyDescent="0.35">
      <c r="A846">
        <v>5841610</v>
      </c>
      <c r="B846">
        <v>1250005841601</v>
      </c>
      <c r="D846">
        <v>30712319832</v>
      </c>
      <c r="E846" t="s">
        <v>1334</v>
      </c>
      <c r="F846" t="s">
        <v>1</v>
      </c>
      <c r="G846" t="s">
        <v>1337</v>
      </c>
      <c r="H846" t="s">
        <v>1338</v>
      </c>
      <c r="I846">
        <v>5101</v>
      </c>
      <c r="J846">
        <v>3</v>
      </c>
      <c r="K846" t="s">
        <v>32</v>
      </c>
      <c r="L846">
        <v>8274</v>
      </c>
      <c r="M846" t="s">
        <v>416</v>
      </c>
      <c r="N846">
        <v>2</v>
      </c>
      <c r="O846" t="s">
        <v>119</v>
      </c>
      <c r="P846" t="s">
        <v>1339</v>
      </c>
      <c r="Q846">
        <v>348.75</v>
      </c>
      <c r="R846">
        <v>7500</v>
      </c>
      <c r="S846">
        <v>50</v>
      </c>
      <c r="T846">
        <v>150</v>
      </c>
      <c r="U846">
        <v>26</v>
      </c>
      <c r="V846">
        <v>1437.5</v>
      </c>
      <c r="W846" t="s">
        <v>121</v>
      </c>
      <c r="X846" t="s">
        <v>1</v>
      </c>
      <c r="Y846">
        <v>501328.13</v>
      </c>
      <c r="Z846">
        <v>10781250</v>
      </c>
      <c r="AA846">
        <v>215625</v>
      </c>
      <c r="AB846">
        <v>106</v>
      </c>
      <c r="AC846" s="34">
        <v>45992</v>
      </c>
      <c r="AD846" s="34">
        <v>46173</v>
      </c>
      <c r="AE846" t="s">
        <v>161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 t="s">
        <v>122</v>
      </c>
      <c r="AT846">
        <v>4500</v>
      </c>
      <c r="AU846">
        <v>209.25</v>
      </c>
      <c r="AV846">
        <v>6468750</v>
      </c>
      <c r="AW846">
        <v>300796.88</v>
      </c>
    </row>
    <row r="847" spans="1:49" hidden="1" x14ac:dyDescent="0.35">
      <c r="A847">
        <v>5841610</v>
      </c>
      <c r="B847">
        <v>1250005841601</v>
      </c>
      <c r="D847">
        <v>30712319832</v>
      </c>
      <c r="E847" t="s">
        <v>1334</v>
      </c>
      <c r="F847" t="s">
        <v>1</v>
      </c>
      <c r="G847" t="s">
        <v>1337</v>
      </c>
      <c r="H847" t="s">
        <v>1338</v>
      </c>
      <c r="I847">
        <v>5101</v>
      </c>
      <c r="J847">
        <v>3</v>
      </c>
      <c r="K847" t="s">
        <v>32</v>
      </c>
      <c r="L847">
        <v>8274</v>
      </c>
      <c r="M847" t="s">
        <v>416</v>
      </c>
      <c r="N847">
        <v>3</v>
      </c>
      <c r="O847" t="s">
        <v>119</v>
      </c>
      <c r="P847" t="s">
        <v>1340</v>
      </c>
      <c r="Q847">
        <v>1499.63</v>
      </c>
      <c r="R847">
        <v>32250</v>
      </c>
      <c r="S847">
        <v>215</v>
      </c>
      <c r="T847">
        <v>150</v>
      </c>
      <c r="U847">
        <v>26</v>
      </c>
      <c r="V847">
        <v>1437.5</v>
      </c>
      <c r="W847" t="s">
        <v>121</v>
      </c>
      <c r="X847" t="s">
        <v>1</v>
      </c>
      <c r="Y847">
        <v>2155718.13</v>
      </c>
      <c r="Z847">
        <v>46359375</v>
      </c>
      <c r="AA847">
        <v>215625</v>
      </c>
      <c r="AB847">
        <v>106</v>
      </c>
      <c r="AC847" s="34">
        <v>45992</v>
      </c>
      <c r="AD847" s="34">
        <v>46173</v>
      </c>
      <c r="AE847" t="s">
        <v>161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 t="s">
        <v>122</v>
      </c>
      <c r="AT847">
        <v>19350</v>
      </c>
      <c r="AU847">
        <v>899.78</v>
      </c>
      <c r="AV847">
        <v>27815625</v>
      </c>
      <c r="AW847">
        <v>1293433.75</v>
      </c>
    </row>
    <row r="848" spans="1:49" hidden="1" x14ac:dyDescent="0.35">
      <c r="A848">
        <v>5841710</v>
      </c>
      <c r="B848">
        <v>1250005841701</v>
      </c>
      <c r="D848">
        <v>27143343400</v>
      </c>
      <c r="E848" t="s">
        <v>1341</v>
      </c>
      <c r="F848" t="s">
        <v>1</v>
      </c>
      <c r="G848" t="s">
        <v>49</v>
      </c>
      <c r="H848" t="s">
        <v>49</v>
      </c>
      <c r="I848">
        <v>5800</v>
      </c>
      <c r="J848">
        <v>3</v>
      </c>
      <c r="K848" t="s">
        <v>32</v>
      </c>
      <c r="L848">
        <v>8274</v>
      </c>
      <c r="M848" t="s">
        <v>416</v>
      </c>
      <c r="N848">
        <v>1</v>
      </c>
      <c r="O848" t="s">
        <v>119</v>
      </c>
      <c r="P848" t="s">
        <v>1342</v>
      </c>
      <c r="Q848">
        <v>914.2</v>
      </c>
      <c r="R848">
        <v>14000</v>
      </c>
      <c r="S848">
        <v>40</v>
      </c>
      <c r="T848">
        <v>350</v>
      </c>
      <c r="U848">
        <v>26</v>
      </c>
      <c r="V848">
        <v>1437.5</v>
      </c>
      <c r="W848" t="s">
        <v>121</v>
      </c>
      <c r="X848" t="s">
        <v>1</v>
      </c>
      <c r="Y848">
        <v>1314162.5</v>
      </c>
      <c r="Z848">
        <v>20125000</v>
      </c>
      <c r="AA848">
        <v>503125</v>
      </c>
      <c r="AB848">
        <v>106</v>
      </c>
      <c r="AC848" s="34">
        <v>45992</v>
      </c>
      <c r="AD848" s="34">
        <v>46173</v>
      </c>
      <c r="AF848">
        <v>0</v>
      </c>
      <c r="AG848">
        <v>914.2</v>
      </c>
      <c r="AH848">
        <v>0</v>
      </c>
      <c r="AI848">
        <v>1314162.5</v>
      </c>
      <c r="AJ848">
        <v>0</v>
      </c>
      <c r="AK848">
        <v>0</v>
      </c>
      <c r="AL848">
        <v>343001.88</v>
      </c>
      <c r="AM848">
        <v>0</v>
      </c>
      <c r="AN848">
        <v>1657164.38</v>
      </c>
      <c r="AO848" t="s">
        <v>122</v>
      </c>
      <c r="AP848">
        <v>15</v>
      </c>
      <c r="AQ848">
        <v>137.13</v>
      </c>
      <c r="AR848">
        <v>197124.38</v>
      </c>
      <c r="AT848">
        <v>8400</v>
      </c>
      <c r="AU848">
        <v>548.52</v>
      </c>
      <c r="AV848">
        <v>12075000</v>
      </c>
      <c r="AW848">
        <v>788497.5</v>
      </c>
    </row>
    <row r="849" spans="1:49" hidden="1" x14ac:dyDescent="0.35">
      <c r="A849">
        <v>5841810</v>
      </c>
      <c r="B849">
        <v>1250005841801</v>
      </c>
      <c r="D849">
        <v>30717370852</v>
      </c>
      <c r="E849" t="s">
        <v>1343</v>
      </c>
      <c r="F849" t="s">
        <v>1</v>
      </c>
      <c r="G849" t="s">
        <v>49</v>
      </c>
      <c r="H849" t="s">
        <v>49</v>
      </c>
      <c r="I849">
        <v>5800</v>
      </c>
      <c r="J849">
        <v>3</v>
      </c>
      <c r="K849" t="s">
        <v>32</v>
      </c>
      <c r="L849">
        <v>8274</v>
      </c>
      <c r="M849" t="s">
        <v>416</v>
      </c>
      <c r="N849">
        <v>1</v>
      </c>
      <c r="O849" t="s">
        <v>119</v>
      </c>
      <c r="P849" t="s">
        <v>1336</v>
      </c>
      <c r="Q849">
        <v>716.76</v>
      </c>
      <c r="R849">
        <v>10976.4</v>
      </c>
      <c r="S849">
        <v>121.96</v>
      </c>
      <c r="T849">
        <v>90</v>
      </c>
      <c r="U849">
        <v>26</v>
      </c>
      <c r="V849">
        <v>1437.5</v>
      </c>
      <c r="W849" t="s">
        <v>121</v>
      </c>
      <c r="X849" t="s">
        <v>1</v>
      </c>
      <c r="Y849">
        <v>1030342.5</v>
      </c>
      <c r="Z849">
        <v>15778575</v>
      </c>
      <c r="AA849">
        <v>129375</v>
      </c>
      <c r="AB849">
        <v>106</v>
      </c>
      <c r="AC849" s="34">
        <v>45992</v>
      </c>
      <c r="AD849" s="34">
        <v>46173</v>
      </c>
      <c r="AF849">
        <v>0</v>
      </c>
      <c r="AG849">
        <v>5410.68</v>
      </c>
      <c r="AH849">
        <v>0</v>
      </c>
      <c r="AI849">
        <v>7777852.5</v>
      </c>
      <c r="AJ849">
        <v>0</v>
      </c>
      <c r="AK849">
        <v>0</v>
      </c>
      <c r="AL849">
        <v>2030008.75</v>
      </c>
      <c r="AM849">
        <v>0</v>
      </c>
      <c r="AN849">
        <v>9807861.25</v>
      </c>
      <c r="AO849" t="s">
        <v>122</v>
      </c>
      <c r="AP849">
        <v>15</v>
      </c>
      <c r="AQ849">
        <v>811.6</v>
      </c>
      <c r="AR849">
        <v>1166675</v>
      </c>
      <c r="AT849">
        <v>6585.84</v>
      </c>
      <c r="AU849">
        <v>430.06</v>
      </c>
      <c r="AV849">
        <v>9467145</v>
      </c>
      <c r="AW849">
        <v>618211.25</v>
      </c>
    </row>
    <row r="850" spans="1:49" hidden="1" x14ac:dyDescent="0.35">
      <c r="A850">
        <v>5841810</v>
      </c>
      <c r="B850">
        <v>1250005841801</v>
      </c>
      <c r="D850">
        <v>30717370852</v>
      </c>
      <c r="E850" t="s">
        <v>1343</v>
      </c>
      <c r="F850" t="s">
        <v>1</v>
      </c>
      <c r="G850" t="s">
        <v>1337</v>
      </c>
      <c r="H850" t="s">
        <v>1338</v>
      </c>
      <c r="I850">
        <v>5101</v>
      </c>
      <c r="J850">
        <v>3</v>
      </c>
      <c r="K850" t="s">
        <v>32</v>
      </c>
      <c r="L850">
        <v>8274</v>
      </c>
      <c r="M850" t="s">
        <v>416</v>
      </c>
      <c r="N850">
        <v>2</v>
      </c>
      <c r="O850" t="s">
        <v>119</v>
      </c>
      <c r="P850" t="s">
        <v>1344</v>
      </c>
      <c r="Q850">
        <v>325.5</v>
      </c>
      <c r="R850">
        <v>7000</v>
      </c>
      <c r="S850">
        <v>50</v>
      </c>
      <c r="T850">
        <v>140</v>
      </c>
      <c r="U850">
        <v>26</v>
      </c>
      <c r="V850">
        <v>1437.5</v>
      </c>
      <c r="W850" t="s">
        <v>121</v>
      </c>
      <c r="X850" t="s">
        <v>1</v>
      </c>
      <c r="Y850">
        <v>467906.25</v>
      </c>
      <c r="Z850">
        <v>10062500</v>
      </c>
      <c r="AA850">
        <v>201250</v>
      </c>
      <c r="AB850">
        <v>106</v>
      </c>
      <c r="AC850" s="34">
        <v>45992</v>
      </c>
      <c r="AD850" s="34">
        <v>46173</v>
      </c>
      <c r="AE850" t="s">
        <v>161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 t="s">
        <v>122</v>
      </c>
      <c r="AT850">
        <v>4200</v>
      </c>
      <c r="AU850">
        <v>195.3</v>
      </c>
      <c r="AV850">
        <v>6037500</v>
      </c>
      <c r="AW850">
        <v>280743.75</v>
      </c>
    </row>
    <row r="851" spans="1:49" hidden="1" x14ac:dyDescent="0.35">
      <c r="A851">
        <v>5841810</v>
      </c>
      <c r="B851">
        <v>1250005841801</v>
      </c>
      <c r="D851">
        <v>30717370852</v>
      </c>
      <c r="E851" t="s">
        <v>1343</v>
      </c>
      <c r="F851" t="s">
        <v>1</v>
      </c>
      <c r="G851" t="s">
        <v>1337</v>
      </c>
      <c r="H851" t="s">
        <v>1338</v>
      </c>
      <c r="I851">
        <v>5101</v>
      </c>
      <c r="J851">
        <v>3</v>
      </c>
      <c r="K851" t="s">
        <v>32</v>
      </c>
      <c r="L851">
        <v>8274</v>
      </c>
      <c r="M851" t="s">
        <v>416</v>
      </c>
      <c r="N851">
        <v>3</v>
      </c>
      <c r="O851" t="s">
        <v>119</v>
      </c>
      <c r="P851" t="s">
        <v>1340</v>
      </c>
      <c r="Q851">
        <v>1399.65</v>
      </c>
      <c r="R851">
        <v>30100</v>
      </c>
      <c r="S851">
        <v>215</v>
      </c>
      <c r="T851">
        <v>140</v>
      </c>
      <c r="U851">
        <v>26</v>
      </c>
      <c r="V851">
        <v>1437.5</v>
      </c>
      <c r="W851" t="s">
        <v>121</v>
      </c>
      <c r="X851" t="s">
        <v>1</v>
      </c>
      <c r="Y851">
        <v>2011996.88</v>
      </c>
      <c r="Z851">
        <v>43268750</v>
      </c>
      <c r="AA851">
        <v>201250</v>
      </c>
      <c r="AB851">
        <v>106</v>
      </c>
      <c r="AC851" s="34">
        <v>45992</v>
      </c>
      <c r="AD851" s="34">
        <v>46173</v>
      </c>
      <c r="AE851" t="s">
        <v>161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 t="s">
        <v>122</v>
      </c>
      <c r="AT851">
        <v>18060</v>
      </c>
      <c r="AU851">
        <v>839.79</v>
      </c>
      <c r="AV851">
        <v>25961250</v>
      </c>
      <c r="AW851">
        <v>1207198.1299999999</v>
      </c>
    </row>
    <row r="852" spans="1:49" hidden="1" x14ac:dyDescent="0.35">
      <c r="A852">
        <v>5841810</v>
      </c>
      <c r="B852">
        <v>1250005841801</v>
      </c>
      <c r="D852">
        <v>30717370852</v>
      </c>
      <c r="E852" t="s">
        <v>1343</v>
      </c>
      <c r="F852" t="s">
        <v>1</v>
      </c>
      <c r="G852" t="s">
        <v>49</v>
      </c>
      <c r="H852" t="s">
        <v>49</v>
      </c>
      <c r="I852">
        <v>5800</v>
      </c>
      <c r="J852">
        <v>3</v>
      </c>
      <c r="K852" t="s">
        <v>32</v>
      </c>
      <c r="L852">
        <v>8274</v>
      </c>
      <c r="M852" t="s">
        <v>416</v>
      </c>
      <c r="N852">
        <v>4</v>
      </c>
      <c r="O852" t="s">
        <v>119</v>
      </c>
      <c r="P852" t="s">
        <v>1345</v>
      </c>
      <c r="Q852">
        <v>1678.47</v>
      </c>
      <c r="R852">
        <v>25704</v>
      </c>
      <c r="S852">
        <v>108</v>
      </c>
      <c r="T852">
        <v>238</v>
      </c>
      <c r="U852">
        <v>26</v>
      </c>
      <c r="V852">
        <v>1437.5</v>
      </c>
      <c r="W852" t="s">
        <v>121</v>
      </c>
      <c r="X852" t="s">
        <v>1</v>
      </c>
      <c r="Y852">
        <v>2412800.63</v>
      </c>
      <c r="Z852">
        <v>36949500</v>
      </c>
      <c r="AA852">
        <v>342125</v>
      </c>
      <c r="AB852">
        <v>106</v>
      </c>
      <c r="AC852" s="34">
        <v>45992</v>
      </c>
      <c r="AD852" s="34">
        <v>46173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 t="s">
        <v>122</v>
      </c>
      <c r="AT852">
        <v>15422.4</v>
      </c>
      <c r="AU852">
        <v>1007.08</v>
      </c>
      <c r="AV852">
        <v>22169700</v>
      </c>
      <c r="AW852">
        <v>1447677.5</v>
      </c>
    </row>
    <row r="853" spans="1:49" hidden="1" x14ac:dyDescent="0.35">
      <c r="A853">
        <v>5841810</v>
      </c>
      <c r="B853">
        <v>1250005841801</v>
      </c>
      <c r="D853">
        <v>30717370852</v>
      </c>
      <c r="E853" t="s">
        <v>1343</v>
      </c>
      <c r="F853" t="s">
        <v>1</v>
      </c>
      <c r="G853" t="s">
        <v>432</v>
      </c>
      <c r="H853" t="s">
        <v>48</v>
      </c>
      <c r="I853">
        <v>6128</v>
      </c>
      <c r="J853">
        <v>3</v>
      </c>
      <c r="K853" t="s">
        <v>32</v>
      </c>
      <c r="L853">
        <v>8274</v>
      </c>
      <c r="M853" t="s">
        <v>416</v>
      </c>
      <c r="N853">
        <v>5</v>
      </c>
      <c r="O853" t="s">
        <v>119</v>
      </c>
      <c r="P853" t="s">
        <v>1346</v>
      </c>
      <c r="Q853">
        <v>1290.3</v>
      </c>
      <c r="R853">
        <v>33000</v>
      </c>
      <c r="S853">
        <v>110</v>
      </c>
      <c r="T853">
        <v>300</v>
      </c>
      <c r="U853">
        <v>26</v>
      </c>
      <c r="V853">
        <v>1437.5</v>
      </c>
      <c r="W853" t="s">
        <v>121</v>
      </c>
      <c r="X853" t="s">
        <v>1</v>
      </c>
      <c r="Y853">
        <v>1854806.25</v>
      </c>
      <c r="Z853">
        <v>47437500</v>
      </c>
      <c r="AA853">
        <v>431250</v>
      </c>
      <c r="AB853">
        <v>106</v>
      </c>
      <c r="AC853" s="34">
        <v>45992</v>
      </c>
      <c r="AD853" s="34">
        <v>46173</v>
      </c>
      <c r="AE853" t="s">
        <v>161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 t="s">
        <v>122</v>
      </c>
      <c r="AT853">
        <v>19800</v>
      </c>
      <c r="AU853">
        <v>774.18</v>
      </c>
      <c r="AV853">
        <v>28462500</v>
      </c>
      <c r="AW853">
        <v>1112883.75</v>
      </c>
    </row>
    <row r="854" spans="1:49" hidden="1" x14ac:dyDescent="0.35">
      <c r="A854">
        <v>5841910</v>
      </c>
      <c r="B854">
        <v>1250005841901</v>
      </c>
      <c r="D854">
        <v>33709948399</v>
      </c>
      <c r="E854" t="s">
        <v>1347</v>
      </c>
      <c r="F854" t="s">
        <v>1</v>
      </c>
      <c r="G854" t="s">
        <v>49</v>
      </c>
      <c r="H854" t="s">
        <v>49</v>
      </c>
      <c r="I854">
        <v>5800</v>
      </c>
      <c r="J854">
        <v>3</v>
      </c>
      <c r="K854" t="s">
        <v>32</v>
      </c>
      <c r="L854">
        <v>8274</v>
      </c>
      <c r="M854" t="s">
        <v>416</v>
      </c>
      <c r="N854">
        <v>1</v>
      </c>
      <c r="O854" t="s">
        <v>119</v>
      </c>
      <c r="P854" t="s">
        <v>1348</v>
      </c>
      <c r="Q854">
        <v>1551528</v>
      </c>
      <c r="R854">
        <v>23760000</v>
      </c>
      <c r="S854">
        <v>40</v>
      </c>
      <c r="T854">
        <v>594000</v>
      </c>
      <c r="U854">
        <v>1</v>
      </c>
      <c r="V854">
        <v>1</v>
      </c>
      <c r="W854" t="s">
        <v>127</v>
      </c>
      <c r="X854">
        <v>29700</v>
      </c>
      <c r="Y854">
        <v>1551528</v>
      </c>
      <c r="Z854">
        <v>23760000</v>
      </c>
      <c r="AA854">
        <v>594000</v>
      </c>
      <c r="AB854">
        <v>105</v>
      </c>
      <c r="AC854" s="34">
        <v>45984</v>
      </c>
      <c r="AD854" s="34">
        <v>46173</v>
      </c>
      <c r="AF854">
        <v>0</v>
      </c>
      <c r="AG854">
        <v>1551528</v>
      </c>
      <c r="AH854">
        <v>0</v>
      </c>
      <c r="AI854">
        <v>1551528</v>
      </c>
      <c r="AJ854">
        <v>0</v>
      </c>
      <c r="AK854">
        <v>0</v>
      </c>
      <c r="AL854">
        <v>404948.81</v>
      </c>
      <c r="AM854">
        <v>0</v>
      </c>
      <c r="AN854">
        <v>1956476.81</v>
      </c>
      <c r="AO854" t="s">
        <v>122</v>
      </c>
      <c r="AP854">
        <v>15</v>
      </c>
      <c r="AQ854">
        <v>232729.2</v>
      </c>
      <c r="AR854">
        <v>232729.2</v>
      </c>
      <c r="AT854">
        <v>14256000</v>
      </c>
      <c r="AU854">
        <v>930916.8</v>
      </c>
      <c r="AV854">
        <v>14256000</v>
      </c>
      <c r="AW854">
        <v>930916.8</v>
      </c>
    </row>
    <row r="855" spans="1:49" hidden="1" x14ac:dyDescent="0.35">
      <c r="A855">
        <v>5842010</v>
      </c>
      <c r="B855">
        <v>1250005842001</v>
      </c>
      <c r="D855">
        <v>20066578608</v>
      </c>
      <c r="E855" t="s">
        <v>1349</v>
      </c>
      <c r="F855" t="s">
        <v>1</v>
      </c>
      <c r="G855" t="s">
        <v>49</v>
      </c>
      <c r="H855" t="s">
        <v>49</v>
      </c>
      <c r="I855">
        <v>5800</v>
      </c>
      <c r="J855">
        <v>3</v>
      </c>
      <c r="K855" t="s">
        <v>32</v>
      </c>
      <c r="L855">
        <v>8274</v>
      </c>
      <c r="M855" t="s">
        <v>416</v>
      </c>
      <c r="N855">
        <v>1</v>
      </c>
      <c r="O855" t="s">
        <v>119</v>
      </c>
      <c r="P855" t="s">
        <v>1350</v>
      </c>
      <c r="Q855">
        <v>3646090.8</v>
      </c>
      <c r="R855">
        <v>55836000</v>
      </c>
      <c r="S855">
        <v>94</v>
      </c>
      <c r="T855">
        <v>594000</v>
      </c>
      <c r="U855">
        <v>1</v>
      </c>
      <c r="V855">
        <v>1</v>
      </c>
      <c r="W855" t="s">
        <v>127</v>
      </c>
      <c r="X855">
        <v>29700</v>
      </c>
      <c r="Y855">
        <v>3646090.8</v>
      </c>
      <c r="Z855">
        <v>55836000</v>
      </c>
      <c r="AA855">
        <v>594000</v>
      </c>
      <c r="AB855">
        <v>105</v>
      </c>
      <c r="AC855" s="34">
        <v>45991</v>
      </c>
      <c r="AD855" s="34">
        <v>46173</v>
      </c>
      <c r="AF855">
        <v>0</v>
      </c>
      <c r="AG855">
        <v>7718851.7999999998</v>
      </c>
      <c r="AH855">
        <v>0</v>
      </c>
      <c r="AI855">
        <v>7718851.7999999998</v>
      </c>
      <c r="AJ855">
        <v>0</v>
      </c>
      <c r="AK855">
        <v>0</v>
      </c>
      <c r="AL855">
        <v>2014620.32</v>
      </c>
      <c r="AM855">
        <v>0</v>
      </c>
      <c r="AN855">
        <v>9733472.1199999992</v>
      </c>
      <c r="AO855" t="s">
        <v>122</v>
      </c>
      <c r="AP855">
        <v>15</v>
      </c>
      <c r="AQ855">
        <v>1157827.77</v>
      </c>
      <c r="AR855">
        <v>1157827.77</v>
      </c>
      <c r="AT855">
        <v>33501600</v>
      </c>
      <c r="AU855">
        <v>2187654.48</v>
      </c>
      <c r="AV855">
        <v>33501600</v>
      </c>
      <c r="AW855">
        <v>2187654.48</v>
      </c>
    </row>
    <row r="856" spans="1:49" hidden="1" x14ac:dyDescent="0.35">
      <c r="A856">
        <v>5842010</v>
      </c>
      <c r="B856">
        <v>1250005842001</v>
      </c>
      <c r="D856">
        <v>20066578608</v>
      </c>
      <c r="E856" t="s">
        <v>1349</v>
      </c>
      <c r="F856" t="s">
        <v>1</v>
      </c>
      <c r="G856" t="s">
        <v>49</v>
      </c>
      <c r="H856" t="s">
        <v>49</v>
      </c>
      <c r="I856">
        <v>5800</v>
      </c>
      <c r="J856">
        <v>3</v>
      </c>
      <c r="K856" t="s">
        <v>32</v>
      </c>
      <c r="L856">
        <v>8274</v>
      </c>
      <c r="M856" t="s">
        <v>416</v>
      </c>
      <c r="N856">
        <v>2</v>
      </c>
      <c r="O856" t="s">
        <v>119</v>
      </c>
      <c r="P856" t="s">
        <v>1351</v>
      </c>
      <c r="Q856">
        <v>2210927.4</v>
      </c>
      <c r="R856">
        <v>33858000</v>
      </c>
      <c r="S856">
        <v>57</v>
      </c>
      <c r="T856">
        <v>594000</v>
      </c>
      <c r="U856">
        <v>1</v>
      </c>
      <c r="V856">
        <v>1</v>
      </c>
      <c r="W856" t="s">
        <v>127</v>
      </c>
      <c r="X856">
        <v>29700</v>
      </c>
      <c r="Y856">
        <v>2210927.4</v>
      </c>
      <c r="Z856">
        <v>33858000</v>
      </c>
      <c r="AA856">
        <v>594000</v>
      </c>
      <c r="AB856">
        <v>105</v>
      </c>
      <c r="AC856" s="34">
        <v>45991</v>
      </c>
      <c r="AD856" s="34">
        <v>46173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 t="s">
        <v>122</v>
      </c>
      <c r="AT856">
        <v>20314800</v>
      </c>
      <c r="AU856">
        <v>1326556.44</v>
      </c>
      <c r="AV856">
        <v>20314800</v>
      </c>
      <c r="AW856">
        <v>1326556.44</v>
      </c>
    </row>
    <row r="857" spans="1:49" hidden="1" x14ac:dyDescent="0.35">
      <c r="A857">
        <v>5842010</v>
      </c>
      <c r="B857">
        <v>1250005842001</v>
      </c>
      <c r="D857">
        <v>20066578608</v>
      </c>
      <c r="E857" t="s">
        <v>1349</v>
      </c>
      <c r="F857" t="s">
        <v>1</v>
      </c>
      <c r="G857" t="s">
        <v>49</v>
      </c>
      <c r="H857" t="s">
        <v>49</v>
      </c>
      <c r="I857">
        <v>5800</v>
      </c>
      <c r="J857">
        <v>3</v>
      </c>
      <c r="K857" t="s">
        <v>32</v>
      </c>
      <c r="L857">
        <v>8274</v>
      </c>
      <c r="M857" t="s">
        <v>416</v>
      </c>
      <c r="N857">
        <v>3</v>
      </c>
      <c r="O857" t="s">
        <v>119</v>
      </c>
      <c r="P857" t="s">
        <v>1352</v>
      </c>
      <c r="Q857">
        <v>775764</v>
      </c>
      <c r="R857">
        <v>11880000</v>
      </c>
      <c r="S857">
        <v>20</v>
      </c>
      <c r="T857">
        <v>594000</v>
      </c>
      <c r="U857">
        <v>1</v>
      </c>
      <c r="V857">
        <v>1</v>
      </c>
      <c r="W857" t="s">
        <v>127</v>
      </c>
      <c r="X857">
        <v>29700</v>
      </c>
      <c r="Y857">
        <v>775764</v>
      </c>
      <c r="Z857">
        <v>11880000</v>
      </c>
      <c r="AA857">
        <v>594000</v>
      </c>
      <c r="AB857">
        <v>105</v>
      </c>
      <c r="AC857" s="34">
        <v>45991</v>
      </c>
      <c r="AD857" s="34">
        <v>46173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 t="s">
        <v>122</v>
      </c>
      <c r="AT857">
        <v>7128000</v>
      </c>
      <c r="AU857">
        <v>465458.4</v>
      </c>
      <c r="AV857">
        <v>7128000</v>
      </c>
      <c r="AW857">
        <v>465458.4</v>
      </c>
    </row>
    <row r="858" spans="1:49" hidden="1" x14ac:dyDescent="0.35">
      <c r="A858">
        <v>5842010</v>
      </c>
      <c r="B858">
        <v>1250005842001</v>
      </c>
      <c r="D858">
        <v>20066578608</v>
      </c>
      <c r="E858" t="s">
        <v>1349</v>
      </c>
      <c r="F858" t="s">
        <v>1</v>
      </c>
      <c r="G858" t="s">
        <v>49</v>
      </c>
      <c r="H858" t="s">
        <v>49</v>
      </c>
      <c r="I858">
        <v>5800</v>
      </c>
      <c r="J858">
        <v>3</v>
      </c>
      <c r="K858" t="s">
        <v>32</v>
      </c>
      <c r="L858">
        <v>8274</v>
      </c>
      <c r="M858" t="s">
        <v>416</v>
      </c>
      <c r="N858">
        <v>4</v>
      </c>
      <c r="O858" t="s">
        <v>119</v>
      </c>
      <c r="P858" t="s">
        <v>1353</v>
      </c>
      <c r="Q858">
        <v>1086069.6000000001</v>
      </c>
      <c r="R858">
        <v>16632000</v>
      </c>
      <c r="S858">
        <v>28</v>
      </c>
      <c r="T858">
        <v>594000</v>
      </c>
      <c r="U858">
        <v>1</v>
      </c>
      <c r="V858">
        <v>1</v>
      </c>
      <c r="W858" t="s">
        <v>127</v>
      </c>
      <c r="X858">
        <v>29700</v>
      </c>
      <c r="Y858">
        <v>1086069.6000000001</v>
      </c>
      <c r="Z858">
        <v>16632000</v>
      </c>
      <c r="AA858">
        <v>594000</v>
      </c>
      <c r="AB858">
        <v>105</v>
      </c>
      <c r="AC858" s="34">
        <v>45991</v>
      </c>
      <c r="AD858" s="34">
        <v>46173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 t="s">
        <v>122</v>
      </c>
      <c r="AT858">
        <v>9979200</v>
      </c>
      <c r="AU858">
        <v>651641.76</v>
      </c>
      <c r="AV858">
        <v>9979200</v>
      </c>
      <c r="AW858">
        <v>651641.76</v>
      </c>
    </row>
    <row r="859" spans="1:49" hidden="1" x14ac:dyDescent="0.35">
      <c r="A859">
        <v>5842110</v>
      </c>
      <c r="B859">
        <v>1170005842101</v>
      </c>
      <c r="D859">
        <v>20126196793</v>
      </c>
      <c r="E859" t="s">
        <v>255</v>
      </c>
      <c r="F859" t="s">
        <v>1</v>
      </c>
      <c r="G859" t="s">
        <v>256</v>
      </c>
      <c r="H859" t="s">
        <v>71</v>
      </c>
      <c r="I859">
        <v>2520</v>
      </c>
      <c r="J859">
        <v>12</v>
      </c>
      <c r="K859" t="s">
        <v>34</v>
      </c>
      <c r="L859">
        <v>18076</v>
      </c>
      <c r="M859" t="s">
        <v>257</v>
      </c>
      <c r="N859">
        <v>1</v>
      </c>
      <c r="O859" t="s">
        <v>119</v>
      </c>
      <c r="P859" t="s">
        <v>1354</v>
      </c>
      <c r="Q859">
        <v>403623</v>
      </c>
      <c r="R859">
        <v>16335000</v>
      </c>
      <c r="S859">
        <v>22</v>
      </c>
      <c r="T859">
        <v>742500</v>
      </c>
      <c r="U859">
        <v>1</v>
      </c>
      <c r="V859">
        <v>1</v>
      </c>
      <c r="W859" t="s">
        <v>127</v>
      </c>
      <c r="X859">
        <v>29700</v>
      </c>
      <c r="Y859">
        <v>403623</v>
      </c>
      <c r="Z859">
        <v>16335000</v>
      </c>
      <c r="AA859">
        <v>742500</v>
      </c>
      <c r="AB859">
        <v>105</v>
      </c>
      <c r="AC859" s="34">
        <v>46006</v>
      </c>
      <c r="AD859" s="34">
        <v>46188</v>
      </c>
      <c r="AF859">
        <v>0</v>
      </c>
      <c r="AG859">
        <v>403623</v>
      </c>
      <c r="AH859">
        <v>0</v>
      </c>
      <c r="AI859">
        <v>403623</v>
      </c>
      <c r="AJ859">
        <v>0</v>
      </c>
      <c r="AK859">
        <v>0</v>
      </c>
      <c r="AL859">
        <v>103327.5</v>
      </c>
      <c r="AM859">
        <v>0</v>
      </c>
      <c r="AN859">
        <v>506950.5</v>
      </c>
      <c r="AO859" t="s">
        <v>122</v>
      </c>
      <c r="AP859">
        <v>10</v>
      </c>
      <c r="AQ859">
        <v>40362.300000000003</v>
      </c>
      <c r="AR859">
        <v>40362.300000000003</v>
      </c>
      <c r="AT859">
        <v>9801000</v>
      </c>
      <c r="AU859">
        <v>242173.8</v>
      </c>
      <c r="AV859">
        <v>9801000</v>
      </c>
      <c r="AW859">
        <v>242173.8</v>
      </c>
    </row>
    <row r="860" spans="1:49" hidden="1" x14ac:dyDescent="0.35">
      <c r="A860">
        <v>5842210</v>
      </c>
      <c r="B860">
        <v>1250005842201</v>
      </c>
      <c r="D860">
        <v>20228432262</v>
      </c>
      <c r="E860" t="s">
        <v>1355</v>
      </c>
      <c r="F860" t="s">
        <v>1</v>
      </c>
      <c r="G860" t="s">
        <v>49</v>
      </c>
      <c r="H860" t="s">
        <v>49</v>
      </c>
      <c r="I860">
        <v>5800</v>
      </c>
      <c r="J860">
        <v>3</v>
      </c>
      <c r="K860" t="s">
        <v>32</v>
      </c>
      <c r="L860">
        <v>8274</v>
      </c>
      <c r="M860" t="s">
        <v>416</v>
      </c>
      <c r="N860">
        <v>1</v>
      </c>
      <c r="O860" t="s">
        <v>119</v>
      </c>
      <c r="P860" t="s">
        <v>1356</v>
      </c>
      <c r="Q860">
        <v>2715174</v>
      </c>
      <c r="R860">
        <v>41580000</v>
      </c>
      <c r="S860">
        <v>70</v>
      </c>
      <c r="T860">
        <v>594000</v>
      </c>
      <c r="U860">
        <v>1</v>
      </c>
      <c r="V860">
        <v>1</v>
      </c>
      <c r="W860" t="s">
        <v>127</v>
      </c>
      <c r="X860">
        <v>29700</v>
      </c>
      <c r="Y860">
        <v>2715174</v>
      </c>
      <c r="Z860">
        <v>41580000</v>
      </c>
      <c r="AA860">
        <v>594000</v>
      </c>
      <c r="AB860">
        <v>105</v>
      </c>
      <c r="AC860" s="34">
        <v>45991</v>
      </c>
      <c r="AD860" s="34">
        <v>46173</v>
      </c>
      <c r="AF860">
        <v>0</v>
      </c>
      <c r="AG860">
        <v>9774626.4000000004</v>
      </c>
      <c r="AH860">
        <v>0</v>
      </c>
      <c r="AI860">
        <v>9774626.4000000004</v>
      </c>
      <c r="AJ860">
        <v>0</v>
      </c>
      <c r="AK860">
        <v>0</v>
      </c>
      <c r="AL860">
        <v>2551177.48</v>
      </c>
      <c r="AM860">
        <v>0</v>
      </c>
      <c r="AN860">
        <v>12325803.880000001</v>
      </c>
      <c r="AO860" t="s">
        <v>122</v>
      </c>
      <c r="AP860">
        <v>15</v>
      </c>
      <c r="AQ860">
        <v>1466193.96</v>
      </c>
      <c r="AR860">
        <v>1466193.96</v>
      </c>
      <c r="AT860">
        <v>24948000</v>
      </c>
      <c r="AU860">
        <v>1629104.4</v>
      </c>
      <c r="AV860">
        <v>24948000</v>
      </c>
      <c r="AW860">
        <v>1629104.4</v>
      </c>
    </row>
    <row r="861" spans="1:49" hidden="1" x14ac:dyDescent="0.35">
      <c r="A861">
        <v>5842210</v>
      </c>
      <c r="B861">
        <v>1250005842201</v>
      </c>
      <c r="D861">
        <v>20228432262</v>
      </c>
      <c r="E861" t="s">
        <v>1355</v>
      </c>
      <c r="F861" t="s">
        <v>1</v>
      </c>
      <c r="G861" t="s">
        <v>49</v>
      </c>
      <c r="H861" t="s">
        <v>49</v>
      </c>
      <c r="I861">
        <v>5800</v>
      </c>
      <c r="J861">
        <v>3</v>
      </c>
      <c r="K861" t="s">
        <v>32</v>
      </c>
      <c r="L861">
        <v>8274</v>
      </c>
      <c r="M861" t="s">
        <v>416</v>
      </c>
      <c r="N861">
        <v>2</v>
      </c>
      <c r="O861" t="s">
        <v>119</v>
      </c>
      <c r="P861" t="s">
        <v>1357</v>
      </c>
      <c r="Q861">
        <v>465458.4</v>
      </c>
      <c r="R861">
        <v>7128000</v>
      </c>
      <c r="S861">
        <v>12</v>
      </c>
      <c r="T861">
        <v>594000</v>
      </c>
      <c r="U861">
        <v>1</v>
      </c>
      <c r="V861">
        <v>1</v>
      </c>
      <c r="W861" t="s">
        <v>127</v>
      </c>
      <c r="X861">
        <v>29700</v>
      </c>
      <c r="Y861">
        <v>465458.4</v>
      </c>
      <c r="Z861">
        <v>7128000</v>
      </c>
      <c r="AA861">
        <v>594000</v>
      </c>
      <c r="AB861">
        <v>105</v>
      </c>
      <c r="AC861" s="34">
        <v>45991</v>
      </c>
      <c r="AD861" s="34">
        <v>46173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 t="s">
        <v>122</v>
      </c>
      <c r="AT861">
        <v>4276800</v>
      </c>
      <c r="AU861">
        <v>279275.03999999998</v>
      </c>
      <c r="AV861">
        <v>4276800</v>
      </c>
      <c r="AW861">
        <v>279275.03999999998</v>
      </c>
    </row>
    <row r="862" spans="1:49" hidden="1" x14ac:dyDescent="0.35">
      <c r="A862">
        <v>5842210</v>
      </c>
      <c r="B862">
        <v>1250005842201</v>
      </c>
      <c r="D862">
        <v>20228432262</v>
      </c>
      <c r="E862" t="s">
        <v>1355</v>
      </c>
      <c r="F862" t="s">
        <v>1</v>
      </c>
      <c r="G862" t="s">
        <v>49</v>
      </c>
      <c r="H862" t="s">
        <v>49</v>
      </c>
      <c r="I862">
        <v>5800</v>
      </c>
      <c r="J862">
        <v>3</v>
      </c>
      <c r="K862" t="s">
        <v>32</v>
      </c>
      <c r="L862">
        <v>8274</v>
      </c>
      <c r="M862" t="s">
        <v>416</v>
      </c>
      <c r="N862">
        <v>3</v>
      </c>
      <c r="O862" t="s">
        <v>119</v>
      </c>
      <c r="P862" t="s">
        <v>1358</v>
      </c>
      <c r="Q862">
        <v>3490938</v>
      </c>
      <c r="R862">
        <v>53460000</v>
      </c>
      <c r="S862">
        <v>90</v>
      </c>
      <c r="T862">
        <v>594000</v>
      </c>
      <c r="U862">
        <v>1</v>
      </c>
      <c r="V862">
        <v>1</v>
      </c>
      <c r="W862" t="s">
        <v>127</v>
      </c>
      <c r="X862">
        <v>29700</v>
      </c>
      <c r="Y862">
        <v>3490938</v>
      </c>
      <c r="Z862">
        <v>53460000</v>
      </c>
      <c r="AA862">
        <v>594000</v>
      </c>
      <c r="AB862">
        <v>105</v>
      </c>
      <c r="AC862" s="34">
        <v>45991</v>
      </c>
      <c r="AD862" s="34">
        <v>46173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 t="s">
        <v>122</v>
      </c>
      <c r="AT862">
        <v>32076000</v>
      </c>
      <c r="AU862">
        <v>2094562.8</v>
      </c>
      <c r="AV862">
        <v>32076000</v>
      </c>
      <c r="AW862">
        <v>2094562.8</v>
      </c>
    </row>
    <row r="863" spans="1:49" hidden="1" x14ac:dyDescent="0.35">
      <c r="A863">
        <v>5842210</v>
      </c>
      <c r="B863">
        <v>1250005842201</v>
      </c>
      <c r="D863">
        <v>20228432262</v>
      </c>
      <c r="E863" t="s">
        <v>1355</v>
      </c>
      <c r="F863" t="s">
        <v>1</v>
      </c>
      <c r="G863" t="s">
        <v>49</v>
      </c>
      <c r="H863" t="s">
        <v>49</v>
      </c>
      <c r="I863">
        <v>5800</v>
      </c>
      <c r="J863">
        <v>3</v>
      </c>
      <c r="K863" t="s">
        <v>32</v>
      </c>
      <c r="L863">
        <v>8274</v>
      </c>
      <c r="M863" t="s">
        <v>416</v>
      </c>
      <c r="N863">
        <v>4</v>
      </c>
      <c r="O863" t="s">
        <v>119</v>
      </c>
      <c r="P863" t="s">
        <v>1359</v>
      </c>
      <c r="Q863">
        <v>1008493.2</v>
      </c>
      <c r="R863">
        <v>15444000</v>
      </c>
      <c r="S863">
        <v>26</v>
      </c>
      <c r="T863">
        <v>594000</v>
      </c>
      <c r="U863">
        <v>1</v>
      </c>
      <c r="V863">
        <v>1</v>
      </c>
      <c r="W863" t="s">
        <v>127</v>
      </c>
      <c r="X863">
        <v>29700</v>
      </c>
      <c r="Y863">
        <v>1008493.2</v>
      </c>
      <c r="Z863">
        <v>15444000</v>
      </c>
      <c r="AA863">
        <v>594000</v>
      </c>
      <c r="AB863">
        <v>105</v>
      </c>
      <c r="AC863" s="34">
        <v>45991</v>
      </c>
      <c r="AD863" s="34">
        <v>46173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 t="s">
        <v>122</v>
      </c>
      <c r="AT863">
        <v>9266400</v>
      </c>
      <c r="AU863">
        <v>605095.92000000004</v>
      </c>
      <c r="AV863">
        <v>9266400</v>
      </c>
      <c r="AW863">
        <v>605095.92000000004</v>
      </c>
    </row>
    <row r="864" spans="1:49" hidden="1" x14ac:dyDescent="0.35">
      <c r="A864">
        <v>5842210</v>
      </c>
      <c r="B864">
        <v>1250005842201</v>
      </c>
      <c r="D864">
        <v>20228432262</v>
      </c>
      <c r="E864" t="s">
        <v>1355</v>
      </c>
      <c r="F864" t="s">
        <v>1</v>
      </c>
      <c r="G864" t="s">
        <v>49</v>
      </c>
      <c r="H864" t="s">
        <v>49</v>
      </c>
      <c r="I864">
        <v>5800</v>
      </c>
      <c r="J864">
        <v>3</v>
      </c>
      <c r="K864" t="s">
        <v>32</v>
      </c>
      <c r="L864">
        <v>8274</v>
      </c>
      <c r="M864" t="s">
        <v>416</v>
      </c>
      <c r="N864">
        <v>5</v>
      </c>
      <c r="O864" t="s">
        <v>119</v>
      </c>
      <c r="P864" t="s">
        <v>1360</v>
      </c>
      <c r="Q864">
        <v>2094562.8</v>
      </c>
      <c r="R864">
        <v>32076000</v>
      </c>
      <c r="S864">
        <v>54</v>
      </c>
      <c r="T864">
        <v>594000</v>
      </c>
      <c r="U864">
        <v>1</v>
      </c>
      <c r="V864">
        <v>1</v>
      </c>
      <c r="W864" t="s">
        <v>127</v>
      </c>
      <c r="X864">
        <v>29700</v>
      </c>
      <c r="Y864">
        <v>2094562.8</v>
      </c>
      <c r="Z864">
        <v>32076000</v>
      </c>
      <c r="AA864">
        <v>594000</v>
      </c>
      <c r="AB864">
        <v>105</v>
      </c>
      <c r="AC864" s="34">
        <v>45991</v>
      </c>
      <c r="AD864" s="34">
        <v>46173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 t="s">
        <v>122</v>
      </c>
      <c r="AT864">
        <v>19245600</v>
      </c>
      <c r="AU864">
        <v>1256737.68</v>
      </c>
      <c r="AV864">
        <v>19245600</v>
      </c>
      <c r="AW864">
        <v>1256737.68</v>
      </c>
    </row>
    <row r="865" spans="1:49" hidden="1" x14ac:dyDescent="0.35">
      <c r="A865">
        <v>5842310</v>
      </c>
      <c r="B865">
        <v>1170005842301</v>
      </c>
      <c r="D865">
        <v>20251803510</v>
      </c>
      <c r="E865" t="s">
        <v>295</v>
      </c>
      <c r="F865" t="s">
        <v>1</v>
      </c>
      <c r="G865" t="s">
        <v>578</v>
      </c>
      <c r="H865" t="s">
        <v>297</v>
      </c>
      <c r="I865">
        <v>2107</v>
      </c>
      <c r="J865">
        <v>12</v>
      </c>
      <c r="K865" t="s">
        <v>34</v>
      </c>
      <c r="L865">
        <v>10987</v>
      </c>
      <c r="M865" t="s">
        <v>298</v>
      </c>
      <c r="N865">
        <v>1</v>
      </c>
      <c r="O865" t="s">
        <v>119</v>
      </c>
      <c r="P865" t="s">
        <v>1361</v>
      </c>
      <c r="Q865">
        <v>518265</v>
      </c>
      <c r="R865">
        <v>17820000</v>
      </c>
      <c r="S865">
        <v>20</v>
      </c>
      <c r="T865">
        <v>891000</v>
      </c>
      <c r="U865">
        <v>1</v>
      </c>
      <c r="V865">
        <v>1</v>
      </c>
      <c r="W865" t="s">
        <v>127</v>
      </c>
      <c r="X865">
        <v>29700</v>
      </c>
      <c r="Y865">
        <v>518265</v>
      </c>
      <c r="Z865">
        <v>17820000</v>
      </c>
      <c r="AA865">
        <v>891000</v>
      </c>
      <c r="AB865">
        <v>105</v>
      </c>
      <c r="AC865" s="34">
        <v>46007</v>
      </c>
      <c r="AD865" s="34">
        <v>46173</v>
      </c>
      <c r="AF865">
        <v>0</v>
      </c>
      <c r="AG865">
        <v>881199</v>
      </c>
      <c r="AH865">
        <v>0</v>
      </c>
      <c r="AI865">
        <v>881199</v>
      </c>
      <c r="AJ865">
        <v>0</v>
      </c>
      <c r="AK865">
        <v>0</v>
      </c>
      <c r="AL865">
        <v>225586.95</v>
      </c>
      <c r="AM865">
        <v>0</v>
      </c>
      <c r="AN865">
        <v>1106785.95</v>
      </c>
      <c r="AO865" t="s">
        <v>122</v>
      </c>
      <c r="AP865">
        <v>15</v>
      </c>
      <c r="AQ865">
        <v>132179.85</v>
      </c>
      <c r="AR865">
        <v>132179.85</v>
      </c>
      <c r="AT865">
        <v>10692000</v>
      </c>
      <c r="AU865">
        <v>310959</v>
      </c>
      <c r="AV865">
        <v>10692000</v>
      </c>
      <c r="AW865">
        <v>310959</v>
      </c>
    </row>
    <row r="866" spans="1:49" hidden="1" x14ac:dyDescent="0.35">
      <c r="A866">
        <v>5842310</v>
      </c>
      <c r="B866">
        <v>1170005842301</v>
      </c>
      <c r="D866">
        <v>20251803510</v>
      </c>
      <c r="E866" t="s">
        <v>295</v>
      </c>
      <c r="F866" t="s">
        <v>1</v>
      </c>
      <c r="G866" t="s">
        <v>578</v>
      </c>
      <c r="H866" t="s">
        <v>297</v>
      </c>
      <c r="I866">
        <v>2107</v>
      </c>
      <c r="J866">
        <v>12</v>
      </c>
      <c r="K866" t="s">
        <v>34</v>
      </c>
      <c r="L866">
        <v>10987</v>
      </c>
      <c r="M866" t="s">
        <v>298</v>
      </c>
      <c r="N866">
        <v>2</v>
      </c>
      <c r="O866" t="s">
        <v>119</v>
      </c>
      <c r="P866" t="s">
        <v>1362</v>
      </c>
      <c r="Q866">
        <v>362934</v>
      </c>
      <c r="R866">
        <v>12474000</v>
      </c>
      <c r="S866">
        <v>14</v>
      </c>
      <c r="T866">
        <v>891000</v>
      </c>
      <c r="U866">
        <v>1</v>
      </c>
      <c r="V866">
        <v>1</v>
      </c>
      <c r="W866" t="s">
        <v>127</v>
      </c>
      <c r="X866">
        <v>29700</v>
      </c>
      <c r="Y866">
        <v>362934</v>
      </c>
      <c r="Z866">
        <v>12474000</v>
      </c>
      <c r="AA866">
        <v>891000</v>
      </c>
      <c r="AB866">
        <v>105</v>
      </c>
      <c r="AC866" s="34">
        <v>46007</v>
      </c>
      <c r="AD866" s="34">
        <v>46173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 t="s">
        <v>122</v>
      </c>
      <c r="AT866">
        <v>7484400</v>
      </c>
      <c r="AU866">
        <v>217760.4</v>
      </c>
      <c r="AV866">
        <v>7484400</v>
      </c>
      <c r="AW866">
        <v>217760.4</v>
      </c>
    </row>
    <row r="867" spans="1:49" hidden="1" x14ac:dyDescent="0.35">
      <c r="A867">
        <v>5842410</v>
      </c>
      <c r="B867">
        <v>1170005842401</v>
      </c>
      <c r="D867">
        <v>30617465341</v>
      </c>
      <c r="E867" t="s">
        <v>577</v>
      </c>
      <c r="F867" t="s">
        <v>1</v>
      </c>
      <c r="G867" t="s">
        <v>578</v>
      </c>
      <c r="H867" t="s">
        <v>297</v>
      </c>
      <c r="I867">
        <v>2107</v>
      </c>
      <c r="J867">
        <v>12</v>
      </c>
      <c r="K867" t="s">
        <v>34</v>
      </c>
      <c r="L867">
        <v>10987</v>
      </c>
      <c r="M867" t="s">
        <v>298</v>
      </c>
      <c r="N867">
        <v>1</v>
      </c>
      <c r="O867" t="s">
        <v>119</v>
      </c>
      <c r="P867" t="s">
        <v>1363</v>
      </c>
      <c r="Q867">
        <v>789723</v>
      </c>
      <c r="R867">
        <v>28512000</v>
      </c>
      <c r="S867">
        <v>32</v>
      </c>
      <c r="T867">
        <v>891000</v>
      </c>
      <c r="U867">
        <v>1</v>
      </c>
      <c r="V867">
        <v>1</v>
      </c>
      <c r="W867" t="s">
        <v>127</v>
      </c>
      <c r="X867">
        <v>29700</v>
      </c>
      <c r="Y867">
        <v>789723</v>
      </c>
      <c r="Z867">
        <v>28512000</v>
      </c>
      <c r="AA867">
        <v>891000</v>
      </c>
      <c r="AB867">
        <v>105</v>
      </c>
      <c r="AC867" s="34">
        <v>46007</v>
      </c>
      <c r="AD867" s="34">
        <v>46173</v>
      </c>
      <c r="AF867">
        <v>0</v>
      </c>
      <c r="AG867">
        <v>789723</v>
      </c>
      <c r="AH867">
        <v>0</v>
      </c>
      <c r="AI867">
        <v>789723</v>
      </c>
      <c r="AJ867">
        <v>0</v>
      </c>
      <c r="AK867">
        <v>0</v>
      </c>
      <c r="AL867">
        <v>202169.1</v>
      </c>
      <c r="AM867">
        <v>0</v>
      </c>
      <c r="AN867">
        <v>991892.1</v>
      </c>
      <c r="AO867" t="s">
        <v>122</v>
      </c>
      <c r="AP867">
        <v>10</v>
      </c>
      <c r="AQ867">
        <v>78972.3</v>
      </c>
      <c r="AR867">
        <v>78972.3</v>
      </c>
      <c r="AT867">
        <v>17107200</v>
      </c>
      <c r="AU867">
        <v>473833.8</v>
      </c>
      <c r="AV867">
        <v>17107200</v>
      </c>
      <c r="AW867">
        <v>473833.8</v>
      </c>
    </row>
    <row r="868" spans="1:49" hidden="1" x14ac:dyDescent="0.35">
      <c r="A868">
        <v>5842510</v>
      </c>
      <c r="B868">
        <v>1250005842501</v>
      </c>
      <c r="D868">
        <v>20148564419</v>
      </c>
      <c r="E868" t="s">
        <v>1364</v>
      </c>
      <c r="F868" t="s">
        <v>1</v>
      </c>
      <c r="G868" t="s">
        <v>174</v>
      </c>
      <c r="H868" t="s">
        <v>51</v>
      </c>
      <c r="I868">
        <v>5929</v>
      </c>
      <c r="J868">
        <v>3</v>
      </c>
      <c r="K868" t="s">
        <v>32</v>
      </c>
      <c r="L868">
        <v>6435</v>
      </c>
      <c r="M868" t="s">
        <v>175</v>
      </c>
      <c r="N868">
        <v>1</v>
      </c>
      <c r="O868" t="s">
        <v>119</v>
      </c>
      <c r="P868" t="s">
        <v>1365</v>
      </c>
      <c r="Q868">
        <v>962280</v>
      </c>
      <c r="R868">
        <v>17820000</v>
      </c>
      <c r="S868">
        <v>60</v>
      </c>
      <c r="T868">
        <v>297000</v>
      </c>
      <c r="U868">
        <v>1</v>
      </c>
      <c r="V868">
        <v>1</v>
      </c>
      <c r="W868" t="s">
        <v>127</v>
      </c>
      <c r="X868">
        <v>29700</v>
      </c>
      <c r="Y868">
        <v>962280</v>
      </c>
      <c r="Z868">
        <v>17820000</v>
      </c>
      <c r="AA868">
        <v>297000</v>
      </c>
      <c r="AB868">
        <v>105</v>
      </c>
      <c r="AC868" s="34">
        <v>46004</v>
      </c>
      <c r="AD868" s="34">
        <v>46173</v>
      </c>
      <c r="AF868">
        <v>1</v>
      </c>
      <c r="AG868">
        <v>962280</v>
      </c>
      <c r="AH868">
        <v>0</v>
      </c>
      <c r="AI868">
        <v>962280</v>
      </c>
      <c r="AJ868">
        <v>0</v>
      </c>
      <c r="AK868">
        <v>0</v>
      </c>
      <c r="AL868">
        <v>251155.08</v>
      </c>
      <c r="AM868">
        <v>0</v>
      </c>
      <c r="AN868">
        <v>1213435.08</v>
      </c>
      <c r="AO868" t="s">
        <v>122</v>
      </c>
      <c r="AP868">
        <v>15</v>
      </c>
      <c r="AQ868">
        <v>144342</v>
      </c>
      <c r="AR868">
        <v>144342</v>
      </c>
      <c r="AT868">
        <v>10692000</v>
      </c>
      <c r="AU868">
        <v>577368</v>
      </c>
      <c r="AV868">
        <v>10692000</v>
      </c>
      <c r="AW868">
        <v>577368</v>
      </c>
    </row>
    <row r="869" spans="1:49" hidden="1" x14ac:dyDescent="0.35">
      <c r="A869">
        <v>5842610</v>
      </c>
      <c r="B869">
        <v>1250005842601</v>
      </c>
      <c r="D869">
        <v>20243608563</v>
      </c>
      <c r="E869" t="s">
        <v>1366</v>
      </c>
      <c r="F869" t="s">
        <v>1</v>
      </c>
      <c r="G869" t="s">
        <v>174</v>
      </c>
      <c r="H869" t="s">
        <v>51</v>
      </c>
      <c r="I869">
        <v>5929</v>
      </c>
      <c r="J869">
        <v>3</v>
      </c>
      <c r="K869" t="s">
        <v>32</v>
      </c>
      <c r="L869">
        <v>6435</v>
      </c>
      <c r="M869" t="s">
        <v>175</v>
      </c>
      <c r="N869">
        <v>1</v>
      </c>
      <c r="O869" t="s">
        <v>119</v>
      </c>
      <c r="P869" t="s">
        <v>1367</v>
      </c>
      <c r="Q869">
        <v>962280</v>
      </c>
      <c r="R869">
        <v>17820000</v>
      </c>
      <c r="S869">
        <v>60</v>
      </c>
      <c r="T869">
        <v>297000</v>
      </c>
      <c r="U869">
        <v>1</v>
      </c>
      <c r="V869">
        <v>1</v>
      </c>
      <c r="W869" t="s">
        <v>127</v>
      </c>
      <c r="X869">
        <v>29700</v>
      </c>
      <c r="Y869">
        <v>962280</v>
      </c>
      <c r="Z869">
        <v>17820000</v>
      </c>
      <c r="AA869">
        <v>297000</v>
      </c>
      <c r="AB869">
        <v>105</v>
      </c>
      <c r="AC869" s="34">
        <v>46004</v>
      </c>
      <c r="AD869" s="34">
        <v>46173</v>
      </c>
      <c r="AF869">
        <v>1</v>
      </c>
      <c r="AG869">
        <v>962280</v>
      </c>
      <c r="AH869">
        <v>0</v>
      </c>
      <c r="AI869">
        <v>962280</v>
      </c>
      <c r="AJ869">
        <v>0</v>
      </c>
      <c r="AK869">
        <v>0</v>
      </c>
      <c r="AL869">
        <v>251155.08</v>
      </c>
      <c r="AM869">
        <v>0</v>
      </c>
      <c r="AN869">
        <v>1213435.08</v>
      </c>
      <c r="AO869" t="s">
        <v>122</v>
      </c>
      <c r="AP869">
        <v>15</v>
      </c>
      <c r="AQ869">
        <v>144342</v>
      </c>
      <c r="AR869">
        <v>144342</v>
      </c>
      <c r="AT869">
        <v>10692000</v>
      </c>
      <c r="AU869">
        <v>577368</v>
      </c>
      <c r="AV869">
        <v>10692000</v>
      </c>
      <c r="AW869">
        <v>577368</v>
      </c>
    </row>
    <row r="870" spans="1:49" hidden="1" x14ac:dyDescent="0.35">
      <c r="A870">
        <v>5842710</v>
      </c>
      <c r="B870">
        <v>1090005842701</v>
      </c>
      <c r="D870">
        <v>30718576780</v>
      </c>
      <c r="E870" t="s">
        <v>1298</v>
      </c>
      <c r="F870" t="s">
        <v>1</v>
      </c>
      <c r="G870" t="s">
        <v>56</v>
      </c>
      <c r="H870" t="s">
        <v>56</v>
      </c>
      <c r="I870">
        <v>6381</v>
      </c>
      <c r="J870">
        <v>21</v>
      </c>
      <c r="K870" t="s">
        <v>33</v>
      </c>
      <c r="L870">
        <v>6127</v>
      </c>
      <c r="M870" t="s">
        <v>118</v>
      </c>
      <c r="N870">
        <v>1</v>
      </c>
      <c r="O870" t="s">
        <v>119</v>
      </c>
      <c r="P870" t="s">
        <v>1368</v>
      </c>
      <c r="Q870">
        <v>1422.75</v>
      </c>
      <c r="R870">
        <v>52500</v>
      </c>
      <c r="S870">
        <v>105</v>
      </c>
      <c r="T870">
        <v>500</v>
      </c>
      <c r="U870">
        <v>26</v>
      </c>
      <c r="V870">
        <v>1451</v>
      </c>
      <c r="W870" t="s">
        <v>121</v>
      </c>
      <c r="X870" t="s">
        <v>1</v>
      </c>
      <c r="Y870">
        <v>2064410.25</v>
      </c>
      <c r="Z870">
        <v>76177500</v>
      </c>
      <c r="AA870">
        <v>725500</v>
      </c>
      <c r="AB870">
        <v>106</v>
      </c>
      <c r="AC870" s="34">
        <v>46005</v>
      </c>
      <c r="AD870" s="34">
        <v>46188</v>
      </c>
      <c r="AF870">
        <v>0</v>
      </c>
      <c r="AG870">
        <v>1422.75</v>
      </c>
      <c r="AH870">
        <v>0</v>
      </c>
      <c r="AI870">
        <v>2064410.25</v>
      </c>
      <c r="AJ870">
        <v>0</v>
      </c>
      <c r="AK870">
        <v>0</v>
      </c>
      <c r="AL870">
        <v>518166.61</v>
      </c>
      <c r="AM870">
        <v>0</v>
      </c>
      <c r="AN870">
        <v>2582576.86</v>
      </c>
      <c r="AO870" t="s">
        <v>122</v>
      </c>
      <c r="AP870">
        <v>12</v>
      </c>
      <c r="AQ870">
        <v>170.73</v>
      </c>
      <c r="AR870">
        <v>247729.23</v>
      </c>
      <c r="AT870">
        <v>31500</v>
      </c>
      <c r="AU870">
        <v>853.65</v>
      </c>
      <c r="AV870">
        <v>45706500</v>
      </c>
      <c r="AW870">
        <v>1238646.1499999999</v>
      </c>
    </row>
    <row r="871" spans="1:49" hidden="1" x14ac:dyDescent="0.35">
      <c r="A871">
        <v>5842810</v>
      </c>
      <c r="B871">
        <v>1090005842801</v>
      </c>
      <c r="D871">
        <v>30718576780</v>
      </c>
      <c r="E871" t="s">
        <v>1298</v>
      </c>
      <c r="F871" t="s">
        <v>1</v>
      </c>
      <c r="G871" t="s">
        <v>56</v>
      </c>
      <c r="H871" t="s">
        <v>56</v>
      </c>
      <c r="I871">
        <v>6381</v>
      </c>
      <c r="J871">
        <v>21</v>
      </c>
      <c r="K871" t="s">
        <v>33</v>
      </c>
      <c r="L871">
        <v>6127</v>
      </c>
      <c r="M871" t="s">
        <v>118</v>
      </c>
      <c r="N871">
        <v>1</v>
      </c>
      <c r="O871" t="s">
        <v>119</v>
      </c>
      <c r="P871" t="s">
        <v>1369</v>
      </c>
      <c r="Q871">
        <v>2280</v>
      </c>
      <c r="R871">
        <v>75000</v>
      </c>
      <c r="S871">
        <v>150</v>
      </c>
      <c r="T871">
        <v>500</v>
      </c>
      <c r="U871">
        <v>26</v>
      </c>
      <c r="V871">
        <v>1451</v>
      </c>
      <c r="W871" t="s">
        <v>121</v>
      </c>
      <c r="X871" t="s">
        <v>1</v>
      </c>
      <c r="Y871">
        <v>3308280</v>
      </c>
      <c r="Z871">
        <v>108825000</v>
      </c>
      <c r="AA871">
        <v>725500</v>
      </c>
      <c r="AB871">
        <v>106</v>
      </c>
      <c r="AC871" s="34">
        <v>46005</v>
      </c>
      <c r="AD871" s="34">
        <v>46173</v>
      </c>
      <c r="AF871">
        <v>0</v>
      </c>
      <c r="AG871">
        <v>2280</v>
      </c>
      <c r="AH871">
        <v>0</v>
      </c>
      <c r="AI871">
        <v>3308280</v>
      </c>
      <c r="AJ871">
        <v>0</v>
      </c>
      <c r="AK871">
        <v>0</v>
      </c>
      <c r="AL871">
        <v>830378.28</v>
      </c>
      <c r="AM871">
        <v>0</v>
      </c>
      <c r="AN871">
        <v>4138658.28</v>
      </c>
      <c r="AO871" t="s">
        <v>122</v>
      </c>
      <c r="AP871">
        <v>12</v>
      </c>
      <c r="AQ871">
        <v>273.60000000000002</v>
      </c>
      <c r="AR871">
        <v>396993.6</v>
      </c>
      <c r="AT871">
        <v>45000</v>
      </c>
      <c r="AU871">
        <v>1368</v>
      </c>
      <c r="AV871">
        <v>65295000</v>
      </c>
      <c r="AW871">
        <v>1984968</v>
      </c>
    </row>
    <row r="872" spans="1:49" hidden="1" x14ac:dyDescent="0.35">
      <c r="A872">
        <v>5842910</v>
      </c>
      <c r="B872">
        <v>1090005842901</v>
      </c>
      <c r="D872">
        <v>30685141694</v>
      </c>
      <c r="E872" t="s">
        <v>946</v>
      </c>
      <c r="F872" t="s">
        <v>1</v>
      </c>
      <c r="G872" t="s">
        <v>1086</v>
      </c>
      <c r="H872" t="s">
        <v>55</v>
      </c>
      <c r="I872">
        <v>6365</v>
      </c>
      <c r="J872">
        <v>21</v>
      </c>
      <c r="K872" t="s">
        <v>33</v>
      </c>
      <c r="L872">
        <v>6127</v>
      </c>
      <c r="M872" t="s">
        <v>118</v>
      </c>
      <c r="N872">
        <v>1</v>
      </c>
      <c r="O872" t="s">
        <v>119</v>
      </c>
      <c r="P872" t="s">
        <v>1370</v>
      </c>
      <c r="Q872">
        <v>3315.6</v>
      </c>
      <c r="R872">
        <v>108000</v>
      </c>
      <c r="S872">
        <v>135</v>
      </c>
      <c r="T872">
        <v>800</v>
      </c>
      <c r="U872">
        <v>26</v>
      </c>
      <c r="V872">
        <v>1451</v>
      </c>
      <c r="W872" t="s">
        <v>121</v>
      </c>
      <c r="X872" t="s">
        <v>1</v>
      </c>
      <c r="Y872">
        <v>4810935.5999999996</v>
      </c>
      <c r="Z872">
        <v>156708000</v>
      </c>
      <c r="AA872">
        <v>1160800</v>
      </c>
      <c r="AB872">
        <v>106</v>
      </c>
      <c r="AC872" s="34">
        <v>46005</v>
      </c>
      <c r="AD872" s="34">
        <v>46188</v>
      </c>
      <c r="AF872">
        <v>0</v>
      </c>
      <c r="AG872">
        <v>8374.9599999999991</v>
      </c>
      <c r="AH872">
        <v>0</v>
      </c>
      <c r="AI872">
        <v>12152066.960000001</v>
      </c>
      <c r="AJ872">
        <v>0</v>
      </c>
      <c r="AK872">
        <v>0</v>
      </c>
      <c r="AL872">
        <v>2685597.86</v>
      </c>
      <c r="AM872">
        <v>0</v>
      </c>
      <c r="AN872">
        <v>14837664.82</v>
      </c>
      <c r="AO872" t="s">
        <v>122</v>
      </c>
      <c r="AP872">
        <v>12</v>
      </c>
      <c r="AQ872">
        <v>1005</v>
      </c>
      <c r="AR872">
        <v>1458255</v>
      </c>
      <c r="AT872">
        <v>64800</v>
      </c>
      <c r="AU872">
        <v>1989.36</v>
      </c>
      <c r="AV872">
        <v>94024800</v>
      </c>
      <c r="AW872">
        <v>2886561.36</v>
      </c>
    </row>
    <row r="873" spans="1:49" hidden="1" x14ac:dyDescent="0.35">
      <c r="A873">
        <v>5842910</v>
      </c>
      <c r="B873">
        <v>1090005842901</v>
      </c>
      <c r="D873">
        <v>30685141694</v>
      </c>
      <c r="E873" t="s">
        <v>946</v>
      </c>
      <c r="F873" t="s">
        <v>1</v>
      </c>
      <c r="G873" t="s">
        <v>1086</v>
      </c>
      <c r="H873" t="s">
        <v>55</v>
      </c>
      <c r="I873">
        <v>6365</v>
      </c>
      <c r="J873">
        <v>21</v>
      </c>
      <c r="K873" t="s">
        <v>33</v>
      </c>
      <c r="L873">
        <v>6127</v>
      </c>
      <c r="M873" t="s">
        <v>118</v>
      </c>
      <c r="N873">
        <v>2</v>
      </c>
      <c r="O873" t="s">
        <v>119</v>
      </c>
      <c r="P873" t="s">
        <v>1371</v>
      </c>
      <c r="Q873">
        <v>5059.3599999999997</v>
      </c>
      <c r="R873">
        <v>164800</v>
      </c>
      <c r="S873">
        <v>206</v>
      </c>
      <c r="T873">
        <v>800</v>
      </c>
      <c r="U873">
        <v>26</v>
      </c>
      <c r="V873">
        <v>1451</v>
      </c>
      <c r="W873" t="s">
        <v>121</v>
      </c>
      <c r="X873" t="s">
        <v>1</v>
      </c>
      <c r="Y873">
        <v>7341131.3600000003</v>
      </c>
      <c r="Z873">
        <v>239124800</v>
      </c>
      <c r="AA873">
        <v>1160800</v>
      </c>
      <c r="AB873">
        <v>106</v>
      </c>
      <c r="AC873" s="34">
        <v>46005</v>
      </c>
      <c r="AD873" s="34">
        <v>46188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 t="s">
        <v>122</v>
      </c>
      <c r="AT873">
        <v>98880</v>
      </c>
      <c r="AU873">
        <v>3035.62</v>
      </c>
      <c r="AV873">
        <v>143474880</v>
      </c>
      <c r="AW873">
        <v>4404684.62</v>
      </c>
    </row>
    <row r="874" spans="1:49" hidden="1" x14ac:dyDescent="0.35">
      <c r="A874">
        <v>5843010</v>
      </c>
      <c r="B874">
        <v>1250005843001</v>
      </c>
      <c r="D874">
        <v>20148564419</v>
      </c>
      <c r="E874" t="s">
        <v>1364</v>
      </c>
      <c r="F874" t="s">
        <v>1</v>
      </c>
      <c r="G874" t="s">
        <v>174</v>
      </c>
      <c r="H874" t="s">
        <v>51</v>
      </c>
      <c r="I874">
        <v>5929</v>
      </c>
      <c r="J874">
        <v>3</v>
      </c>
      <c r="K874" t="s">
        <v>32</v>
      </c>
      <c r="L874">
        <v>6435</v>
      </c>
      <c r="M874" t="s">
        <v>175</v>
      </c>
      <c r="N874">
        <v>1</v>
      </c>
      <c r="O874" t="s">
        <v>119</v>
      </c>
      <c r="P874" t="s">
        <v>1372</v>
      </c>
      <c r="Q874">
        <v>332940</v>
      </c>
      <c r="R874">
        <v>8950000</v>
      </c>
      <c r="S874">
        <v>20</v>
      </c>
      <c r="T874">
        <v>447500</v>
      </c>
      <c r="U874">
        <v>1</v>
      </c>
      <c r="V874">
        <v>1</v>
      </c>
      <c r="W874" t="s">
        <v>127</v>
      </c>
      <c r="X874">
        <v>17900</v>
      </c>
      <c r="Y874">
        <v>332940</v>
      </c>
      <c r="Z874">
        <v>8950000</v>
      </c>
      <c r="AA874">
        <v>447500</v>
      </c>
      <c r="AB874">
        <v>105</v>
      </c>
      <c r="AC874" s="34">
        <v>46004</v>
      </c>
      <c r="AD874" s="34">
        <v>46142</v>
      </c>
      <c r="AF874">
        <v>1</v>
      </c>
      <c r="AG874">
        <v>332940</v>
      </c>
      <c r="AH874">
        <v>0</v>
      </c>
      <c r="AI874">
        <v>332940</v>
      </c>
      <c r="AJ874">
        <v>0</v>
      </c>
      <c r="AK874">
        <v>0</v>
      </c>
      <c r="AL874">
        <v>86897.34</v>
      </c>
      <c r="AM874">
        <v>0</v>
      </c>
      <c r="AN874">
        <v>419837.34</v>
      </c>
      <c r="AO874" t="s">
        <v>122</v>
      </c>
      <c r="AP874">
        <v>15</v>
      </c>
      <c r="AQ874">
        <v>49941</v>
      </c>
      <c r="AR874">
        <v>49941</v>
      </c>
      <c r="AT874">
        <v>5370000</v>
      </c>
      <c r="AU874">
        <v>199764</v>
      </c>
      <c r="AV874">
        <v>5370000</v>
      </c>
      <c r="AW874">
        <v>199764</v>
      </c>
    </row>
    <row r="875" spans="1:49" hidden="1" x14ac:dyDescent="0.35">
      <c r="A875">
        <v>5843110</v>
      </c>
      <c r="B875">
        <v>5010005843101</v>
      </c>
      <c r="D875">
        <v>20290953228</v>
      </c>
      <c r="E875" t="s">
        <v>123</v>
      </c>
      <c r="F875" t="s">
        <v>1</v>
      </c>
      <c r="G875" t="s">
        <v>43</v>
      </c>
      <c r="H875" t="s">
        <v>43</v>
      </c>
      <c r="I875">
        <v>2705</v>
      </c>
      <c r="J875">
        <v>1</v>
      </c>
      <c r="K875" t="s">
        <v>16</v>
      </c>
      <c r="L875">
        <v>3620</v>
      </c>
      <c r="M875" t="s">
        <v>124</v>
      </c>
      <c r="N875">
        <v>1</v>
      </c>
      <c r="O875" t="s">
        <v>119</v>
      </c>
      <c r="P875" t="s">
        <v>1373</v>
      </c>
      <c r="Q875">
        <v>493911</v>
      </c>
      <c r="R875">
        <v>19602000</v>
      </c>
      <c r="S875">
        <v>22</v>
      </c>
      <c r="T875">
        <v>891000</v>
      </c>
      <c r="U875">
        <v>1</v>
      </c>
      <c r="V875">
        <v>1</v>
      </c>
      <c r="W875" t="s">
        <v>127</v>
      </c>
      <c r="X875">
        <v>29700</v>
      </c>
      <c r="Y875">
        <v>493911</v>
      </c>
      <c r="Z875">
        <v>19602000</v>
      </c>
      <c r="AA875">
        <v>891000</v>
      </c>
      <c r="AB875">
        <v>105</v>
      </c>
      <c r="AC875" s="34">
        <v>46012</v>
      </c>
      <c r="AD875" s="34">
        <v>46173</v>
      </c>
      <c r="AF875">
        <v>0</v>
      </c>
      <c r="AG875">
        <v>2357586</v>
      </c>
      <c r="AH875">
        <v>0</v>
      </c>
      <c r="AI875">
        <v>2357586</v>
      </c>
      <c r="AJ875">
        <v>0</v>
      </c>
      <c r="AK875">
        <v>0</v>
      </c>
      <c r="AL875">
        <v>591754.09</v>
      </c>
      <c r="AM875">
        <v>0</v>
      </c>
      <c r="AN875">
        <v>2949340.09</v>
      </c>
      <c r="AO875" t="s">
        <v>122</v>
      </c>
      <c r="AP875">
        <v>10</v>
      </c>
      <c r="AQ875">
        <v>235758.6</v>
      </c>
      <c r="AR875">
        <v>235758.6</v>
      </c>
      <c r="AT875">
        <v>11761200</v>
      </c>
      <c r="AU875">
        <v>296346.59999999998</v>
      </c>
      <c r="AV875">
        <v>11761200</v>
      </c>
      <c r="AW875">
        <v>296346.59999999998</v>
      </c>
    </row>
    <row r="876" spans="1:49" hidden="1" x14ac:dyDescent="0.35">
      <c r="A876">
        <v>5843110</v>
      </c>
      <c r="B876">
        <v>5010005843101</v>
      </c>
      <c r="D876">
        <v>20290953228</v>
      </c>
      <c r="E876" t="s">
        <v>123</v>
      </c>
      <c r="F876" t="s">
        <v>1</v>
      </c>
      <c r="G876" t="s">
        <v>43</v>
      </c>
      <c r="H876" t="s">
        <v>43</v>
      </c>
      <c r="I876">
        <v>2705</v>
      </c>
      <c r="J876">
        <v>1</v>
      </c>
      <c r="K876" t="s">
        <v>16</v>
      </c>
      <c r="L876">
        <v>3620</v>
      </c>
      <c r="M876" t="s">
        <v>124</v>
      </c>
      <c r="N876">
        <v>2</v>
      </c>
      <c r="O876" t="s">
        <v>119</v>
      </c>
      <c r="P876" t="s">
        <v>1374</v>
      </c>
      <c r="Q876">
        <v>1122660</v>
      </c>
      <c r="R876">
        <v>44550000</v>
      </c>
      <c r="S876">
        <v>50</v>
      </c>
      <c r="T876">
        <v>891000</v>
      </c>
      <c r="U876">
        <v>1</v>
      </c>
      <c r="V876">
        <v>1</v>
      </c>
      <c r="W876" t="s">
        <v>127</v>
      </c>
      <c r="X876">
        <v>29700</v>
      </c>
      <c r="Y876">
        <v>1122660</v>
      </c>
      <c r="Z876">
        <v>44550000</v>
      </c>
      <c r="AA876">
        <v>891000</v>
      </c>
      <c r="AB876">
        <v>105</v>
      </c>
      <c r="AC876" s="34">
        <v>46012</v>
      </c>
      <c r="AD876" s="34">
        <v>46173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 t="s">
        <v>122</v>
      </c>
      <c r="AT876">
        <v>26730000</v>
      </c>
      <c r="AU876">
        <v>673596</v>
      </c>
      <c r="AV876">
        <v>26730000</v>
      </c>
      <c r="AW876">
        <v>673596</v>
      </c>
    </row>
    <row r="877" spans="1:49" hidden="1" x14ac:dyDescent="0.35">
      <c r="A877">
        <v>5843110</v>
      </c>
      <c r="B877">
        <v>5010005843101</v>
      </c>
      <c r="D877">
        <v>20290953228</v>
      </c>
      <c r="E877" t="s">
        <v>123</v>
      </c>
      <c r="F877" t="s">
        <v>1</v>
      </c>
      <c r="G877" t="s">
        <v>43</v>
      </c>
      <c r="H877" t="s">
        <v>43</v>
      </c>
      <c r="I877">
        <v>2705</v>
      </c>
      <c r="J877">
        <v>1</v>
      </c>
      <c r="K877" t="s">
        <v>16</v>
      </c>
      <c r="L877">
        <v>3620</v>
      </c>
      <c r="M877" t="s">
        <v>124</v>
      </c>
      <c r="N877">
        <v>3</v>
      </c>
      <c r="O877" t="s">
        <v>119</v>
      </c>
      <c r="P877" t="s">
        <v>1375</v>
      </c>
      <c r="Q877">
        <v>741015</v>
      </c>
      <c r="R877">
        <v>29403000</v>
      </c>
      <c r="S877">
        <v>33</v>
      </c>
      <c r="T877">
        <v>891000</v>
      </c>
      <c r="U877">
        <v>1</v>
      </c>
      <c r="V877">
        <v>1</v>
      </c>
      <c r="W877" t="s">
        <v>127</v>
      </c>
      <c r="X877">
        <v>29700</v>
      </c>
      <c r="Y877">
        <v>741015</v>
      </c>
      <c r="Z877">
        <v>29403000</v>
      </c>
      <c r="AA877">
        <v>891000</v>
      </c>
      <c r="AB877">
        <v>105</v>
      </c>
      <c r="AC877" s="34">
        <v>46012</v>
      </c>
      <c r="AD877" s="34">
        <v>46173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 t="s">
        <v>122</v>
      </c>
      <c r="AT877">
        <v>17641800</v>
      </c>
      <c r="AU877">
        <v>444609</v>
      </c>
      <c r="AV877">
        <v>17641800</v>
      </c>
      <c r="AW877">
        <v>444609</v>
      </c>
    </row>
    <row r="878" spans="1:49" hidden="1" x14ac:dyDescent="0.35">
      <c r="A878">
        <v>5843210</v>
      </c>
      <c r="B878">
        <v>5010005843201</v>
      </c>
      <c r="D878">
        <v>30715192345</v>
      </c>
      <c r="E878" t="s">
        <v>128</v>
      </c>
      <c r="F878" t="s">
        <v>1</v>
      </c>
      <c r="G878" t="s">
        <v>43</v>
      </c>
      <c r="H878" t="s">
        <v>43</v>
      </c>
      <c r="I878">
        <v>2705</v>
      </c>
      <c r="J878">
        <v>1</v>
      </c>
      <c r="K878" t="s">
        <v>16</v>
      </c>
      <c r="L878">
        <v>3620</v>
      </c>
      <c r="M878" t="s">
        <v>124</v>
      </c>
      <c r="N878">
        <v>1</v>
      </c>
      <c r="O878" t="s">
        <v>119</v>
      </c>
      <c r="P878" t="s">
        <v>1376</v>
      </c>
      <c r="Q878">
        <v>1122660</v>
      </c>
      <c r="R878">
        <v>44550000</v>
      </c>
      <c r="S878">
        <v>50</v>
      </c>
      <c r="T878">
        <v>891000</v>
      </c>
      <c r="U878">
        <v>1</v>
      </c>
      <c r="V878">
        <v>1</v>
      </c>
      <c r="W878" t="s">
        <v>127</v>
      </c>
      <c r="X878">
        <v>29700</v>
      </c>
      <c r="Y878">
        <v>1122660</v>
      </c>
      <c r="Z878">
        <v>44550000</v>
      </c>
      <c r="AA878">
        <v>891000</v>
      </c>
      <c r="AB878">
        <v>105</v>
      </c>
      <c r="AC878" s="34">
        <v>46012</v>
      </c>
      <c r="AD878" s="34">
        <v>46173</v>
      </c>
      <c r="AF878">
        <v>0</v>
      </c>
      <c r="AG878">
        <v>3547665</v>
      </c>
      <c r="AH878">
        <v>0</v>
      </c>
      <c r="AI878">
        <v>3547665</v>
      </c>
      <c r="AJ878">
        <v>0</v>
      </c>
      <c r="AK878">
        <v>0</v>
      </c>
      <c r="AL878">
        <v>890463.92</v>
      </c>
      <c r="AM878">
        <v>0</v>
      </c>
      <c r="AN878">
        <v>4438128.92</v>
      </c>
      <c r="AO878" t="s">
        <v>122</v>
      </c>
      <c r="AP878">
        <v>10</v>
      </c>
      <c r="AQ878">
        <v>354766.5</v>
      </c>
      <c r="AR878">
        <v>354766.5</v>
      </c>
      <c r="AT878">
        <v>26730000</v>
      </c>
      <c r="AU878">
        <v>673596</v>
      </c>
      <c r="AV878">
        <v>26730000</v>
      </c>
      <c r="AW878">
        <v>673596</v>
      </c>
    </row>
    <row r="879" spans="1:49" hidden="1" x14ac:dyDescent="0.35">
      <c r="A879">
        <v>5843210</v>
      </c>
      <c r="B879">
        <v>5010005843201</v>
      </c>
      <c r="D879">
        <v>30715192345</v>
      </c>
      <c r="E879" t="s">
        <v>128</v>
      </c>
      <c r="F879" t="s">
        <v>1</v>
      </c>
      <c r="G879" t="s">
        <v>43</v>
      </c>
      <c r="H879" t="s">
        <v>43</v>
      </c>
      <c r="I879">
        <v>2705</v>
      </c>
      <c r="J879">
        <v>1</v>
      </c>
      <c r="K879" t="s">
        <v>16</v>
      </c>
      <c r="L879">
        <v>3620</v>
      </c>
      <c r="M879" t="s">
        <v>124</v>
      </c>
      <c r="N879">
        <v>2</v>
      </c>
      <c r="O879" t="s">
        <v>119</v>
      </c>
      <c r="P879" t="s">
        <v>1377</v>
      </c>
      <c r="Q879">
        <v>1931094</v>
      </c>
      <c r="R879">
        <v>76626000</v>
      </c>
      <c r="S879">
        <v>86</v>
      </c>
      <c r="T879">
        <v>891000</v>
      </c>
      <c r="U879">
        <v>1</v>
      </c>
      <c r="V879">
        <v>1</v>
      </c>
      <c r="W879" t="s">
        <v>127</v>
      </c>
      <c r="X879">
        <v>29700</v>
      </c>
      <c r="Y879">
        <v>1931094</v>
      </c>
      <c r="Z879">
        <v>76626000</v>
      </c>
      <c r="AA879">
        <v>891000</v>
      </c>
      <c r="AB879">
        <v>105</v>
      </c>
      <c r="AC879" s="34">
        <v>46012</v>
      </c>
      <c r="AD879" s="34">
        <v>46173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 t="s">
        <v>122</v>
      </c>
      <c r="AT879">
        <v>45975600</v>
      </c>
      <c r="AU879">
        <v>1158656.3999999999</v>
      </c>
      <c r="AV879">
        <v>45975600</v>
      </c>
      <c r="AW879">
        <v>1158656.3999999999</v>
      </c>
    </row>
    <row r="880" spans="1:49" hidden="1" x14ac:dyDescent="0.35">
      <c r="A880">
        <v>5843210</v>
      </c>
      <c r="B880">
        <v>5010005843201</v>
      </c>
      <c r="D880">
        <v>30715192345</v>
      </c>
      <c r="E880" t="s">
        <v>128</v>
      </c>
      <c r="F880" t="s">
        <v>1</v>
      </c>
      <c r="G880" t="s">
        <v>43</v>
      </c>
      <c r="H880" t="s">
        <v>43</v>
      </c>
      <c r="I880">
        <v>2705</v>
      </c>
      <c r="J880">
        <v>1</v>
      </c>
      <c r="K880" t="s">
        <v>16</v>
      </c>
      <c r="L880">
        <v>3620</v>
      </c>
      <c r="M880" t="s">
        <v>124</v>
      </c>
      <c r="N880">
        <v>3</v>
      </c>
      <c r="O880" t="s">
        <v>119</v>
      </c>
      <c r="P880" t="s">
        <v>1378</v>
      </c>
      <c r="Q880">
        <v>493911</v>
      </c>
      <c r="R880">
        <v>19602000</v>
      </c>
      <c r="S880">
        <v>22</v>
      </c>
      <c r="T880">
        <v>891000</v>
      </c>
      <c r="U880">
        <v>1</v>
      </c>
      <c r="V880">
        <v>1</v>
      </c>
      <c r="W880" t="s">
        <v>127</v>
      </c>
      <c r="X880">
        <v>29700</v>
      </c>
      <c r="Y880">
        <v>493911</v>
      </c>
      <c r="Z880">
        <v>19602000</v>
      </c>
      <c r="AA880">
        <v>891000</v>
      </c>
      <c r="AB880">
        <v>105</v>
      </c>
      <c r="AC880" s="34">
        <v>46012</v>
      </c>
      <c r="AD880" s="34">
        <v>46173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 t="s">
        <v>122</v>
      </c>
      <c r="AT880">
        <v>11761200</v>
      </c>
      <c r="AU880">
        <v>296346.59999999998</v>
      </c>
      <c r="AV880">
        <v>11761200</v>
      </c>
      <c r="AW880">
        <v>296346.59999999998</v>
      </c>
    </row>
    <row r="881" spans="1:49" hidden="1" x14ac:dyDescent="0.35">
      <c r="A881">
        <v>5843310</v>
      </c>
      <c r="B881">
        <v>1250005843301</v>
      </c>
      <c r="D881">
        <v>20243608563</v>
      </c>
      <c r="E881" t="s">
        <v>1366</v>
      </c>
      <c r="F881" t="s">
        <v>1</v>
      </c>
      <c r="G881" t="s">
        <v>174</v>
      </c>
      <c r="H881" t="s">
        <v>51</v>
      </c>
      <c r="I881">
        <v>5929</v>
      </c>
      <c r="J881">
        <v>3</v>
      </c>
      <c r="K881" t="s">
        <v>32</v>
      </c>
      <c r="L881">
        <v>6435</v>
      </c>
      <c r="M881" t="s">
        <v>175</v>
      </c>
      <c r="N881">
        <v>1</v>
      </c>
      <c r="O881" t="s">
        <v>119</v>
      </c>
      <c r="P881" t="s">
        <v>1379</v>
      </c>
      <c r="Q881">
        <v>332940</v>
      </c>
      <c r="R881">
        <v>8950000</v>
      </c>
      <c r="S881">
        <v>20</v>
      </c>
      <c r="T881">
        <v>447500</v>
      </c>
      <c r="U881">
        <v>1</v>
      </c>
      <c r="V881">
        <v>1</v>
      </c>
      <c r="W881" t="s">
        <v>127</v>
      </c>
      <c r="X881">
        <v>17900</v>
      </c>
      <c r="Y881">
        <v>332940</v>
      </c>
      <c r="Z881">
        <v>8950000</v>
      </c>
      <c r="AA881">
        <v>447500</v>
      </c>
      <c r="AB881">
        <v>105</v>
      </c>
      <c r="AC881" s="34">
        <v>46004</v>
      </c>
      <c r="AD881" s="34">
        <v>46142</v>
      </c>
      <c r="AF881">
        <v>1</v>
      </c>
      <c r="AG881">
        <v>332940</v>
      </c>
      <c r="AH881">
        <v>0</v>
      </c>
      <c r="AI881">
        <v>332940</v>
      </c>
      <c r="AJ881">
        <v>0</v>
      </c>
      <c r="AK881">
        <v>0</v>
      </c>
      <c r="AL881">
        <v>86897.34</v>
      </c>
      <c r="AM881">
        <v>0</v>
      </c>
      <c r="AN881">
        <v>419837.34</v>
      </c>
      <c r="AO881" t="s">
        <v>122</v>
      </c>
      <c r="AP881">
        <v>15</v>
      </c>
      <c r="AQ881">
        <v>49941</v>
      </c>
      <c r="AR881">
        <v>49941</v>
      </c>
      <c r="AT881">
        <v>5370000</v>
      </c>
      <c r="AU881">
        <v>199764</v>
      </c>
      <c r="AV881">
        <v>5370000</v>
      </c>
      <c r="AW881">
        <v>199764</v>
      </c>
    </row>
    <row r="882" spans="1:49" hidden="1" x14ac:dyDescent="0.35">
      <c r="A882">
        <v>5843410</v>
      </c>
      <c r="B882">
        <v>1250005843401</v>
      </c>
      <c r="D882">
        <v>20065948266</v>
      </c>
      <c r="E882" t="s">
        <v>1126</v>
      </c>
      <c r="F882" t="s">
        <v>1</v>
      </c>
      <c r="G882" t="s">
        <v>1380</v>
      </c>
      <c r="H882" t="s">
        <v>51</v>
      </c>
      <c r="I882">
        <v>5933</v>
      </c>
      <c r="J882">
        <v>3</v>
      </c>
      <c r="K882" t="s">
        <v>32</v>
      </c>
      <c r="L882">
        <v>6435</v>
      </c>
      <c r="M882" t="s">
        <v>175</v>
      </c>
      <c r="N882">
        <v>1</v>
      </c>
      <c r="O882" t="s">
        <v>119</v>
      </c>
      <c r="P882" t="s">
        <v>1381</v>
      </c>
      <c r="Q882">
        <v>2064228</v>
      </c>
      <c r="R882">
        <v>55490000</v>
      </c>
      <c r="S882">
        <v>62</v>
      </c>
      <c r="T882">
        <v>895000</v>
      </c>
      <c r="U882">
        <v>1</v>
      </c>
      <c r="V882">
        <v>1</v>
      </c>
      <c r="W882" t="s">
        <v>127</v>
      </c>
      <c r="X882">
        <v>17900</v>
      </c>
      <c r="Y882">
        <v>2064228</v>
      </c>
      <c r="Z882">
        <v>55490000</v>
      </c>
      <c r="AA882">
        <v>895000</v>
      </c>
      <c r="AB882">
        <v>105</v>
      </c>
      <c r="AC882" s="34">
        <v>46005</v>
      </c>
      <c r="AD882" s="34">
        <v>46142</v>
      </c>
      <c r="AF882">
        <v>0</v>
      </c>
      <c r="AG882">
        <v>2064228</v>
      </c>
      <c r="AH882">
        <v>0</v>
      </c>
      <c r="AI882">
        <v>2064228</v>
      </c>
      <c r="AJ882">
        <v>0</v>
      </c>
      <c r="AK882">
        <v>0</v>
      </c>
      <c r="AL882">
        <v>538763.51</v>
      </c>
      <c r="AM882">
        <v>0</v>
      </c>
      <c r="AN882">
        <v>2602991.5099999998</v>
      </c>
      <c r="AO882" t="s">
        <v>122</v>
      </c>
      <c r="AP882">
        <v>15</v>
      </c>
      <c r="AQ882">
        <v>309634.2</v>
      </c>
      <c r="AR882">
        <v>309634.2</v>
      </c>
      <c r="AT882">
        <v>33294000</v>
      </c>
      <c r="AU882">
        <v>1238536.8</v>
      </c>
      <c r="AV882">
        <v>33294000</v>
      </c>
      <c r="AW882">
        <v>1238536.8</v>
      </c>
    </row>
    <row r="883" spans="1:49" hidden="1" x14ac:dyDescent="0.35">
      <c r="A883">
        <v>5843510</v>
      </c>
      <c r="B883">
        <v>1250005843501</v>
      </c>
      <c r="D883">
        <v>20166543771</v>
      </c>
      <c r="E883" t="s">
        <v>1382</v>
      </c>
      <c r="F883" t="s">
        <v>1</v>
      </c>
      <c r="G883" t="s">
        <v>174</v>
      </c>
      <c r="H883" t="s">
        <v>51</v>
      </c>
      <c r="I883">
        <v>5929</v>
      </c>
      <c r="J883">
        <v>3</v>
      </c>
      <c r="K883" t="s">
        <v>32</v>
      </c>
      <c r="L883">
        <v>6435</v>
      </c>
      <c r="M883" t="s">
        <v>175</v>
      </c>
      <c r="N883">
        <v>1</v>
      </c>
      <c r="O883" t="s">
        <v>119</v>
      </c>
      <c r="P883" t="s">
        <v>1383</v>
      </c>
      <c r="Q883">
        <v>2068902</v>
      </c>
      <c r="R883">
        <v>38313000</v>
      </c>
      <c r="S883">
        <v>258</v>
      </c>
      <c r="T883">
        <v>148500</v>
      </c>
      <c r="U883">
        <v>1</v>
      </c>
      <c r="V883">
        <v>1</v>
      </c>
      <c r="W883" t="s">
        <v>127</v>
      </c>
      <c r="X883">
        <v>29700</v>
      </c>
      <c r="Y883">
        <v>2068902</v>
      </c>
      <c r="Z883">
        <v>38313000</v>
      </c>
      <c r="AA883">
        <v>148500</v>
      </c>
      <c r="AB883">
        <v>105</v>
      </c>
      <c r="AC883" s="34">
        <v>46009</v>
      </c>
      <c r="AD883" s="34">
        <v>46173</v>
      </c>
      <c r="AF883">
        <v>1</v>
      </c>
      <c r="AG883">
        <v>2229282</v>
      </c>
      <c r="AH883">
        <v>0</v>
      </c>
      <c r="AI883">
        <v>2229282</v>
      </c>
      <c r="AJ883">
        <v>0</v>
      </c>
      <c r="AK883">
        <v>0</v>
      </c>
      <c r="AL883">
        <v>581842.6</v>
      </c>
      <c r="AM883">
        <v>0</v>
      </c>
      <c r="AN883">
        <v>2811124.6</v>
      </c>
      <c r="AO883" t="s">
        <v>122</v>
      </c>
      <c r="AP883">
        <v>15</v>
      </c>
      <c r="AQ883">
        <v>334392.3</v>
      </c>
      <c r="AR883">
        <v>334392.3</v>
      </c>
      <c r="AT883">
        <v>22987800</v>
      </c>
      <c r="AU883">
        <v>1241341.2</v>
      </c>
      <c r="AV883">
        <v>22987800</v>
      </c>
      <c r="AW883">
        <v>1241341.2</v>
      </c>
    </row>
    <row r="884" spans="1:49" hidden="1" x14ac:dyDescent="0.35">
      <c r="A884">
        <v>5843510</v>
      </c>
      <c r="B884">
        <v>1250005843501</v>
      </c>
      <c r="D884">
        <v>20166543771</v>
      </c>
      <c r="E884" t="s">
        <v>1382</v>
      </c>
      <c r="F884" t="s">
        <v>1</v>
      </c>
      <c r="G884" t="s">
        <v>174</v>
      </c>
      <c r="H884" t="s">
        <v>51</v>
      </c>
      <c r="I884">
        <v>5929</v>
      </c>
      <c r="J884">
        <v>3</v>
      </c>
      <c r="K884" t="s">
        <v>32</v>
      </c>
      <c r="L884">
        <v>6435</v>
      </c>
      <c r="M884" t="s">
        <v>175</v>
      </c>
      <c r="N884">
        <v>2</v>
      </c>
      <c r="O884" t="s">
        <v>119</v>
      </c>
      <c r="P884" t="s">
        <v>1384</v>
      </c>
      <c r="Q884">
        <v>160380</v>
      </c>
      <c r="R884">
        <v>2970000</v>
      </c>
      <c r="S884">
        <v>20</v>
      </c>
      <c r="T884">
        <v>148500</v>
      </c>
      <c r="U884">
        <v>1</v>
      </c>
      <c r="V884">
        <v>1</v>
      </c>
      <c r="W884" t="s">
        <v>127</v>
      </c>
      <c r="X884">
        <v>29700</v>
      </c>
      <c r="Y884">
        <v>160380</v>
      </c>
      <c r="Z884">
        <v>2970000</v>
      </c>
      <c r="AA884">
        <v>148500</v>
      </c>
      <c r="AB884">
        <v>105</v>
      </c>
      <c r="AC884" s="34">
        <v>46009</v>
      </c>
      <c r="AD884" s="34">
        <v>46173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 t="s">
        <v>122</v>
      </c>
      <c r="AT884">
        <v>1782000</v>
      </c>
      <c r="AU884">
        <v>96228</v>
      </c>
      <c r="AV884">
        <v>1782000</v>
      </c>
      <c r="AW884">
        <v>96228</v>
      </c>
    </row>
    <row r="885" spans="1:49" hidden="1" x14ac:dyDescent="0.35">
      <c r="A885">
        <v>5843610</v>
      </c>
      <c r="B885">
        <v>1250005843601</v>
      </c>
      <c r="D885">
        <v>20148564966</v>
      </c>
      <c r="E885" t="s">
        <v>1385</v>
      </c>
      <c r="F885" t="s">
        <v>1</v>
      </c>
      <c r="G885" t="s">
        <v>925</v>
      </c>
      <c r="H885" t="s">
        <v>51</v>
      </c>
      <c r="I885">
        <v>5931</v>
      </c>
      <c r="J885">
        <v>3</v>
      </c>
      <c r="K885" t="s">
        <v>32</v>
      </c>
      <c r="L885">
        <v>6435</v>
      </c>
      <c r="M885" t="s">
        <v>175</v>
      </c>
      <c r="N885">
        <v>1</v>
      </c>
      <c r="O885" t="s">
        <v>119</v>
      </c>
      <c r="P885" t="s">
        <v>1383</v>
      </c>
      <c r="Q885">
        <v>2068902</v>
      </c>
      <c r="R885">
        <v>38313000</v>
      </c>
      <c r="S885">
        <v>258</v>
      </c>
      <c r="T885">
        <v>148500</v>
      </c>
      <c r="U885">
        <v>1</v>
      </c>
      <c r="V885">
        <v>1</v>
      </c>
      <c r="W885" t="s">
        <v>127</v>
      </c>
      <c r="X885">
        <v>29700</v>
      </c>
      <c r="Y885">
        <v>2068902</v>
      </c>
      <c r="Z885">
        <v>38313000</v>
      </c>
      <c r="AA885">
        <v>148500</v>
      </c>
      <c r="AB885">
        <v>105</v>
      </c>
      <c r="AC885" s="34">
        <v>46009</v>
      </c>
      <c r="AD885" s="34">
        <v>46173</v>
      </c>
      <c r="AF885">
        <v>1</v>
      </c>
      <c r="AG885">
        <v>2229282</v>
      </c>
      <c r="AH885">
        <v>0</v>
      </c>
      <c r="AI885">
        <v>2229282</v>
      </c>
      <c r="AJ885">
        <v>0</v>
      </c>
      <c r="AK885">
        <v>0</v>
      </c>
      <c r="AL885">
        <v>581842.6</v>
      </c>
      <c r="AM885">
        <v>0</v>
      </c>
      <c r="AN885">
        <v>2811124.6</v>
      </c>
      <c r="AO885" t="s">
        <v>122</v>
      </c>
      <c r="AP885">
        <v>15</v>
      </c>
      <c r="AQ885">
        <v>334392.3</v>
      </c>
      <c r="AR885">
        <v>334392.3</v>
      </c>
      <c r="AT885">
        <v>22987800</v>
      </c>
      <c r="AU885">
        <v>1241341.2</v>
      </c>
      <c r="AV885">
        <v>22987800</v>
      </c>
      <c r="AW885">
        <v>1241341.2</v>
      </c>
    </row>
    <row r="886" spans="1:49" hidden="1" x14ac:dyDescent="0.35">
      <c r="A886">
        <v>5843610</v>
      </c>
      <c r="B886">
        <v>1250005843601</v>
      </c>
      <c r="D886">
        <v>20148564966</v>
      </c>
      <c r="E886" t="s">
        <v>1385</v>
      </c>
      <c r="F886" t="s">
        <v>1</v>
      </c>
      <c r="G886" t="s">
        <v>925</v>
      </c>
      <c r="H886" t="s">
        <v>51</v>
      </c>
      <c r="I886">
        <v>5931</v>
      </c>
      <c r="J886">
        <v>3</v>
      </c>
      <c r="K886" t="s">
        <v>32</v>
      </c>
      <c r="L886">
        <v>6435</v>
      </c>
      <c r="M886" t="s">
        <v>175</v>
      </c>
      <c r="N886">
        <v>2</v>
      </c>
      <c r="O886" t="s">
        <v>119</v>
      </c>
      <c r="P886" t="s">
        <v>1386</v>
      </c>
      <c r="Q886">
        <v>160380</v>
      </c>
      <c r="R886">
        <v>2970000</v>
      </c>
      <c r="S886">
        <v>20</v>
      </c>
      <c r="T886">
        <v>148500</v>
      </c>
      <c r="U886">
        <v>1</v>
      </c>
      <c r="V886">
        <v>1</v>
      </c>
      <c r="W886" t="s">
        <v>127</v>
      </c>
      <c r="X886">
        <v>29700</v>
      </c>
      <c r="Y886">
        <v>160380</v>
      </c>
      <c r="Z886">
        <v>2970000</v>
      </c>
      <c r="AA886">
        <v>148500</v>
      </c>
      <c r="AB886">
        <v>105</v>
      </c>
      <c r="AC886" s="34">
        <v>46009</v>
      </c>
      <c r="AD886" s="34">
        <v>46173</v>
      </c>
      <c r="AF886">
        <v>1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 t="s">
        <v>122</v>
      </c>
      <c r="AT886">
        <v>1782000</v>
      </c>
      <c r="AU886">
        <v>96228</v>
      </c>
      <c r="AV886">
        <v>1782000</v>
      </c>
      <c r="AW886">
        <v>96228</v>
      </c>
    </row>
    <row r="887" spans="1:49" hidden="1" x14ac:dyDescent="0.35">
      <c r="A887">
        <v>5843710</v>
      </c>
      <c r="B887">
        <v>1250005843701</v>
      </c>
      <c r="D887">
        <v>23235683199</v>
      </c>
      <c r="E887" t="s">
        <v>1387</v>
      </c>
      <c r="F887" t="s">
        <v>1</v>
      </c>
      <c r="G887" t="s">
        <v>131</v>
      </c>
      <c r="H887" t="s">
        <v>23</v>
      </c>
      <c r="I887">
        <v>6105</v>
      </c>
      <c r="J887">
        <v>1</v>
      </c>
      <c r="K887" t="s">
        <v>16</v>
      </c>
      <c r="L887">
        <v>4401</v>
      </c>
      <c r="M887" t="s">
        <v>132</v>
      </c>
      <c r="N887">
        <v>1</v>
      </c>
      <c r="O887" t="s">
        <v>119</v>
      </c>
      <c r="P887" t="s">
        <v>1388</v>
      </c>
      <c r="Q887">
        <v>1226.4000000000001</v>
      </c>
      <c r="R887">
        <v>33600</v>
      </c>
      <c r="S887">
        <v>56</v>
      </c>
      <c r="T887">
        <v>600</v>
      </c>
      <c r="U887">
        <v>26</v>
      </c>
      <c r="V887">
        <v>1451</v>
      </c>
      <c r="W887" t="s">
        <v>121</v>
      </c>
      <c r="X887" t="s">
        <v>1</v>
      </c>
      <c r="Y887">
        <v>1779506.4</v>
      </c>
      <c r="Z887">
        <v>48753600</v>
      </c>
      <c r="AA887">
        <v>870600</v>
      </c>
      <c r="AB887">
        <v>106</v>
      </c>
      <c r="AC887" s="34">
        <v>46006</v>
      </c>
      <c r="AD887" s="34">
        <v>46173</v>
      </c>
      <c r="AF887">
        <v>0</v>
      </c>
      <c r="AG887">
        <v>1226.4000000000001</v>
      </c>
      <c r="AH887">
        <v>0</v>
      </c>
      <c r="AI887">
        <v>1779506.4</v>
      </c>
      <c r="AJ887">
        <v>0</v>
      </c>
      <c r="AK887">
        <v>0</v>
      </c>
      <c r="AL887">
        <v>446646.82</v>
      </c>
      <c r="AM887">
        <v>0</v>
      </c>
      <c r="AN887">
        <v>2226153.2200000002</v>
      </c>
      <c r="AO887" t="s">
        <v>122</v>
      </c>
      <c r="AP887">
        <v>15</v>
      </c>
      <c r="AQ887">
        <v>183.96</v>
      </c>
      <c r="AR887">
        <v>266925.96000000002</v>
      </c>
      <c r="AT887">
        <v>20160</v>
      </c>
      <c r="AU887">
        <v>735.84</v>
      </c>
      <c r="AV887">
        <v>29252160</v>
      </c>
      <c r="AW887">
        <v>1067703.8400000001</v>
      </c>
    </row>
    <row r="888" spans="1:49" hidden="1" x14ac:dyDescent="0.35">
      <c r="A888">
        <v>5843810</v>
      </c>
      <c r="B888">
        <v>1250005843801</v>
      </c>
      <c r="D888">
        <v>23235683199</v>
      </c>
      <c r="E888" t="s">
        <v>1387</v>
      </c>
      <c r="F888" t="s">
        <v>1</v>
      </c>
      <c r="G888" t="s">
        <v>131</v>
      </c>
      <c r="H888" t="s">
        <v>23</v>
      </c>
      <c r="I888">
        <v>6105</v>
      </c>
      <c r="J888">
        <v>1</v>
      </c>
      <c r="K888" t="s">
        <v>16</v>
      </c>
      <c r="L888">
        <v>4401</v>
      </c>
      <c r="M888" t="s">
        <v>132</v>
      </c>
      <c r="N888">
        <v>1</v>
      </c>
      <c r="O888" t="s">
        <v>119</v>
      </c>
      <c r="P888" t="s">
        <v>1389</v>
      </c>
      <c r="Q888">
        <v>554.79999999999995</v>
      </c>
      <c r="R888">
        <v>15200</v>
      </c>
      <c r="S888">
        <v>38</v>
      </c>
      <c r="T888">
        <v>400</v>
      </c>
      <c r="U888">
        <v>26</v>
      </c>
      <c r="V888">
        <v>1451</v>
      </c>
      <c r="W888" t="s">
        <v>121</v>
      </c>
      <c r="X888" t="s">
        <v>1</v>
      </c>
      <c r="Y888">
        <v>805014.8</v>
      </c>
      <c r="Z888">
        <v>22055200</v>
      </c>
      <c r="AA888">
        <v>580400</v>
      </c>
      <c r="AB888">
        <v>106</v>
      </c>
      <c r="AC888" s="34">
        <v>46006</v>
      </c>
      <c r="AD888" s="34">
        <v>46188</v>
      </c>
      <c r="AF888">
        <v>0</v>
      </c>
      <c r="AG888">
        <v>554.79999999999995</v>
      </c>
      <c r="AH888">
        <v>0</v>
      </c>
      <c r="AI888">
        <v>805014.8</v>
      </c>
      <c r="AJ888">
        <v>0</v>
      </c>
      <c r="AK888">
        <v>0</v>
      </c>
      <c r="AL888">
        <v>202051.75</v>
      </c>
      <c r="AM888">
        <v>0</v>
      </c>
      <c r="AN888">
        <v>1007066.55</v>
      </c>
      <c r="AO888" t="s">
        <v>122</v>
      </c>
      <c r="AP888">
        <v>15</v>
      </c>
      <c r="AQ888">
        <v>83.22</v>
      </c>
      <c r="AR888">
        <v>120752.22</v>
      </c>
      <c r="AT888">
        <v>9120</v>
      </c>
      <c r="AU888">
        <v>332.88</v>
      </c>
      <c r="AV888">
        <v>13233120</v>
      </c>
      <c r="AW888">
        <v>483008.88</v>
      </c>
    </row>
    <row r="889" spans="1:49" hidden="1" x14ac:dyDescent="0.35">
      <c r="A889">
        <v>5844010</v>
      </c>
      <c r="B889">
        <v>1080005844001</v>
      </c>
      <c r="D889">
        <v>30508608477</v>
      </c>
      <c r="E889" t="s">
        <v>1390</v>
      </c>
      <c r="F889" t="s">
        <v>1</v>
      </c>
      <c r="G889" t="s">
        <v>623</v>
      </c>
      <c r="H889" t="s">
        <v>623</v>
      </c>
      <c r="I889">
        <v>7620</v>
      </c>
      <c r="J889">
        <v>1</v>
      </c>
      <c r="K889" t="s">
        <v>16</v>
      </c>
      <c r="L889">
        <v>7999</v>
      </c>
      <c r="M889" t="s">
        <v>691</v>
      </c>
      <c r="N889">
        <v>1</v>
      </c>
      <c r="O889" t="s">
        <v>119</v>
      </c>
      <c r="P889" t="s">
        <v>1391</v>
      </c>
      <c r="Q889">
        <v>4733.1899999999996</v>
      </c>
      <c r="R889">
        <v>119525</v>
      </c>
      <c r="S889">
        <v>341.5</v>
      </c>
      <c r="T889">
        <v>350</v>
      </c>
      <c r="U889">
        <v>26</v>
      </c>
      <c r="V889">
        <v>1451</v>
      </c>
      <c r="W889" t="s">
        <v>121</v>
      </c>
      <c r="X889" t="s">
        <v>1</v>
      </c>
      <c r="Y889">
        <v>6867858.6900000004</v>
      </c>
      <c r="Z889">
        <v>173430775</v>
      </c>
      <c r="AA889">
        <v>507850</v>
      </c>
      <c r="AB889">
        <v>211</v>
      </c>
      <c r="AC889" s="34">
        <v>46007</v>
      </c>
      <c r="AD889" s="34">
        <v>46112</v>
      </c>
      <c r="AE889" t="s">
        <v>355</v>
      </c>
      <c r="AF889">
        <v>0</v>
      </c>
      <c r="AG889">
        <v>4733.1899999999996</v>
      </c>
      <c r="AH889">
        <v>0</v>
      </c>
      <c r="AI889">
        <v>6867858.6900000004</v>
      </c>
      <c r="AJ889">
        <v>0</v>
      </c>
      <c r="AK889">
        <v>0</v>
      </c>
      <c r="AL889">
        <v>1723846.04</v>
      </c>
      <c r="AM889">
        <v>0</v>
      </c>
      <c r="AN889">
        <v>8591704.7300000004</v>
      </c>
      <c r="AO889" t="s">
        <v>122</v>
      </c>
      <c r="AP889">
        <v>12</v>
      </c>
      <c r="AQ889">
        <v>567.98</v>
      </c>
      <c r="AR889">
        <v>824138.98</v>
      </c>
      <c r="AT889">
        <v>71715</v>
      </c>
      <c r="AU889">
        <v>2839.91</v>
      </c>
      <c r="AV889">
        <v>104058465</v>
      </c>
      <c r="AW889">
        <v>4120709.41</v>
      </c>
    </row>
    <row r="890" spans="1:49" hidden="1" x14ac:dyDescent="0.35">
      <c r="A890">
        <v>5844110</v>
      </c>
      <c r="B890">
        <v>1080005844101</v>
      </c>
      <c r="D890">
        <v>33715395229</v>
      </c>
      <c r="E890" t="s">
        <v>1392</v>
      </c>
      <c r="F890" t="s">
        <v>1</v>
      </c>
      <c r="G890" t="s">
        <v>46</v>
      </c>
      <c r="H890" t="s">
        <v>16</v>
      </c>
      <c r="I890">
        <v>7000</v>
      </c>
      <c r="J890">
        <v>1</v>
      </c>
      <c r="K890" t="s">
        <v>16</v>
      </c>
      <c r="L890">
        <v>7999</v>
      </c>
      <c r="M890" t="s">
        <v>691</v>
      </c>
      <c r="N890">
        <v>1</v>
      </c>
      <c r="O890" t="s">
        <v>119</v>
      </c>
      <c r="P890" t="s">
        <v>1393</v>
      </c>
      <c r="Q890">
        <v>1449.36</v>
      </c>
      <c r="R890">
        <v>36600</v>
      </c>
      <c r="S890">
        <v>61</v>
      </c>
      <c r="T890">
        <v>600</v>
      </c>
      <c r="U890">
        <v>26</v>
      </c>
      <c r="V890">
        <v>1451</v>
      </c>
      <c r="W890" t="s">
        <v>121</v>
      </c>
      <c r="X890" t="s">
        <v>1</v>
      </c>
      <c r="Y890">
        <v>2103021.36</v>
      </c>
      <c r="Z890">
        <v>53106600</v>
      </c>
      <c r="AA890">
        <v>870600</v>
      </c>
      <c r="AB890">
        <v>211</v>
      </c>
      <c r="AC890" s="34">
        <v>46007</v>
      </c>
      <c r="AD890" s="34">
        <v>46112</v>
      </c>
      <c r="AE890" t="s">
        <v>355</v>
      </c>
      <c r="AF890">
        <v>0</v>
      </c>
      <c r="AG890">
        <v>1449.36</v>
      </c>
      <c r="AH890">
        <v>0</v>
      </c>
      <c r="AI890">
        <v>2103021.36</v>
      </c>
      <c r="AJ890">
        <v>0</v>
      </c>
      <c r="AK890">
        <v>0</v>
      </c>
      <c r="AL890">
        <v>527873.80000000005</v>
      </c>
      <c r="AM890">
        <v>0</v>
      </c>
      <c r="AN890">
        <v>2630895.16</v>
      </c>
      <c r="AO890" t="s">
        <v>122</v>
      </c>
      <c r="AP890">
        <v>12</v>
      </c>
      <c r="AQ890">
        <v>173.92</v>
      </c>
      <c r="AR890">
        <v>252357.92</v>
      </c>
      <c r="AT890">
        <v>21960</v>
      </c>
      <c r="AU890">
        <v>869.62</v>
      </c>
      <c r="AV890">
        <v>31863960</v>
      </c>
      <c r="AW890">
        <v>1261818.6200000001</v>
      </c>
    </row>
    <row r="891" spans="1:49" hidden="1" x14ac:dyDescent="0.35">
      <c r="A891">
        <v>5844210</v>
      </c>
      <c r="B891">
        <v>1080005844201</v>
      </c>
      <c r="D891">
        <v>20106562777</v>
      </c>
      <c r="E891" t="s">
        <v>690</v>
      </c>
      <c r="F891" t="s">
        <v>1</v>
      </c>
      <c r="G891" t="s">
        <v>46</v>
      </c>
      <c r="H891" t="s">
        <v>16</v>
      </c>
      <c r="I891">
        <v>7000</v>
      </c>
      <c r="J891">
        <v>1</v>
      </c>
      <c r="K891" t="s">
        <v>16</v>
      </c>
      <c r="L891">
        <v>7999</v>
      </c>
      <c r="M891" t="s">
        <v>691</v>
      </c>
      <c r="N891">
        <v>1</v>
      </c>
      <c r="O891" t="s">
        <v>119</v>
      </c>
      <c r="P891" t="s">
        <v>1394</v>
      </c>
      <c r="Q891">
        <v>1663.2</v>
      </c>
      <c r="R891">
        <v>42000</v>
      </c>
      <c r="S891">
        <v>70</v>
      </c>
      <c r="T891">
        <v>600</v>
      </c>
      <c r="U891">
        <v>26</v>
      </c>
      <c r="V891">
        <v>1451</v>
      </c>
      <c r="W891" t="s">
        <v>121</v>
      </c>
      <c r="X891" t="s">
        <v>1</v>
      </c>
      <c r="Y891">
        <v>2413303.2000000002</v>
      </c>
      <c r="Z891">
        <v>60942000</v>
      </c>
      <c r="AA891">
        <v>870600</v>
      </c>
      <c r="AB891">
        <v>211</v>
      </c>
      <c r="AC891" s="34">
        <v>46007</v>
      </c>
      <c r="AD891" s="34">
        <v>46112</v>
      </c>
      <c r="AE891" t="s">
        <v>355</v>
      </c>
      <c r="AF891">
        <v>0</v>
      </c>
      <c r="AG891">
        <v>1663.2</v>
      </c>
      <c r="AH891">
        <v>0</v>
      </c>
      <c r="AI891">
        <v>2413303.2000000002</v>
      </c>
      <c r="AJ891">
        <v>0</v>
      </c>
      <c r="AK891">
        <v>0</v>
      </c>
      <c r="AL891">
        <v>605748.97</v>
      </c>
      <c r="AM891">
        <v>0</v>
      </c>
      <c r="AN891">
        <v>3019052.17</v>
      </c>
      <c r="AO891" t="s">
        <v>122</v>
      </c>
      <c r="AP891">
        <v>12</v>
      </c>
      <c r="AQ891">
        <v>199.58</v>
      </c>
      <c r="AR891">
        <v>289590.58</v>
      </c>
      <c r="AT891">
        <v>25200</v>
      </c>
      <c r="AU891">
        <v>997.92</v>
      </c>
      <c r="AV891">
        <v>36565200</v>
      </c>
      <c r="AW891">
        <v>1447981.92</v>
      </c>
    </row>
    <row r="892" spans="1:49" hidden="1" x14ac:dyDescent="0.35">
      <c r="A892">
        <v>5844310</v>
      </c>
      <c r="B892">
        <v>1080005844301</v>
      </c>
      <c r="D892">
        <v>30715468987</v>
      </c>
      <c r="E892" t="s">
        <v>693</v>
      </c>
      <c r="F892" t="s">
        <v>1</v>
      </c>
      <c r="G892" t="s">
        <v>623</v>
      </c>
      <c r="H892" t="s">
        <v>623</v>
      </c>
      <c r="I892">
        <v>7620</v>
      </c>
      <c r="J892">
        <v>1</v>
      </c>
      <c r="K892" t="s">
        <v>16</v>
      </c>
      <c r="L892">
        <v>7999</v>
      </c>
      <c r="M892" t="s">
        <v>691</v>
      </c>
      <c r="N892">
        <v>1</v>
      </c>
      <c r="O892" t="s">
        <v>119</v>
      </c>
      <c r="P892" t="s">
        <v>1395</v>
      </c>
      <c r="Q892">
        <v>4733.1899999999996</v>
      </c>
      <c r="R892">
        <v>119525</v>
      </c>
      <c r="S892">
        <v>341.5</v>
      </c>
      <c r="T892">
        <v>350</v>
      </c>
      <c r="U892">
        <v>26</v>
      </c>
      <c r="V892">
        <v>1451</v>
      </c>
      <c r="W892" t="s">
        <v>121</v>
      </c>
      <c r="X892" t="s">
        <v>1</v>
      </c>
      <c r="Y892">
        <v>6867858.6900000004</v>
      </c>
      <c r="Z892">
        <v>173430775</v>
      </c>
      <c r="AA892">
        <v>507850</v>
      </c>
      <c r="AB892">
        <v>211</v>
      </c>
      <c r="AC892" s="34">
        <v>46007</v>
      </c>
      <c r="AD892" s="34">
        <v>46112</v>
      </c>
      <c r="AE892" t="s">
        <v>355</v>
      </c>
      <c r="AF892">
        <v>0</v>
      </c>
      <c r="AG892">
        <v>13726.35</v>
      </c>
      <c r="AH892">
        <v>0</v>
      </c>
      <c r="AI892">
        <v>19916933.850000001</v>
      </c>
      <c r="AJ892">
        <v>0</v>
      </c>
      <c r="AK892">
        <v>0</v>
      </c>
      <c r="AL892">
        <v>4999144.8099999996</v>
      </c>
      <c r="AM892">
        <v>0</v>
      </c>
      <c r="AN892">
        <v>24916078.66</v>
      </c>
      <c r="AO892" t="s">
        <v>122</v>
      </c>
      <c r="AP892">
        <v>12</v>
      </c>
      <c r="AQ892">
        <v>1647.16</v>
      </c>
      <c r="AR892">
        <v>2390029.16</v>
      </c>
      <c r="AT892">
        <v>71715</v>
      </c>
      <c r="AU892">
        <v>2839.91</v>
      </c>
      <c r="AV892">
        <v>104058465</v>
      </c>
      <c r="AW892">
        <v>4120709.41</v>
      </c>
    </row>
    <row r="893" spans="1:49" hidden="1" x14ac:dyDescent="0.35">
      <c r="A893">
        <v>5844310</v>
      </c>
      <c r="B893">
        <v>1080005844301</v>
      </c>
      <c r="D893">
        <v>30715468987</v>
      </c>
      <c r="E893" t="s">
        <v>693</v>
      </c>
      <c r="F893" t="s">
        <v>1</v>
      </c>
      <c r="G893" t="s">
        <v>46</v>
      </c>
      <c r="H893" t="s">
        <v>16</v>
      </c>
      <c r="I893">
        <v>7000</v>
      </c>
      <c r="J893">
        <v>1</v>
      </c>
      <c r="K893" t="s">
        <v>16</v>
      </c>
      <c r="L893">
        <v>7999</v>
      </c>
      <c r="M893" t="s">
        <v>691</v>
      </c>
      <c r="N893">
        <v>2</v>
      </c>
      <c r="O893" t="s">
        <v>119</v>
      </c>
      <c r="P893" t="s">
        <v>1396</v>
      </c>
      <c r="Q893">
        <v>1116.72</v>
      </c>
      <c r="R893">
        <v>28200</v>
      </c>
      <c r="S893">
        <v>47</v>
      </c>
      <c r="T893">
        <v>600</v>
      </c>
      <c r="U893">
        <v>26</v>
      </c>
      <c r="V893">
        <v>1451</v>
      </c>
      <c r="W893" t="s">
        <v>121</v>
      </c>
      <c r="X893" t="s">
        <v>1</v>
      </c>
      <c r="Y893">
        <v>1620360.72</v>
      </c>
      <c r="Z893">
        <v>40918200</v>
      </c>
      <c r="AA893">
        <v>870600</v>
      </c>
      <c r="AB893">
        <v>211</v>
      </c>
      <c r="AC893" s="34">
        <v>46007</v>
      </c>
      <c r="AD893" s="34">
        <v>46112</v>
      </c>
      <c r="AE893" t="s">
        <v>355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 t="s">
        <v>122</v>
      </c>
      <c r="AT893">
        <v>16920</v>
      </c>
      <c r="AU893">
        <v>670.03</v>
      </c>
      <c r="AV893">
        <v>24550920</v>
      </c>
      <c r="AW893">
        <v>972213.53</v>
      </c>
    </row>
    <row r="894" spans="1:49" hidden="1" x14ac:dyDescent="0.35">
      <c r="A894">
        <v>5844310</v>
      </c>
      <c r="B894">
        <v>1080005844301</v>
      </c>
      <c r="D894">
        <v>30715468987</v>
      </c>
      <c r="E894" t="s">
        <v>693</v>
      </c>
      <c r="F894" t="s">
        <v>1</v>
      </c>
      <c r="G894" t="s">
        <v>1397</v>
      </c>
      <c r="H894" t="s">
        <v>1397</v>
      </c>
      <c r="I894">
        <v>7130</v>
      </c>
      <c r="J894">
        <v>1</v>
      </c>
      <c r="K894" t="s">
        <v>16</v>
      </c>
      <c r="L894">
        <v>7999</v>
      </c>
      <c r="M894" t="s">
        <v>691</v>
      </c>
      <c r="N894">
        <v>3</v>
      </c>
      <c r="O894" t="s">
        <v>119</v>
      </c>
      <c r="P894" t="s">
        <v>1398</v>
      </c>
      <c r="Q894">
        <v>605.88</v>
      </c>
      <c r="R894">
        <v>15300</v>
      </c>
      <c r="S894">
        <v>25.5</v>
      </c>
      <c r="T894">
        <v>600</v>
      </c>
      <c r="U894">
        <v>26</v>
      </c>
      <c r="V894">
        <v>1451</v>
      </c>
      <c r="W894" t="s">
        <v>121</v>
      </c>
      <c r="X894" t="s">
        <v>1</v>
      </c>
      <c r="Y894">
        <v>879131.88</v>
      </c>
      <c r="Z894">
        <v>22200300</v>
      </c>
      <c r="AA894">
        <v>870600</v>
      </c>
      <c r="AB894">
        <v>211</v>
      </c>
      <c r="AC894" s="34">
        <v>46007</v>
      </c>
      <c r="AD894" s="34">
        <v>46112</v>
      </c>
      <c r="AE894" t="s">
        <v>355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 t="s">
        <v>122</v>
      </c>
      <c r="AT894">
        <v>9180</v>
      </c>
      <c r="AU894">
        <v>363.53</v>
      </c>
      <c r="AV894">
        <v>13320180</v>
      </c>
      <c r="AW894">
        <v>527482.03</v>
      </c>
    </row>
    <row r="895" spans="1:49" hidden="1" x14ac:dyDescent="0.35">
      <c r="A895">
        <v>5844310</v>
      </c>
      <c r="B895">
        <v>1080005844301</v>
      </c>
      <c r="D895">
        <v>30715468987</v>
      </c>
      <c r="E895" t="s">
        <v>693</v>
      </c>
      <c r="F895" t="s">
        <v>1</v>
      </c>
      <c r="G895" t="s">
        <v>1399</v>
      </c>
      <c r="H895" t="s">
        <v>600</v>
      </c>
      <c r="I895">
        <v>7005</v>
      </c>
      <c r="J895">
        <v>1</v>
      </c>
      <c r="K895" t="s">
        <v>16</v>
      </c>
      <c r="L895">
        <v>7999</v>
      </c>
      <c r="M895" t="s">
        <v>691</v>
      </c>
      <c r="N895">
        <v>4</v>
      </c>
      <c r="O895" t="s">
        <v>119</v>
      </c>
      <c r="P895" t="s">
        <v>1400</v>
      </c>
      <c r="Q895">
        <v>2138.4</v>
      </c>
      <c r="R895">
        <v>54000</v>
      </c>
      <c r="S895">
        <v>90</v>
      </c>
      <c r="T895">
        <v>600</v>
      </c>
      <c r="U895">
        <v>26</v>
      </c>
      <c r="V895">
        <v>1451</v>
      </c>
      <c r="W895" t="s">
        <v>121</v>
      </c>
      <c r="X895" t="s">
        <v>1</v>
      </c>
      <c r="Y895">
        <v>3102818.4</v>
      </c>
      <c r="Z895">
        <v>78354000</v>
      </c>
      <c r="AA895">
        <v>870600</v>
      </c>
      <c r="AB895">
        <v>211</v>
      </c>
      <c r="AC895" s="34">
        <v>46007</v>
      </c>
      <c r="AD895" s="34">
        <v>46112</v>
      </c>
      <c r="AE895" t="s">
        <v>355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 t="s">
        <v>122</v>
      </c>
      <c r="AT895">
        <v>32400</v>
      </c>
      <c r="AU895">
        <v>1283.04</v>
      </c>
      <c r="AV895">
        <v>47012400</v>
      </c>
      <c r="AW895">
        <v>1861691.04</v>
      </c>
    </row>
    <row r="896" spans="1:49" hidden="1" x14ac:dyDescent="0.35">
      <c r="A896">
        <v>5844310</v>
      </c>
      <c r="B896">
        <v>1080005844301</v>
      </c>
      <c r="D896">
        <v>30715468987</v>
      </c>
      <c r="E896" t="s">
        <v>693</v>
      </c>
      <c r="F896" t="s">
        <v>1</v>
      </c>
      <c r="G896" t="s">
        <v>623</v>
      </c>
      <c r="H896" t="s">
        <v>623</v>
      </c>
      <c r="I896">
        <v>7620</v>
      </c>
      <c r="J896">
        <v>1</v>
      </c>
      <c r="K896" t="s">
        <v>16</v>
      </c>
      <c r="L896">
        <v>7999</v>
      </c>
      <c r="M896" t="s">
        <v>691</v>
      </c>
      <c r="N896">
        <v>5</v>
      </c>
      <c r="O896" t="s">
        <v>119</v>
      </c>
      <c r="P896" t="s">
        <v>1401</v>
      </c>
      <c r="Q896">
        <v>1758.24</v>
      </c>
      <c r="R896">
        <v>44400</v>
      </c>
      <c r="S896">
        <v>74</v>
      </c>
      <c r="T896">
        <v>600</v>
      </c>
      <c r="U896">
        <v>26</v>
      </c>
      <c r="V896">
        <v>1451</v>
      </c>
      <c r="W896" t="s">
        <v>121</v>
      </c>
      <c r="X896" t="s">
        <v>1</v>
      </c>
      <c r="Y896">
        <v>2551206.2400000002</v>
      </c>
      <c r="Z896">
        <v>64424400</v>
      </c>
      <c r="AA896">
        <v>870600</v>
      </c>
      <c r="AB896">
        <v>211</v>
      </c>
      <c r="AC896" s="34">
        <v>46007</v>
      </c>
      <c r="AD896" s="34">
        <v>46112</v>
      </c>
      <c r="AE896" t="s">
        <v>355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 t="s">
        <v>122</v>
      </c>
      <c r="AT896">
        <v>26640</v>
      </c>
      <c r="AU896">
        <v>1054.94</v>
      </c>
      <c r="AV896">
        <v>38654640</v>
      </c>
      <c r="AW896">
        <v>1530717.94</v>
      </c>
    </row>
    <row r="897" spans="1:49" hidden="1" x14ac:dyDescent="0.35">
      <c r="A897">
        <v>5844310</v>
      </c>
      <c r="B897">
        <v>1080005844301</v>
      </c>
      <c r="D897">
        <v>30715468987</v>
      </c>
      <c r="E897" t="s">
        <v>693</v>
      </c>
      <c r="F897" t="s">
        <v>1</v>
      </c>
      <c r="G897" t="s">
        <v>1402</v>
      </c>
      <c r="H897" t="s">
        <v>1402</v>
      </c>
      <c r="I897">
        <v>7116</v>
      </c>
      <c r="J897">
        <v>1</v>
      </c>
      <c r="K897" t="s">
        <v>16</v>
      </c>
      <c r="L897">
        <v>7999</v>
      </c>
      <c r="M897" t="s">
        <v>691</v>
      </c>
      <c r="N897">
        <v>6</v>
      </c>
      <c r="O897" t="s">
        <v>119</v>
      </c>
      <c r="P897" t="s">
        <v>1403</v>
      </c>
      <c r="Q897">
        <v>2174.04</v>
      </c>
      <c r="R897">
        <v>54900</v>
      </c>
      <c r="S897">
        <v>91.5</v>
      </c>
      <c r="T897">
        <v>600</v>
      </c>
      <c r="U897">
        <v>26</v>
      </c>
      <c r="V897">
        <v>1451</v>
      </c>
      <c r="W897" t="s">
        <v>121</v>
      </c>
      <c r="X897" t="s">
        <v>1</v>
      </c>
      <c r="Y897">
        <v>3154532.04</v>
      </c>
      <c r="Z897">
        <v>79659900</v>
      </c>
      <c r="AA897">
        <v>870600</v>
      </c>
      <c r="AB897">
        <v>211</v>
      </c>
      <c r="AC897" s="34">
        <v>46007</v>
      </c>
      <c r="AD897" s="34">
        <v>46112</v>
      </c>
      <c r="AE897" t="s">
        <v>355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 t="s">
        <v>122</v>
      </c>
      <c r="AT897">
        <v>32940</v>
      </c>
      <c r="AU897">
        <v>1304.42</v>
      </c>
      <c r="AV897">
        <v>47795940</v>
      </c>
      <c r="AW897">
        <v>1892713.42</v>
      </c>
    </row>
    <row r="898" spans="1:49" hidden="1" x14ac:dyDescent="0.35">
      <c r="A898">
        <v>5844310</v>
      </c>
      <c r="B898">
        <v>1080005844301</v>
      </c>
      <c r="D898">
        <v>30715468987</v>
      </c>
      <c r="E898" t="s">
        <v>693</v>
      </c>
      <c r="F898" t="s">
        <v>1</v>
      </c>
      <c r="G898" t="s">
        <v>1397</v>
      </c>
      <c r="H898" t="s">
        <v>1397</v>
      </c>
      <c r="I898">
        <v>7130</v>
      </c>
      <c r="J898">
        <v>1</v>
      </c>
      <c r="K898" t="s">
        <v>16</v>
      </c>
      <c r="L898">
        <v>7999</v>
      </c>
      <c r="M898" t="s">
        <v>691</v>
      </c>
      <c r="N898">
        <v>7</v>
      </c>
      <c r="O898" t="s">
        <v>119</v>
      </c>
      <c r="P898" t="s">
        <v>1404</v>
      </c>
      <c r="Q898">
        <v>380.16</v>
      </c>
      <c r="R898">
        <v>9600</v>
      </c>
      <c r="S898">
        <v>16</v>
      </c>
      <c r="T898">
        <v>600</v>
      </c>
      <c r="U898">
        <v>26</v>
      </c>
      <c r="V898">
        <v>1451</v>
      </c>
      <c r="W898" t="s">
        <v>121</v>
      </c>
      <c r="X898" t="s">
        <v>1</v>
      </c>
      <c r="Y898">
        <v>551612.16000000003</v>
      </c>
      <c r="Z898">
        <v>13929600</v>
      </c>
      <c r="AA898">
        <v>870600</v>
      </c>
      <c r="AB898">
        <v>211</v>
      </c>
      <c r="AC898" s="34">
        <v>46007</v>
      </c>
      <c r="AD898" s="34">
        <v>46112</v>
      </c>
      <c r="AE898" t="s">
        <v>355</v>
      </c>
      <c r="AF898">
        <v>1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 t="s">
        <v>122</v>
      </c>
      <c r="AT898">
        <v>5760</v>
      </c>
      <c r="AU898">
        <v>228.1</v>
      </c>
      <c r="AV898">
        <v>8357760</v>
      </c>
      <c r="AW898">
        <v>330973.09999999998</v>
      </c>
    </row>
    <row r="899" spans="1:49" hidden="1" x14ac:dyDescent="0.35">
      <c r="A899">
        <v>5844310</v>
      </c>
      <c r="B899">
        <v>1080005844301</v>
      </c>
      <c r="D899">
        <v>30715468987</v>
      </c>
      <c r="E899" t="s">
        <v>693</v>
      </c>
      <c r="F899" t="s">
        <v>1</v>
      </c>
      <c r="G899" t="s">
        <v>46</v>
      </c>
      <c r="H899" t="s">
        <v>16</v>
      </c>
      <c r="I899">
        <v>7000</v>
      </c>
      <c r="J899">
        <v>1</v>
      </c>
      <c r="K899" t="s">
        <v>16</v>
      </c>
      <c r="L899">
        <v>7999</v>
      </c>
      <c r="M899" t="s">
        <v>691</v>
      </c>
      <c r="N899">
        <v>8</v>
      </c>
      <c r="O899" t="s">
        <v>119</v>
      </c>
      <c r="P899" t="s">
        <v>1405</v>
      </c>
      <c r="Q899">
        <v>819.72</v>
      </c>
      <c r="R899">
        <v>20700</v>
      </c>
      <c r="S899">
        <v>34.5</v>
      </c>
      <c r="T899">
        <v>600</v>
      </c>
      <c r="U899">
        <v>26</v>
      </c>
      <c r="V899">
        <v>1451</v>
      </c>
      <c r="W899" t="s">
        <v>121</v>
      </c>
      <c r="X899" t="s">
        <v>1</v>
      </c>
      <c r="Y899">
        <v>1189413.72</v>
      </c>
      <c r="Z899">
        <v>30035700</v>
      </c>
      <c r="AA899">
        <v>870600</v>
      </c>
      <c r="AB899">
        <v>211</v>
      </c>
      <c r="AC899" s="34">
        <v>46007</v>
      </c>
      <c r="AD899" s="34">
        <v>46112</v>
      </c>
      <c r="AE899" t="s">
        <v>355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 t="s">
        <v>122</v>
      </c>
      <c r="AT899">
        <v>12420</v>
      </c>
      <c r="AU899">
        <v>491.83</v>
      </c>
      <c r="AV899">
        <v>18021420</v>
      </c>
      <c r="AW899">
        <v>713645.33</v>
      </c>
    </row>
    <row r="900" spans="1:49" hidden="1" x14ac:dyDescent="0.35">
      <c r="A900">
        <v>5844410</v>
      </c>
      <c r="B900">
        <v>5010005844401</v>
      </c>
      <c r="D900">
        <v>20209151333</v>
      </c>
      <c r="E900" t="s">
        <v>1211</v>
      </c>
      <c r="F900" t="s">
        <v>1</v>
      </c>
      <c r="G900" t="s">
        <v>23</v>
      </c>
      <c r="H900" t="s">
        <v>23</v>
      </c>
      <c r="I900">
        <v>6230</v>
      </c>
      <c r="J900">
        <v>1</v>
      </c>
      <c r="K900" t="s">
        <v>16</v>
      </c>
      <c r="L900">
        <v>11014</v>
      </c>
      <c r="M900" t="s">
        <v>232</v>
      </c>
      <c r="N900">
        <v>1</v>
      </c>
      <c r="O900" t="s">
        <v>119</v>
      </c>
      <c r="P900" t="s">
        <v>1406</v>
      </c>
      <c r="Q900">
        <v>2371.1999999999998</v>
      </c>
      <c r="R900">
        <v>96000</v>
      </c>
      <c r="S900">
        <v>120</v>
      </c>
      <c r="T900">
        <v>800</v>
      </c>
      <c r="U900">
        <v>26</v>
      </c>
      <c r="V900">
        <v>1451</v>
      </c>
      <c r="W900" t="s">
        <v>121</v>
      </c>
      <c r="X900" t="s">
        <v>1</v>
      </c>
      <c r="Y900">
        <v>3440611.2</v>
      </c>
      <c r="Z900">
        <v>139296000</v>
      </c>
      <c r="AA900">
        <v>1160800</v>
      </c>
      <c r="AB900">
        <v>106</v>
      </c>
      <c r="AC900" s="34">
        <v>46011</v>
      </c>
      <c r="AD900" s="34">
        <v>46173</v>
      </c>
      <c r="AF900">
        <v>0</v>
      </c>
      <c r="AG900">
        <v>2371.1999999999998</v>
      </c>
      <c r="AH900">
        <v>0</v>
      </c>
      <c r="AI900">
        <v>3440611.2</v>
      </c>
      <c r="AJ900">
        <v>0</v>
      </c>
      <c r="AK900">
        <v>0</v>
      </c>
      <c r="AL900">
        <v>877361.66</v>
      </c>
      <c r="AM900">
        <v>0</v>
      </c>
      <c r="AN900">
        <v>4317972.8600000003</v>
      </c>
      <c r="AO900" t="s">
        <v>122</v>
      </c>
      <c r="AP900">
        <v>15</v>
      </c>
      <c r="AQ900">
        <v>355.68</v>
      </c>
      <c r="AR900">
        <v>516091.68</v>
      </c>
      <c r="AT900">
        <v>57600</v>
      </c>
      <c r="AU900">
        <v>1422.72</v>
      </c>
      <c r="AV900">
        <v>83577600</v>
      </c>
      <c r="AW900">
        <v>2064366.72</v>
      </c>
    </row>
    <row r="901" spans="1:49" hidden="1" x14ac:dyDescent="0.35">
      <c r="A901">
        <v>5844510</v>
      </c>
      <c r="B901">
        <v>1170005844501</v>
      </c>
      <c r="D901">
        <v>30717022447</v>
      </c>
      <c r="E901" t="s">
        <v>1407</v>
      </c>
      <c r="F901" t="s">
        <v>1</v>
      </c>
      <c r="G901" t="s">
        <v>226</v>
      </c>
      <c r="H901" t="s">
        <v>63</v>
      </c>
      <c r="I901">
        <v>2535</v>
      </c>
      <c r="J901">
        <v>12</v>
      </c>
      <c r="K901" t="s">
        <v>34</v>
      </c>
      <c r="L901">
        <v>83429</v>
      </c>
      <c r="M901" t="s">
        <v>140</v>
      </c>
      <c r="N901">
        <v>1</v>
      </c>
      <c r="O901" t="s">
        <v>119</v>
      </c>
      <c r="P901" t="s">
        <v>1408</v>
      </c>
      <c r="Q901">
        <v>1535907</v>
      </c>
      <c r="R901">
        <v>74250000</v>
      </c>
      <c r="S901">
        <v>100</v>
      </c>
      <c r="T901">
        <v>742500</v>
      </c>
      <c r="U901">
        <v>1</v>
      </c>
      <c r="V901">
        <v>1</v>
      </c>
      <c r="W901" t="s">
        <v>127</v>
      </c>
      <c r="X901">
        <v>29700</v>
      </c>
      <c r="Y901">
        <v>1535907</v>
      </c>
      <c r="Z901">
        <v>74250000</v>
      </c>
      <c r="AA901">
        <v>742500</v>
      </c>
      <c r="AB901">
        <v>210</v>
      </c>
      <c r="AC901" s="34">
        <v>46005</v>
      </c>
      <c r="AD901" s="34">
        <v>46188</v>
      </c>
      <c r="AF901">
        <v>0</v>
      </c>
      <c r="AG901">
        <v>2149983</v>
      </c>
      <c r="AH901">
        <v>120</v>
      </c>
      <c r="AI901">
        <v>2149983</v>
      </c>
      <c r="AJ901">
        <v>120</v>
      </c>
      <c r="AK901">
        <v>0</v>
      </c>
      <c r="AL901">
        <v>550426.38</v>
      </c>
      <c r="AM901">
        <v>0</v>
      </c>
      <c r="AN901">
        <v>2700529.38</v>
      </c>
      <c r="AO901" t="s">
        <v>122</v>
      </c>
      <c r="AP901">
        <v>15</v>
      </c>
      <c r="AQ901">
        <v>322497.45</v>
      </c>
      <c r="AR901">
        <v>322497.45</v>
      </c>
      <c r="AT901">
        <v>44550000</v>
      </c>
      <c r="AU901">
        <v>921472.2</v>
      </c>
      <c r="AV901">
        <v>44550000</v>
      </c>
      <c r="AW901">
        <v>921472.2</v>
      </c>
    </row>
    <row r="902" spans="1:49" hidden="1" x14ac:dyDescent="0.35">
      <c r="A902">
        <v>5844510</v>
      </c>
      <c r="B902">
        <v>1170005844501</v>
      </c>
      <c r="D902">
        <v>30717022447</v>
      </c>
      <c r="E902" t="s">
        <v>1407</v>
      </c>
      <c r="F902" t="s">
        <v>1</v>
      </c>
      <c r="G902" t="s">
        <v>226</v>
      </c>
      <c r="H902" t="s">
        <v>63</v>
      </c>
      <c r="I902">
        <v>2535</v>
      </c>
      <c r="J902">
        <v>12</v>
      </c>
      <c r="K902" t="s">
        <v>34</v>
      </c>
      <c r="L902">
        <v>83429</v>
      </c>
      <c r="M902" t="s">
        <v>140</v>
      </c>
      <c r="N902">
        <v>2</v>
      </c>
      <c r="O902" t="s">
        <v>119</v>
      </c>
      <c r="P902" t="s">
        <v>1409</v>
      </c>
      <c r="Q902">
        <v>199584</v>
      </c>
      <c r="R902">
        <v>9652500</v>
      </c>
      <c r="S902">
        <v>13</v>
      </c>
      <c r="T902">
        <v>742500</v>
      </c>
      <c r="U902">
        <v>1</v>
      </c>
      <c r="V902">
        <v>1</v>
      </c>
      <c r="W902" t="s">
        <v>127</v>
      </c>
      <c r="X902">
        <v>29700</v>
      </c>
      <c r="Y902">
        <v>199584</v>
      </c>
      <c r="Z902">
        <v>9652500</v>
      </c>
      <c r="AA902">
        <v>742500</v>
      </c>
      <c r="AB902">
        <v>210</v>
      </c>
      <c r="AC902" s="34">
        <v>46005</v>
      </c>
      <c r="AD902" s="34">
        <v>46188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 t="s">
        <v>122</v>
      </c>
      <c r="AT902">
        <v>5791500</v>
      </c>
      <c r="AU902">
        <v>119750.39999999999</v>
      </c>
      <c r="AV902">
        <v>5791500</v>
      </c>
      <c r="AW902">
        <v>119750.39999999999</v>
      </c>
    </row>
    <row r="903" spans="1:49" hidden="1" x14ac:dyDescent="0.35">
      <c r="A903">
        <v>5844510</v>
      </c>
      <c r="B903">
        <v>1170005844501</v>
      </c>
      <c r="D903">
        <v>30717022447</v>
      </c>
      <c r="E903" t="s">
        <v>1407</v>
      </c>
      <c r="F903" t="s">
        <v>1</v>
      </c>
      <c r="G903" t="s">
        <v>226</v>
      </c>
      <c r="H903" t="s">
        <v>63</v>
      </c>
      <c r="I903">
        <v>2535</v>
      </c>
      <c r="J903">
        <v>12</v>
      </c>
      <c r="K903" t="s">
        <v>34</v>
      </c>
      <c r="L903">
        <v>83429</v>
      </c>
      <c r="M903" t="s">
        <v>140</v>
      </c>
      <c r="N903">
        <v>3</v>
      </c>
      <c r="O903" t="s">
        <v>119</v>
      </c>
      <c r="P903" t="s">
        <v>1410</v>
      </c>
      <c r="Q903">
        <v>414612</v>
      </c>
      <c r="R903">
        <v>20047500</v>
      </c>
      <c r="S903">
        <v>27</v>
      </c>
      <c r="T903">
        <v>742500</v>
      </c>
      <c r="U903">
        <v>1</v>
      </c>
      <c r="V903">
        <v>1</v>
      </c>
      <c r="W903" t="s">
        <v>127</v>
      </c>
      <c r="X903">
        <v>29700</v>
      </c>
      <c r="Y903">
        <v>414612</v>
      </c>
      <c r="Z903">
        <v>20047500</v>
      </c>
      <c r="AA903">
        <v>742500</v>
      </c>
      <c r="AB903">
        <v>210</v>
      </c>
      <c r="AC903" s="34">
        <v>46005</v>
      </c>
      <c r="AD903" s="34">
        <v>46188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 t="s">
        <v>122</v>
      </c>
      <c r="AT903">
        <v>12028500</v>
      </c>
      <c r="AU903">
        <v>248767.2</v>
      </c>
      <c r="AV903">
        <v>12028500</v>
      </c>
      <c r="AW903">
        <v>248767.2</v>
      </c>
    </row>
    <row r="904" spans="1:49" hidden="1" x14ac:dyDescent="0.35">
      <c r="A904">
        <v>5844610</v>
      </c>
      <c r="B904">
        <v>1170005844601</v>
      </c>
      <c r="D904">
        <v>23238019109</v>
      </c>
      <c r="E904" t="s">
        <v>142</v>
      </c>
      <c r="F904" t="s">
        <v>1</v>
      </c>
      <c r="G904" t="s">
        <v>226</v>
      </c>
      <c r="H904" t="s">
        <v>63</v>
      </c>
      <c r="I904">
        <v>2535</v>
      </c>
      <c r="J904">
        <v>12</v>
      </c>
      <c r="K904" t="s">
        <v>34</v>
      </c>
      <c r="L904">
        <v>83429</v>
      </c>
      <c r="M904" t="s">
        <v>140</v>
      </c>
      <c r="N904">
        <v>1</v>
      </c>
      <c r="O904" t="s">
        <v>119</v>
      </c>
      <c r="P904" t="s">
        <v>1411</v>
      </c>
      <c r="Q904">
        <v>952182</v>
      </c>
      <c r="R904">
        <v>46035000</v>
      </c>
      <c r="S904">
        <v>62</v>
      </c>
      <c r="T904">
        <v>742500</v>
      </c>
      <c r="U904">
        <v>1</v>
      </c>
      <c r="V904">
        <v>1</v>
      </c>
      <c r="W904" t="s">
        <v>127</v>
      </c>
      <c r="X904">
        <v>29700</v>
      </c>
      <c r="Y904">
        <v>952182</v>
      </c>
      <c r="Z904">
        <v>46035000</v>
      </c>
      <c r="AA904">
        <v>742500</v>
      </c>
      <c r="AB904">
        <v>210</v>
      </c>
      <c r="AC904" s="34">
        <v>46005</v>
      </c>
      <c r="AD904" s="34">
        <v>46188</v>
      </c>
      <c r="AF904">
        <v>0</v>
      </c>
      <c r="AG904">
        <v>1197801</v>
      </c>
      <c r="AH904">
        <v>0</v>
      </c>
      <c r="AI904">
        <v>1197801</v>
      </c>
      <c r="AJ904">
        <v>0</v>
      </c>
      <c r="AK904">
        <v>0</v>
      </c>
      <c r="AL904">
        <v>306637.07</v>
      </c>
      <c r="AM904">
        <v>0</v>
      </c>
      <c r="AN904">
        <v>1504438.07</v>
      </c>
      <c r="AO904" t="s">
        <v>122</v>
      </c>
      <c r="AP904">
        <v>15</v>
      </c>
      <c r="AQ904">
        <v>179670.15</v>
      </c>
      <c r="AR904">
        <v>179670.15</v>
      </c>
      <c r="AT904">
        <v>27621000</v>
      </c>
      <c r="AU904">
        <v>571309.19999999995</v>
      </c>
      <c r="AV904">
        <v>27621000</v>
      </c>
      <c r="AW904">
        <v>571309.19999999995</v>
      </c>
    </row>
    <row r="905" spans="1:49" hidden="1" x14ac:dyDescent="0.35">
      <c r="A905">
        <v>5844610</v>
      </c>
      <c r="B905">
        <v>1170005844601</v>
      </c>
      <c r="D905">
        <v>23238019109</v>
      </c>
      <c r="E905" t="s">
        <v>142</v>
      </c>
      <c r="F905" t="s">
        <v>1</v>
      </c>
      <c r="G905" t="s">
        <v>226</v>
      </c>
      <c r="H905" t="s">
        <v>63</v>
      </c>
      <c r="I905">
        <v>2535</v>
      </c>
      <c r="J905">
        <v>12</v>
      </c>
      <c r="K905" t="s">
        <v>34</v>
      </c>
      <c r="L905">
        <v>83429</v>
      </c>
      <c r="M905" t="s">
        <v>140</v>
      </c>
      <c r="N905">
        <v>2</v>
      </c>
      <c r="O905" t="s">
        <v>119</v>
      </c>
      <c r="P905" t="s">
        <v>1412</v>
      </c>
      <c r="Q905">
        <v>245619</v>
      </c>
      <c r="R905">
        <v>11880000</v>
      </c>
      <c r="S905">
        <v>16</v>
      </c>
      <c r="T905">
        <v>742500</v>
      </c>
      <c r="U905">
        <v>1</v>
      </c>
      <c r="V905">
        <v>1</v>
      </c>
      <c r="W905" t="s">
        <v>127</v>
      </c>
      <c r="X905">
        <v>29700</v>
      </c>
      <c r="Y905">
        <v>245619</v>
      </c>
      <c r="Z905">
        <v>11880000</v>
      </c>
      <c r="AA905">
        <v>742500</v>
      </c>
      <c r="AB905">
        <v>210</v>
      </c>
      <c r="AC905" s="34">
        <v>46005</v>
      </c>
      <c r="AD905" s="34">
        <v>46188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 t="s">
        <v>122</v>
      </c>
      <c r="AT905">
        <v>7128000</v>
      </c>
      <c r="AU905">
        <v>147371.4</v>
      </c>
      <c r="AV905">
        <v>7128000</v>
      </c>
      <c r="AW905">
        <v>147371.4</v>
      </c>
    </row>
    <row r="906" spans="1:49" hidden="1" x14ac:dyDescent="0.35">
      <c r="A906">
        <v>5844710</v>
      </c>
      <c r="B906">
        <v>1170005844701</v>
      </c>
      <c r="D906">
        <v>20214217075</v>
      </c>
      <c r="E906" t="s">
        <v>148</v>
      </c>
      <c r="F906" t="s">
        <v>1</v>
      </c>
      <c r="G906" t="s">
        <v>226</v>
      </c>
      <c r="H906" t="s">
        <v>63</v>
      </c>
      <c r="I906">
        <v>2535</v>
      </c>
      <c r="J906">
        <v>12</v>
      </c>
      <c r="K906" t="s">
        <v>34</v>
      </c>
      <c r="L906">
        <v>83429</v>
      </c>
      <c r="M906" t="s">
        <v>140</v>
      </c>
      <c r="N906">
        <v>1</v>
      </c>
      <c r="O906" t="s">
        <v>119</v>
      </c>
      <c r="P906" t="s">
        <v>1413</v>
      </c>
      <c r="Q906">
        <v>983070</v>
      </c>
      <c r="R906">
        <v>47520000</v>
      </c>
      <c r="S906">
        <v>64</v>
      </c>
      <c r="T906">
        <v>742500</v>
      </c>
      <c r="U906">
        <v>1</v>
      </c>
      <c r="V906">
        <v>1</v>
      </c>
      <c r="W906" t="s">
        <v>127</v>
      </c>
      <c r="X906">
        <v>29700</v>
      </c>
      <c r="Y906">
        <v>983070</v>
      </c>
      <c r="Z906">
        <v>47520000</v>
      </c>
      <c r="AA906">
        <v>742500</v>
      </c>
      <c r="AB906">
        <v>210</v>
      </c>
      <c r="AC906" s="34">
        <v>46007</v>
      </c>
      <c r="AD906" s="34">
        <v>46188</v>
      </c>
      <c r="AF906">
        <v>0</v>
      </c>
      <c r="AG906">
        <v>2119689</v>
      </c>
      <c r="AH906">
        <v>0</v>
      </c>
      <c r="AI906">
        <v>2119689</v>
      </c>
      <c r="AJ906">
        <v>0</v>
      </c>
      <c r="AK906">
        <v>0</v>
      </c>
      <c r="AL906">
        <v>542640.39</v>
      </c>
      <c r="AM906">
        <v>0</v>
      </c>
      <c r="AN906">
        <v>2662329.39</v>
      </c>
      <c r="AO906" t="s">
        <v>122</v>
      </c>
      <c r="AP906">
        <v>15</v>
      </c>
      <c r="AQ906">
        <v>317953.34999999998</v>
      </c>
      <c r="AR906">
        <v>317953.34999999998</v>
      </c>
      <c r="AT906">
        <v>28512000</v>
      </c>
      <c r="AU906">
        <v>589842</v>
      </c>
      <c r="AV906">
        <v>28512000</v>
      </c>
      <c r="AW906">
        <v>589842</v>
      </c>
    </row>
    <row r="907" spans="1:49" hidden="1" x14ac:dyDescent="0.35">
      <c r="A907">
        <v>5844710</v>
      </c>
      <c r="B907">
        <v>1170005844701</v>
      </c>
      <c r="D907">
        <v>20214217075</v>
      </c>
      <c r="E907" t="s">
        <v>148</v>
      </c>
      <c r="F907" t="s">
        <v>1</v>
      </c>
      <c r="G907" t="s">
        <v>226</v>
      </c>
      <c r="H907" t="s">
        <v>63</v>
      </c>
      <c r="I907">
        <v>2535</v>
      </c>
      <c r="J907">
        <v>12</v>
      </c>
      <c r="K907" t="s">
        <v>34</v>
      </c>
      <c r="L907">
        <v>83429</v>
      </c>
      <c r="M907" t="s">
        <v>140</v>
      </c>
      <c r="N907">
        <v>2</v>
      </c>
      <c r="O907" t="s">
        <v>119</v>
      </c>
      <c r="P907" t="s">
        <v>1414</v>
      </c>
      <c r="Q907">
        <v>199584</v>
      </c>
      <c r="R907">
        <v>9652500</v>
      </c>
      <c r="S907">
        <v>13</v>
      </c>
      <c r="T907">
        <v>742500</v>
      </c>
      <c r="U907">
        <v>1</v>
      </c>
      <c r="V907">
        <v>1</v>
      </c>
      <c r="W907" t="s">
        <v>127</v>
      </c>
      <c r="X907">
        <v>29700</v>
      </c>
      <c r="Y907">
        <v>199584</v>
      </c>
      <c r="Z907">
        <v>9652500</v>
      </c>
      <c r="AA907">
        <v>742500</v>
      </c>
      <c r="AB907">
        <v>210</v>
      </c>
      <c r="AC907" s="34">
        <v>46007</v>
      </c>
      <c r="AD907" s="34">
        <v>46188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 t="s">
        <v>122</v>
      </c>
      <c r="AT907">
        <v>5791500</v>
      </c>
      <c r="AU907">
        <v>119750.39999999999</v>
      </c>
      <c r="AV907">
        <v>5791500</v>
      </c>
      <c r="AW907">
        <v>119750.39999999999</v>
      </c>
    </row>
    <row r="908" spans="1:49" hidden="1" x14ac:dyDescent="0.35">
      <c r="A908">
        <v>5844710</v>
      </c>
      <c r="B908">
        <v>1170005844701</v>
      </c>
      <c r="D908">
        <v>20214217075</v>
      </c>
      <c r="E908" t="s">
        <v>148</v>
      </c>
      <c r="F908" t="s">
        <v>1</v>
      </c>
      <c r="G908" t="s">
        <v>226</v>
      </c>
      <c r="H908" t="s">
        <v>63</v>
      </c>
      <c r="I908">
        <v>2535</v>
      </c>
      <c r="J908">
        <v>12</v>
      </c>
      <c r="K908" t="s">
        <v>34</v>
      </c>
      <c r="L908">
        <v>83429</v>
      </c>
      <c r="M908" t="s">
        <v>140</v>
      </c>
      <c r="N908">
        <v>3</v>
      </c>
      <c r="O908" t="s">
        <v>119</v>
      </c>
      <c r="P908" t="s">
        <v>1415</v>
      </c>
      <c r="Q908">
        <v>768042</v>
      </c>
      <c r="R908">
        <v>37125000</v>
      </c>
      <c r="S908">
        <v>50</v>
      </c>
      <c r="T908">
        <v>742500</v>
      </c>
      <c r="U908">
        <v>1</v>
      </c>
      <c r="V908">
        <v>1</v>
      </c>
      <c r="W908" t="s">
        <v>127</v>
      </c>
      <c r="X908">
        <v>29700</v>
      </c>
      <c r="Y908">
        <v>768042</v>
      </c>
      <c r="Z908">
        <v>37125000</v>
      </c>
      <c r="AA908">
        <v>742500</v>
      </c>
      <c r="AB908">
        <v>210</v>
      </c>
      <c r="AC908" s="34">
        <v>46007</v>
      </c>
      <c r="AD908" s="34">
        <v>46188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 t="s">
        <v>122</v>
      </c>
      <c r="AT908">
        <v>22275000</v>
      </c>
      <c r="AU908">
        <v>460825.2</v>
      </c>
      <c r="AV908">
        <v>22275000</v>
      </c>
      <c r="AW908">
        <v>460825.2</v>
      </c>
    </row>
    <row r="909" spans="1:49" hidden="1" x14ac:dyDescent="0.35">
      <c r="A909">
        <v>5844710</v>
      </c>
      <c r="B909">
        <v>1170005844701</v>
      </c>
      <c r="D909">
        <v>20214217075</v>
      </c>
      <c r="E909" t="s">
        <v>148</v>
      </c>
      <c r="F909" t="s">
        <v>1</v>
      </c>
      <c r="G909" t="s">
        <v>226</v>
      </c>
      <c r="H909" t="s">
        <v>63</v>
      </c>
      <c r="I909">
        <v>2535</v>
      </c>
      <c r="J909">
        <v>12</v>
      </c>
      <c r="K909" t="s">
        <v>34</v>
      </c>
      <c r="L909">
        <v>83429</v>
      </c>
      <c r="M909" t="s">
        <v>140</v>
      </c>
      <c r="N909">
        <v>4</v>
      </c>
      <c r="O909" t="s">
        <v>119</v>
      </c>
      <c r="P909" t="s">
        <v>1416</v>
      </c>
      <c r="Q909">
        <v>168993</v>
      </c>
      <c r="R909">
        <v>8167500</v>
      </c>
      <c r="S909">
        <v>11</v>
      </c>
      <c r="T909">
        <v>742500</v>
      </c>
      <c r="U909">
        <v>1</v>
      </c>
      <c r="V909">
        <v>1</v>
      </c>
      <c r="W909" t="s">
        <v>127</v>
      </c>
      <c r="X909">
        <v>29700</v>
      </c>
      <c r="Y909">
        <v>168993</v>
      </c>
      <c r="Z909">
        <v>8167500</v>
      </c>
      <c r="AA909">
        <v>742500</v>
      </c>
      <c r="AB909">
        <v>210</v>
      </c>
      <c r="AC909" s="34">
        <v>46007</v>
      </c>
      <c r="AD909" s="34">
        <v>46188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 t="s">
        <v>122</v>
      </c>
      <c r="AT909">
        <v>4900500</v>
      </c>
      <c r="AU909">
        <v>101395.8</v>
      </c>
      <c r="AV909">
        <v>4900500</v>
      </c>
      <c r="AW909">
        <v>101395.8</v>
      </c>
    </row>
    <row r="910" spans="1:49" hidden="1" x14ac:dyDescent="0.35">
      <c r="A910">
        <v>5844810</v>
      </c>
      <c r="B910">
        <v>1250005844801</v>
      </c>
      <c r="D910">
        <v>20066090605</v>
      </c>
      <c r="E910" t="s">
        <v>1417</v>
      </c>
      <c r="F910" t="s">
        <v>1</v>
      </c>
      <c r="G910" t="s">
        <v>174</v>
      </c>
      <c r="H910" t="s">
        <v>51</v>
      </c>
      <c r="I910">
        <v>5929</v>
      </c>
      <c r="J910">
        <v>3</v>
      </c>
      <c r="K910" t="s">
        <v>32</v>
      </c>
      <c r="L910">
        <v>6435</v>
      </c>
      <c r="M910" t="s">
        <v>175</v>
      </c>
      <c r="N910">
        <v>1</v>
      </c>
      <c r="O910" t="s">
        <v>119</v>
      </c>
      <c r="P910" t="s">
        <v>1418</v>
      </c>
      <c r="Q910">
        <v>4691115</v>
      </c>
      <c r="R910">
        <v>86872500</v>
      </c>
      <c r="S910">
        <v>117</v>
      </c>
      <c r="T910">
        <v>742500</v>
      </c>
      <c r="U910">
        <v>1</v>
      </c>
      <c r="V910">
        <v>1</v>
      </c>
      <c r="W910" t="s">
        <v>127</v>
      </c>
      <c r="X910">
        <v>29700</v>
      </c>
      <c r="Y910">
        <v>4691115</v>
      </c>
      <c r="Z910">
        <v>86872500</v>
      </c>
      <c r="AA910">
        <v>742500</v>
      </c>
      <c r="AB910">
        <v>105</v>
      </c>
      <c r="AC910" s="34">
        <v>45968</v>
      </c>
      <c r="AD910" s="34">
        <v>46173</v>
      </c>
      <c r="AF910">
        <v>0</v>
      </c>
      <c r="AG910">
        <v>4691115</v>
      </c>
      <c r="AH910">
        <v>0</v>
      </c>
      <c r="AI910">
        <v>4691115</v>
      </c>
      <c r="AJ910">
        <v>0</v>
      </c>
      <c r="AK910">
        <v>0</v>
      </c>
      <c r="AL910">
        <v>1083647.57</v>
      </c>
      <c r="AM910">
        <v>0</v>
      </c>
      <c r="AN910">
        <v>5774762.5700000003</v>
      </c>
      <c r="AO910" t="s">
        <v>1419</v>
      </c>
      <c r="AP910">
        <v>15</v>
      </c>
      <c r="AQ910">
        <v>703667.25</v>
      </c>
      <c r="AR910">
        <v>703667.25</v>
      </c>
      <c r="AT910">
        <v>52123500</v>
      </c>
      <c r="AU910">
        <v>2814669</v>
      </c>
      <c r="AV910">
        <v>52123500</v>
      </c>
      <c r="AW910">
        <v>2814669</v>
      </c>
    </row>
    <row r="911" spans="1:49" hidden="1" x14ac:dyDescent="0.35">
      <c r="A911">
        <v>5844910</v>
      </c>
      <c r="B911">
        <v>5010005844901</v>
      </c>
      <c r="D911">
        <v>27049380289</v>
      </c>
      <c r="E911" t="s">
        <v>1420</v>
      </c>
      <c r="F911" t="s">
        <v>1</v>
      </c>
      <c r="G911" t="s">
        <v>39</v>
      </c>
      <c r="H911" t="s">
        <v>39</v>
      </c>
      <c r="I911">
        <v>6640</v>
      </c>
      <c r="J911">
        <v>1</v>
      </c>
      <c r="K911" t="s">
        <v>16</v>
      </c>
      <c r="L911">
        <v>6586</v>
      </c>
      <c r="M911" t="s">
        <v>1421</v>
      </c>
      <c r="N911">
        <v>1</v>
      </c>
      <c r="O911" t="s">
        <v>119</v>
      </c>
      <c r="P911" t="s">
        <v>1422</v>
      </c>
      <c r="Q911">
        <v>1334.76</v>
      </c>
      <c r="R911">
        <v>56000</v>
      </c>
      <c r="S911">
        <v>70</v>
      </c>
      <c r="T911">
        <v>800</v>
      </c>
      <c r="U911">
        <v>26</v>
      </c>
      <c r="V911">
        <v>1450</v>
      </c>
      <c r="W911" t="s">
        <v>121</v>
      </c>
      <c r="X911" t="s">
        <v>1</v>
      </c>
      <c r="Y911">
        <v>1935402</v>
      </c>
      <c r="Z911">
        <v>81200000</v>
      </c>
      <c r="AA911">
        <v>1160000</v>
      </c>
      <c r="AB911">
        <v>106</v>
      </c>
      <c r="AC911" s="34">
        <v>46014</v>
      </c>
      <c r="AD911" s="34">
        <v>46142</v>
      </c>
      <c r="AF911">
        <v>0</v>
      </c>
      <c r="AG911">
        <v>1334.76</v>
      </c>
      <c r="AH911">
        <v>0</v>
      </c>
      <c r="AI911">
        <v>1935402</v>
      </c>
      <c r="AJ911">
        <v>0</v>
      </c>
      <c r="AK911">
        <v>0</v>
      </c>
      <c r="AL911">
        <v>485779</v>
      </c>
      <c r="AM911">
        <v>0</v>
      </c>
      <c r="AN911">
        <v>2421181</v>
      </c>
      <c r="AO911" t="s">
        <v>122</v>
      </c>
      <c r="AP911">
        <v>15</v>
      </c>
      <c r="AQ911">
        <v>200.21</v>
      </c>
      <c r="AR911">
        <v>290304.5</v>
      </c>
      <c r="AT911">
        <v>33600</v>
      </c>
      <c r="AU911">
        <v>800.86</v>
      </c>
      <c r="AV911">
        <v>48720000</v>
      </c>
      <c r="AW911">
        <v>1161247</v>
      </c>
    </row>
    <row r="912" spans="1:49" hidden="1" x14ac:dyDescent="0.35">
      <c r="A912">
        <v>5845010</v>
      </c>
      <c r="B912">
        <v>5010005845001</v>
      </c>
      <c r="D912">
        <v>27049380289</v>
      </c>
      <c r="E912" t="s">
        <v>1420</v>
      </c>
      <c r="F912" t="s">
        <v>1</v>
      </c>
      <c r="G912" t="s">
        <v>39</v>
      </c>
      <c r="H912" t="s">
        <v>39</v>
      </c>
      <c r="I912">
        <v>6640</v>
      </c>
      <c r="J912">
        <v>1</v>
      </c>
      <c r="K912" t="s">
        <v>16</v>
      </c>
      <c r="L912">
        <v>6586</v>
      </c>
      <c r="M912" t="s">
        <v>1421</v>
      </c>
      <c r="N912">
        <v>1</v>
      </c>
      <c r="O912" t="s">
        <v>119</v>
      </c>
      <c r="P912" t="s">
        <v>1423</v>
      </c>
      <c r="Q912">
        <v>3127.76</v>
      </c>
      <c r="R912">
        <v>120600</v>
      </c>
      <c r="S912">
        <v>201</v>
      </c>
      <c r="T912">
        <v>600</v>
      </c>
      <c r="U912">
        <v>26</v>
      </c>
      <c r="V912">
        <v>1450</v>
      </c>
      <c r="W912" t="s">
        <v>121</v>
      </c>
      <c r="X912" t="s">
        <v>1</v>
      </c>
      <c r="Y912">
        <v>4535252</v>
      </c>
      <c r="Z912">
        <v>174870000</v>
      </c>
      <c r="AA912">
        <v>870000</v>
      </c>
      <c r="AB912">
        <v>106</v>
      </c>
      <c r="AC912" s="34">
        <v>46014</v>
      </c>
      <c r="AD912" s="34">
        <v>46173</v>
      </c>
      <c r="AF912">
        <v>0</v>
      </c>
      <c r="AG912">
        <v>3127.76</v>
      </c>
      <c r="AH912">
        <v>0</v>
      </c>
      <c r="AI912">
        <v>4535252</v>
      </c>
      <c r="AJ912">
        <v>0</v>
      </c>
      <c r="AK912">
        <v>0</v>
      </c>
      <c r="AL912">
        <v>1138351.5</v>
      </c>
      <c r="AM912">
        <v>0</v>
      </c>
      <c r="AN912">
        <v>5673603.5</v>
      </c>
      <c r="AO912" t="s">
        <v>122</v>
      </c>
      <c r="AP912">
        <v>15</v>
      </c>
      <c r="AQ912">
        <v>469.16</v>
      </c>
      <c r="AR912">
        <v>680282</v>
      </c>
      <c r="AT912">
        <v>72360</v>
      </c>
      <c r="AU912">
        <v>1876.66</v>
      </c>
      <c r="AV912">
        <v>104922000</v>
      </c>
      <c r="AW912">
        <v>2721157</v>
      </c>
    </row>
    <row r="913" spans="1:49" hidden="1" x14ac:dyDescent="0.35">
      <c r="A913">
        <v>5845110</v>
      </c>
      <c r="B913">
        <v>1090005845101</v>
      </c>
      <c r="D913">
        <v>30708777109</v>
      </c>
      <c r="E913" t="s">
        <v>369</v>
      </c>
      <c r="F913" t="s">
        <v>1</v>
      </c>
      <c r="G913" t="s">
        <v>370</v>
      </c>
      <c r="H913" t="s">
        <v>58</v>
      </c>
      <c r="I913">
        <v>6333</v>
      </c>
      <c r="J913">
        <v>21</v>
      </c>
      <c r="K913" t="s">
        <v>33</v>
      </c>
      <c r="L913">
        <v>6864</v>
      </c>
      <c r="M913" t="s">
        <v>371</v>
      </c>
      <c r="N913">
        <v>1</v>
      </c>
      <c r="O913" t="s">
        <v>119</v>
      </c>
      <c r="P913" t="s">
        <v>1424</v>
      </c>
      <c r="Q913">
        <v>2751840</v>
      </c>
      <c r="R913">
        <v>88200000</v>
      </c>
      <c r="S913">
        <v>147</v>
      </c>
      <c r="T913">
        <v>600000</v>
      </c>
      <c r="U913">
        <v>1</v>
      </c>
      <c r="V913">
        <v>1</v>
      </c>
      <c r="W913" t="s">
        <v>121</v>
      </c>
      <c r="X913" t="s">
        <v>1</v>
      </c>
      <c r="Y913">
        <v>2751840</v>
      </c>
      <c r="Z913">
        <v>88200000</v>
      </c>
      <c r="AA913">
        <v>600000</v>
      </c>
      <c r="AB913">
        <v>105</v>
      </c>
      <c r="AC913" s="34">
        <v>46006</v>
      </c>
      <c r="AD913" s="34">
        <v>46173</v>
      </c>
      <c r="AF913">
        <v>2</v>
      </c>
      <c r="AG913">
        <v>2751840</v>
      </c>
      <c r="AH913">
        <v>0</v>
      </c>
      <c r="AI913">
        <v>2751840</v>
      </c>
      <c r="AJ913">
        <v>0</v>
      </c>
      <c r="AK913">
        <v>0</v>
      </c>
      <c r="AL913">
        <v>690711.84</v>
      </c>
      <c r="AM913">
        <v>0</v>
      </c>
      <c r="AN913">
        <v>3442551.84</v>
      </c>
      <c r="AO913" t="s">
        <v>122</v>
      </c>
      <c r="AP913">
        <v>15</v>
      </c>
      <c r="AQ913">
        <v>412776</v>
      </c>
      <c r="AR913">
        <v>412776</v>
      </c>
      <c r="AT913">
        <v>52920000</v>
      </c>
      <c r="AU913">
        <v>1651104</v>
      </c>
      <c r="AV913">
        <v>52920000</v>
      </c>
      <c r="AW913">
        <v>1651104</v>
      </c>
    </row>
    <row r="914" spans="1:49" hidden="1" x14ac:dyDescent="0.35">
      <c r="A914">
        <v>5845210</v>
      </c>
      <c r="B914">
        <v>1090005845201</v>
      </c>
      <c r="D914">
        <v>30708777109</v>
      </c>
      <c r="E914" t="s">
        <v>369</v>
      </c>
      <c r="F914" t="s">
        <v>1</v>
      </c>
      <c r="G914" t="s">
        <v>370</v>
      </c>
      <c r="H914" t="s">
        <v>58</v>
      </c>
      <c r="I914">
        <v>6333</v>
      </c>
      <c r="J914">
        <v>21</v>
      </c>
      <c r="K914" t="s">
        <v>33</v>
      </c>
      <c r="L914">
        <v>6864</v>
      </c>
      <c r="M914" t="s">
        <v>371</v>
      </c>
      <c r="N914">
        <v>1</v>
      </c>
      <c r="O914" t="s">
        <v>119</v>
      </c>
      <c r="P914" t="s">
        <v>1425</v>
      </c>
      <c r="Q914">
        <v>2637360</v>
      </c>
      <c r="R914">
        <v>88800000</v>
      </c>
      <c r="S914">
        <v>148</v>
      </c>
      <c r="T914">
        <v>600000</v>
      </c>
      <c r="U914">
        <v>1</v>
      </c>
      <c r="V914">
        <v>1</v>
      </c>
      <c r="W914" t="s">
        <v>121</v>
      </c>
      <c r="X914" t="s">
        <v>1</v>
      </c>
      <c r="Y914">
        <v>2637360</v>
      </c>
      <c r="Z914">
        <v>88800000</v>
      </c>
      <c r="AA914">
        <v>600000</v>
      </c>
      <c r="AB914">
        <v>105</v>
      </c>
      <c r="AC914" s="34">
        <v>46006</v>
      </c>
      <c r="AD914" s="34">
        <v>46203</v>
      </c>
      <c r="AF914">
        <v>2</v>
      </c>
      <c r="AG914">
        <v>2637360</v>
      </c>
      <c r="AH914">
        <v>0</v>
      </c>
      <c r="AI914">
        <v>2637360</v>
      </c>
      <c r="AJ914">
        <v>0</v>
      </c>
      <c r="AK914">
        <v>0</v>
      </c>
      <c r="AL914">
        <v>661977.36</v>
      </c>
      <c r="AM914">
        <v>0</v>
      </c>
      <c r="AN914">
        <v>3299337.36</v>
      </c>
      <c r="AO914" t="s">
        <v>122</v>
      </c>
      <c r="AP914">
        <v>15</v>
      </c>
      <c r="AQ914">
        <v>395604</v>
      </c>
      <c r="AR914">
        <v>395604</v>
      </c>
      <c r="AT914">
        <v>53280000</v>
      </c>
      <c r="AU914">
        <v>1582416</v>
      </c>
      <c r="AV914">
        <v>53280000</v>
      </c>
      <c r="AW914">
        <v>1582416</v>
      </c>
    </row>
    <row r="915" spans="1:49" hidden="1" x14ac:dyDescent="0.35">
      <c r="A915">
        <v>5845310</v>
      </c>
      <c r="B915">
        <v>1090005845301</v>
      </c>
      <c r="D915">
        <v>20228489469</v>
      </c>
      <c r="E915" t="s">
        <v>1249</v>
      </c>
      <c r="F915" t="s">
        <v>1</v>
      </c>
      <c r="G915" t="s">
        <v>370</v>
      </c>
      <c r="H915" t="s">
        <v>58</v>
      </c>
      <c r="I915">
        <v>6333</v>
      </c>
      <c r="J915">
        <v>21</v>
      </c>
      <c r="K915" t="s">
        <v>33</v>
      </c>
      <c r="L915">
        <v>6864</v>
      </c>
      <c r="M915" t="s">
        <v>371</v>
      </c>
      <c r="N915">
        <v>1</v>
      </c>
      <c r="O915" t="s">
        <v>119</v>
      </c>
      <c r="P915" t="s">
        <v>1426</v>
      </c>
      <c r="Q915">
        <v>2386.8000000000002</v>
      </c>
      <c r="R915">
        <v>76500</v>
      </c>
      <c r="S915">
        <v>170</v>
      </c>
      <c r="T915">
        <v>450</v>
      </c>
      <c r="U915">
        <v>26</v>
      </c>
      <c r="V915">
        <v>1450</v>
      </c>
      <c r="W915" t="s">
        <v>121</v>
      </c>
      <c r="X915" t="s">
        <v>1</v>
      </c>
      <c r="Y915">
        <v>3460860</v>
      </c>
      <c r="Z915">
        <v>110925000</v>
      </c>
      <c r="AA915">
        <v>652500</v>
      </c>
      <c r="AB915">
        <v>106</v>
      </c>
      <c r="AC915" s="34">
        <v>46011</v>
      </c>
      <c r="AD915" s="34">
        <v>46173</v>
      </c>
      <c r="AF915">
        <v>1</v>
      </c>
      <c r="AG915">
        <v>2386.8000000000002</v>
      </c>
      <c r="AH915">
        <v>0</v>
      </c>
      <c r="AI915">
        <v>3460860</v>
      </c>
      <c r="AJ915">
        <v>0</v>
      </c>
      <c r="AK915">
        <v>0</v>
      </c>
      <c r="AL915">
        <v>868666</v>
      </c>
      <c r="AM915">
        <v>0</v>
      </c>
      <c r="AN915">
        <v>4329526</v>
      </c>
      <c r="AO915" t="s">
        <v>122</v>
      </c>
      <c r="AP915">
        <v>15</v>
      </c>
      <c r="AQ915">
        <v>358.02</v>
      </c>
      <c r="AR915">
        <v>519129</v>
      </c>
      <c r="AT915">
        <v>45900</v>
      </c>
      <c r="AU915">
        <v>1432.08</v>
      </c>
      <c r="AV915">
        <v>66555000</v>
      </c>
      <c r="AW915">
        <v>2076516</v>
      </c>
    </row>
    <row r="916" spans="1:49" hidden="1" x14ac:dyDescent="0.35">
      <c r="A916">
        <v>5845410</v>
      </c>
      <c r="B916">
        <v>1250005845401</v>
      </c>
      <c r="D916">
        <v>30606209653</v>
      </c>
      <c r="E916" t="s">
        <v>162</v>
      </c>
      <c r="F916" t="s">
        <v>1</v>
      </c>
      <c r="G916" t="s">
        <v>457</v>
      </c>
      <c r="H916" t="s">
        <v>48</v>
      </c>
      <c r="I916">
        <v>6128</v>
      </c>
      <c r="J916">
        <v>3</v>
      </c>
      <c r="K916" t="s">
        <v>32</v>
      </c>
      <c r="L916">
        <v>4401</v>
      </c>
      <c r="M916" t="s">
        <v>132</v>
      </c>
      <c r="N916">
        <v>1</v>
      </c>
      <c r="O916" t="s">
        <v>119</v>
      </c>
      <c r="P916" t="s">
        <v>1427</v>
      </c>
      <c r="Q916">
        <v>3400</v>
      </c>
      <c r="R916">
        <v>85000</v>
      </c>
      <c r="S916">
        <v>170</v>
      </c>
      <c r="T916">
        <v>500</v>
      </c>
      <c r="U916">
        <v>26</v>
      </c>
      <c r="V916">
        <v>1450</v>
      </c>
      <c r="W916" t="s">
        <v>121</v>
      </c>
      <c r="X916" t="s">
        <v>1</v>
      </c>
      <c r="Y916">
        <v>4930000</v>
      </c>
      <c r="Z916">
        <v>123250000</v>
      </c>
      <c r="AA916">
        <v>725000</v>
      </c>
      <c r="AB916">
        <v>106</v>
      </c>
      <c r="AC916" s="34">
        <v>46012</v>
      </c>
      <c r="AD916" s="34">
        <v>46173</v>
      </c>
      <c r="AF916">
        <v>0</v>
      </c>
      <c r="AG916">
        <v>3400</v>
      </c>
      <c r="AH916">
        <v>0</v>
      </c>
      <c r="AI916">
        <v>4930000</v>
      </c>
      <c r="AJ916">
        <v>0</v>
      </c>
      <c r="AK916">
        <v>0</v>
      </c>
      <c r="AL916">
        <v>1286730</v>
      </c>
      <c r="AM916">
        <v>0</v>
      </c>
      <c r="AN916">
        <v>6216730</v>
      </c>
      <c r="AO916" t="s">
        <v>122</v>
      </c>
      <c r="AP916">
        <v>15</v>
      </c>
      <c r="AQ916">
        <v>510</v>
      </c>
      <c r="AR916">
        <v>739500</v>
      </c>
      <c r="AT916">
        <v>51000</v>
      </c>
      <c r="AU916">
        <v>2040</v>
      </c>
      <c r="AV916">
        <v>73950000</v>
      </c>
      <c r="AW916">
        <v>2958000</v>
      </c>
    </row>
    <row r="917" spans="1:49" hidden="1" x14ac:dyDescent="0.35">
      <c r="A917">
        <v>5845510</v>
      </c>
      <c r="B917">
        <v>1250005845501</v>
      </c>
      <c r="D917">
        <v>20173532637</v>
      </c>
      <c r="E917" t="s">
        <v>1428</v>
      </c>
      <c r="F917" t="s">
        <v>1</v>
      </c>
      <c r="G917" t="s">
        <v>159</v>
      </c>
      <c r="H917" t="s">
        <v>48</v>
      </c>
      <c r="I917">
        <v>6120</v>
      </c>
      <c r="J917">
        <v>3</v>
      </c>
      <c r="K917" t="s">
        <v>32</v>
      </c>
      <c r="L917">
        <v>4401</v>
      </c>
      <c r="M917" t="s">
        <v>132</v>
      </c>
      <c r="N917">
        <v>1</v>
      </c>
      <c r="O917" t="s">
        <v>119</v>
      </c>
      <c r="P917" t="s">
        <v>1429</v>
      </c>
      <c r="Q917">
        <v>660</v>
      </c>
      <c r="R917">
        <v>16500</v>
      </c>
      <c r="S917">
        <v>33</v>
      </c>
      <c r="T917">
        <v>500</v>
      </c>
      <c r="U917">
        <v>26</v>
      </c>
      <c r="V917">
        <v>1450</v>
      </c>
      <c r="W917" t="s">
        <v>121</v>
      </c>
      <c r="X917" t="s">
        <v>1</v>
      </c>
      <c r="Y917">
        <v>957000</v>
      </c>
      <c r="Z917">
        <v>23925000</v>
      </c>
      <c r="AA917">
        <v>725000</v>
      </c>
      <c r="AB917">
        <v>106</v>
      </c>
      <c r="AC917" s="34">
        <v>46012</v>
      </c>
      <c r="AD917" s="34">
        <v>46173</v>
      </c>
      <c r="AF917">
        <v>0</v>
      </c>
      <c r="AG917">
        <v>660</v>
      </c>
      <c r="AH917">
        <v>0</v>
      </c>
      <c r="AI917">
        <v>957000</v>
      </c>
      <c r="AJ917">
        <v>0</v>
      </c>
      <c r="AK917">
        <v>0</v>
      </c>
      <c r="AL917">
        <v>249777</v>
      </c>
      <c r="AM917">
        <v>0</v>
      </c>
      <c r="AN917">
        <v>1206777</v>
      </c>
      <c r="AO917" t="s">
        <v>122</v>
      </c>
      <c r="AP917">
        <v>15</v>
      </c>
      <c r="AQ917">
        <v>99</v>
      </c>
      <c r="AR917">
        <v>143550</v>
      </c>
      <c r="AT917">
        <v>9900</v>
      </c>
      <c r="AU917">
        <v>396</v>
      </c>
      <c r="AV917">
        <v>14355000</v>
      </c>
      <c r="AW917">
        <v>574200</v>
      </c>
    </row>
    <row r="918" spans="1:49" hidden="1" x14ac:dyDescent="0.35">
      <c r="A918">
        <v>5845610</v>
      </c>
      <c r="B918">
        <v>1250005845601</v>
      </c>
      <c r="D918">
        <v>30707459286</v>
      </c>
      <c r="E918" t="s">
        <v>158</v>
      </c>
      <c r="F918" t="s">
        <v>1</v>
      </c>
      <c r="G918" t="s">
        <v>159</v>
      </c>
      <c r="H918" t="s">
        <v>48</v>
      </c>
      <c r="I918">
        <v>6120</v>
      </c>
      <c r="J918">
        <v>3</v>
      </c>
      <c r="K918" t="s">
        <v>32</v>
      </c>
      <c r="L918">
        <v>4401</v>
      </c>
      <c r="M918" t="s">
        <v>132</v>
      </c>
      <c r="N918">
        <v>1</v>
      </c>
      <c r="O918" t="s">
        <v>119</v>
      </c>
      <c r="P918" t="s">
        <v>1430</v>
      </c>
      <c r="Q918">
        <v>1406</v>
      </c>
      <c r="R918">
        <v>38000</v>
      </c>
      <c r="S918">
        <v>76</v>
      </c>
      <c r="T918">
        <v>500</v>
      </c>
      <c r="U918">
        <v>26</v>
      </c>
      <c r="V918">
        <v>1450</v>
      </c>
      <c r="W918" t="s">
        <v>121</v>
      </c>
      <c r="X918" t="s">
        <v>1</v>
      </c>
      <c r="Y918">
        <v>2038700</v>
      </c>
      <c r="Z918">
        <v>55100000</v>
      </c>
      <c r="AA918">
        <v>725000</v>
      </c>
      <c r="AB918">
        <v>106</v>
      </c>
      <c r="AC918" s="34">
        <v>46012</v>
      </c>
      <c r="AD918" s="34">
        <v>46173</v>
      </c>
      <c r="AE918" t="s">
        <v>161</v>
      </c>
      <c r="AF918">
        <v>0</v>
      </c>
      <c r="AG918">
        <v>4366</v>
      </c>
      <c r="AH918">
        <v>0</v>
      </c>
      <c r="AI918">
        <v>6330700</v>
      </c>
      <c r="AJ918">
        <v>0</v>
      </c>
      <c r="AK918">
        <v>0</v>
      </c>
      <c r="AL918">
        <v>1652318.5</v>
      </c>
      <c r="AM918">
        <v>0</v>
      </c>
      <c r="AN918">
        <v>7983018.5</v>
      </c>
      <c r="AO918" t="s">
        <v>122</v>
      </c>
      <c r="AP918">
        <v>15</v>
      </c>
      <c r="AQ918">
        <v>654.9</v>
      </c>
      <c r="AR918">
        <v>949605</v>
      </c>
      <c r="AT918">
        <v>22800</v>
      </c>
      <c r="AU918">
        <v>843.6</v>
      </c>
      <c r="AV918">
        <v>33060000</v>
      </c>
      <c r="AW918">
        <v>1223220</v>
      </c>
    </row>
    <row r="919" spans="1:49" hidden="1" x14ac:dyDescent="0.35">
      <c r="A919">
        <v>5845610</v>
      </c>
      <c r="B919">
        <v>1250005845601</v>
      </c>
      <c r="D919">
        <v>30707459286</v>
      </c>
      <c r="E919" t="s">
        <v>158</v>
      </c>
      <c r="F919" t="s">
        <v>1</v>
      </c>
      <c r="G919" t="s">
        <v>159</v>
      </c>
      <c r="H919" t="s">
        <v>48</v>
      </c>
      <c r="I919">
        <v>6120</v>
      </c>
      <c r="J919">
        <v>3</v>
      </c>
      <c r="K919" t="s">
        <v>32</v>
      </c>
      <c r="L919">
        <v>4401</v>
      </c>
      <c r="M919" t="s">
        <v>132</v>
      </c>
      <c r="N919">
        <v>2</v>
      </c>
      <c r="O919" t="s">
        <v>119</v>
      </c>
      <c r="P919" t="s">
        <v>1431</v>
      </c>
      <c r="Q919">
        <v>2960</v>
      </c>
      <c r="R919">
        <v>80000</v>
      </c>
      <c r="S919">
        <v>160</v>
      </c>
      <c r="T919">
        <v>500</v>
      </c>
      <c r="U919">
        <v>26</v>
      </c>
      <c r="V919">
        <v>1450</v>
      </c>
      <c r="W919" t="s">
        <v>121</v>
      </c>
      <c r="X919" t="s">
        <v>1</v>
      </c>
      <c r="Y919">
        <v>4292000</v>
      </c>
      <c r="Z919">
        <v>116000000</v>
      </c>
      <c r="AA919">
        <v>725000</v>
      </c>
      <c r="AB919">
        <v>106</v>
      </c>
      <c r="AC919" s="34">
        <v>46012</v>
      </c>
      <c r="AD919" s="34">
        <v>46173</v>
      </c>
      <c r="AE919" t="s">
        <v>161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 t="s">
        <v>122</v>
      </c>
      <c r="AT919">
        <v>48000</v>
      </c>
      <c r="AU919">
        <v>1776</v>
      </c>
      <c r="AV919">
        <v>69600000</v>
      </c>
      <c r="AW919">
        <v>2575200</v>
      </c>
    </row>
    <row r="920" spans="1:49" hidden="1" x14ac:dyDescent="0.35">
      <c r="A920">
        <v>5845710</v>
      </c>
      <c r="B920">
        <v>1250005845701</v>
      </c>
      <c r="D920">
        <v>20109349683</v>
      </c>
      <c r="E920" t="s">
        <v>431</v>
      </c>
      <c r="F920" t="s">
        <v>1</v>
      </c>
      <c r="G920" t="s">
        <v>432</v>
      </c>
      <c r="H920" t="s">
        <v>48</v>
      </c>
      <c r="I920">
        <v>6128</v>
      </c>
      <c r="J920">
        <v>3</v>
      </c>
      <c r="K920" t="s">
        <v>32</v>
      </c>
      <c r="L920">
        <v>4401</v>
      </c>
      <c r="M920" t="s">
        <v>132</v>
      </c>
      <c r="N920">
        <v>1</v>
      </c>
      <c r="O920" t="s">
        <v>119</v>
      </c>
      <c r="P920" t="s">
        <v>1432</v>
      </c>
      <c r="Q920">
        <v>1419.6</v>
      </c>
      <c r="R920">
        <v>36400</v>
      </c>
      <c r="S920">
        <v>91</v>
      </c>
      <c r="T920">
        <v>400</v>
      </c>
      <c r="U920">
        <v>26</v>
      </c>
      <c r="V920">
        <v>1450</v>
      </c>
      <c r="W920" t="s">
        <v>121</v>
      </c>
      <c r="X920" t="s">
        <v>1</v>
      </c>
      <c r="Y920">
        <v>2058420</v>
      </c>
      <c r="Z920">
        <v>52780000</v>
      </c>
      <c r="AA920">
        <v>580000</v>
      </c>
      <c r="AB920">
        <v>106</v>
      </c>
      <c r="AC920" s="34">
        <v>46012</v>
      </c>
      <c r="AD920" s="34">
        <v>46173</v>
      </c>
      <c r="AF920">
        <v>0</v>
      </c>
      <c r="AG920">
        <v>1419.6</v>
      </c>
      <c r="AH920">
        <v>0</v>
      </c>
      <c r="AI920">
        <v>2058420</v>
      </c>
      <c r="AJ920">
        <v>0</v>
      </c>
      <c r="AK920">
        <v>0</v>
      </c>
      <c r="AL920">
        <v>537268.5</v>
      </c>
      <c r="AM920">
        <v>0</v>
      </c>
      <c r="AN920">
        <v>2595688.5</v>
      </c>
      <c r="AO920" t="s">
        <v>122</v>
      </c>
      <c r="AP920">
        <v>15</v>
      </c>
      <c r="AQ920">
        <v>212.94</v>
      </c>
      <c r="AR920">
        <v>308763</v>
      </c>
      <c r="AT920">
        <v>21840</v>
      </c>
      <c r="AU920">
        <v>851.76</v>
      </c>
      <c r="AV920">
        <v>31668000</v>
      </c>
      <c r="AW920">
        <v>1235052</v>
      </c>
    </row>
    <row r="921" spans="1:49" hidden="1" x14ac:dyDescent="0.35">
      <c r="A921">
        <v>5845810</v>
      </c>
      <c r="B921">
        <v>1090005845801</v>
      </c>
      <c r="D921">
        <v>30718923901</v>
      </c>
      <c r="E921" t="s">
        <v>881</v>
      </c>
      <c r="F921" t="s">
        <v>1</v>
      </c>
      <c r="G921" t="s">
        <v>370</v>
      </c>
      <c r="H921" t="s">
        <v>58</v>
      </c>
      <c r="I921">
        <v>6333</v>
      </c>
      <c r="J921">
        <v>21</v>
      </c>
      <c r="K921" t="s">
        <v>33</v>
      </c>
      <c r="L921">
        <v>6864</v>
      </c>
      <c r="M921" t="s">
        <v>371</v>
      </c>
      <c r="N921">
        <v>1</v>
      </c>
      <c r="O921" t="s">
        <v>119</v>
      </c>
      <c r="P921" t="s">
        <v>1433</v>
      </c>
      <c r="Q921">
        <v>1405.98</v>
      </c>
      <c r="R921">
        <v>43800</v>
      </c>
      <c r="S921">
        <v>73</v>
      </c>
      <c r="T921">
        <v>600</v>
      </c>
      <c r="U921">
        <v>26</v>
      </c>
      <c r="V921">
        <v>1450</v>
      </c>
      <c r="W921" t="s">
        <v>121</v>
      </c>
      <c r="X921" t="s">
        <v>1</v>
      </c>
      <c r="Y921">
        <v>2038671</v>
      </c>
      <c r="Z921">
        <v>63510000</v>
      </c>
      <c r="AA921">
        <v>870000</v>
      </c>
      <c r="AB921">
        <v>106</v>
      </c>
      <c r="AC921" s="34">
        <v>46014</v>
      </c>
      <c r="AD921" s="34">
        <v>46173</v>
      </c>
      <c r="AE921" t="s">
        <v>355</v>
      </c>
      <c r="AF921">
        <v>0</v>
      </c>
      <c r="AG921">
        <v>1405.98</v>
      </c>
      <c r="AH921">
        <v>0</v>
      </c>
      <c r="AI921">
        <v>2038671</v>
      </c>
      <c r="AJ921">
        <v>0</v>
      </c>
      <c r="AK921">
        <v>0</v>
      </c>
      <c r="AL921">
        <v>511719.5</v>
      </c>
      <c r="AM921">
        <v>0</v>
      </c>
      <c r="AN921">
        <v>2550390.5</v>
      </c>
      <c r="AO921" t="s">
        <v>122</v>
      </c>
      <c r="AP921">
        <v>15</v>
      </c>
      <c r="AQ921">
        <v>210.9</v>
      </c>
      <c r="AR921">
        <v>305805</v>
      </c>
      <c r="AT921">
        <v>26280</v>
      </c>
      <c r="AU921">
        <v>843.59</v>
      </c>
      <c r="AV921">
        <v>38106000</v>
      </c>
      <c r="AW921">
        <v>1223205.5</v>
      </c>
    </row>
    <row r="922" spans="1:49" hidden="1" x14ac:dyDescent="0.35">
      <c r="A922">
        <v>5845910</v>
      </c>
      <c r="B922">
        <v>1090005845901</v>
      </c>
      <c r="D922">
        <v>30718923901</v>
      </c>
      <c r="E922" t="s">
        <v>881</v>
      </c>
      <c r="F922" t="s">
        <v>1</v>
      </c>
      <c r="G922" t="s">
        <v>370</v>
      </c>
      <c r="H922" t="s">
        <v>58</v>
      </c>
      <c r="I922">
        <v>6333</v>
      </c>
      <c r="J922">
        <v>21</v>
      </c>
      <c r="K922" t="s">
        <v>33</v>
      </c>
      <c r="L922">
        <v>6864</v>
      </c>
      <c r="M922" t="s">
        <v>371</v>
      </c>
      <c r="N922">
        <v>1</v>
      </c>
      <c r="O922" t="s">
        <v>119</v>
      </c>
      <c r="P922" t="s">
        <v>1434</v>
      </c>
      <c r="Q922">
        <v>2938.8</v>
      </c>
      <c r="R922">
        <v>93000</v>
      </c>
      <c r="S922">
        <v>155</v>
      </c>
      <c r="T922">
        <v>600</v>
      </c>
      <c r="U922">
        <v>26</v>
      </c>
      <c r="V922">
        <v>1450</v>
      </c>
      <c r="W922" t="s">
        <v>121</v>
      </c>
      <c r="X922" t="s">
        <v>1</v>
      </c>
      <c r="Y922">
        <v>4261260</v>
      </c>
      <c r="Z922">
        <v>134850000</v>
      </c>
      <c r="AA922">
        <v>870000</v>
      </c>
      <c r="AB922">
        <v>106</v>
      </c>
      <c r="AC922" s="34">
        <v>46014</v>
      </c>
      <c r="AD922" s="34">
        <v>46203</v>
      </c>
      <c r="AF922">
        <v>0</v>
      </c>
      <c r="AG922">
        <v>2938.8</v>
      </c>
      <c r="AH922">
        <v>0</v>
      </c>
      <c r="AI922">
        <v>4261260</v>
      </c>
      <c r="AJ922">
        <v>0</v>
      </c>
      <c r="AK922">
        <v>0</v>
      </c>
      <c r="AL922">
        <v>1069563.5</v>
      </c>
      <c r="AM922">
        <v>0</v>
      </c>
      <c r="AN922">
        <v>5330823.5</v>
      </c>
      <c r="AO922" t="s">
        <v>122</v>
      </c>
      <c r="AP922">
        <v>15</v>
      </c>
      <c r="AQ922">
        <v>440.82</v>
      </c>
      <c r="AR922">
        <v>639189</v>
      </c>
      <c r="AT922">
        <v>55800</v>
      </c>
      <c r="AU922">
        <v>1763.28</v>
      </c>
      <c r="AV922">
        <v>80910000</v>
      </c>
      <c r="AW922">
        <v>2556756</v>
      </c>
    </row>
    <row r="923" spans="1:49" hidden="1" x14ac:dyDescent="0.35">
      <c r="A923">
        <v>5846010</v>
      </c>
      <c r="B923">
        <v>5010005846001</v>
      </c>
      <c r="D923">
        <v>30715694715</v>
      </c>
      <c r="E923" t="s">
        <v>1435</v>
      </c>
      <c r="F923" t="s">
        <v>1</v>
      </c>
      <c r="G923" t="s">
        <v>42</v>
      </c>
      <c r="H923" t="s">
        <v>42</v>
      </c>
      <c r="I923">
        <v>6450</v>
      </c>
      <c r="J923">
        <v>1</v>
      </c>
      <c r="K923" t="s">
        <v>16</v>
      </c>
      <c r="L923">
        <v>11014</v>
      </c>
      <c r="M923" t="s">
        <v>232</v>
      </c>
      <c r="N923">
        <v>1</v>
      </c>
      <c r="O923" t="s">
        <v>119</v>
      </c>
      <c r="P923" t="s">
        <v>1436</v>
      </c>
      <c r="Q923">
        <v>585.20000000000005</v>
      </c>
      <c r="R923">
        <v>30800</v>
      </c>
      <c r="S923">
        <v>88</v>
      </c>
      <c r="T923">
        <v>350</v>
      </c>
      <c r="U923">
        <v>26</v>
      </c>
      <c r="V923">
        <v>1450</v>
      </c>
      <c r="W923" t="s">
        <v>121</v>
      </c>
      <c r="X923" t="s">
        <v>1</v>
      </c>
      <c r="Y923">
        <v>848540</v>
      </c>
      <c r="Z923">
        <v>44660000</v>
      </c>
      <c r="AA923">
        <v>507500</v>
      </c>
      <c r="AB923">
        <v>106</v>
      </c>
      <c r="AC923" s="34">
        <v>46012</v>
      </c>
      <c r="AD923" s="34">
        <v>46188</v>
      </c>
      <c r="AF923">
        <v>0</v>
      </c>
      <c r="AG923">
        <v>4527.2</v>
      </c>
      <c r="AH923">
        <v>0</v>
      </c>
      <c r="AI923">
        <v>6564440</v>
      </c>
      <c r="AJ923">
        <v>0</v>
      </c>
      <c r="AK923">
        <v>0</v>
      </c>
      <c r="AL923">
        <v>1672285</v>
      </c>
      <c r="AM923">
        <v>0</v>
      </c>
      <c r="AN923">
        <v>8236725</v>
      </c>
      <c r="AO923" t="s">
        <v>122</v>
      </c>
      <c r="AP923">
        <v>15</v>
      </c>
      <c r="AQ923">
        <v>679.08</v>
      </c>
      <c r="AR923">
        <v>984666</v>
      </c>
      <c r="AT923">
        <v>18480</v>
      </c>
      <c r="AU923">
        <v>351.12</v>
      </c>
      <c r="AV923">
        <v>26796000</v>
      </c>
      <c r="AW923">
        <v>509124</v>
      </c>
    </row>
    <row r="924" spans="1:49" hidden="1" x14ac:dyDescent="0.35">
      <c r="A924">
        <v>5846010</v>
      </c>
      <c r="B924">
        <v>5010005846001</v>
      </c>
      <c r="D924">
        <v>30715694715</v>
      </c>
      <c r="E924" t="s">
        <v>1435</v>
      </c>
      <c r="F924" t="s">
        <v>1</v>
      </c>
      <c r="G924" t="s">
        <v>42</v>
      </c>
      <c r="H924" t="s">
        <v>42</v>
      </c>
      <c r="I924">
        <v>6450</v>
      </c>
      <c r="J924">
        <v>1</v>
      </c>
      <c r="K924" t="s">
        <v>16</v>
      </c>
      <c r="L924">
        <v>11014</v>
      </c>
      <c r="M924" t="s">
        <v>232</v>
      </c>
      <c r="N924">
        <v>2</v>
      </c>
      <c r="O924" t="s">
        <v>119</v>
      </c>
      <c r="P924" t="s">
        <v>1437</v>
      </c>
      <c r="Q924">
        <v>547.20000000000005</v>
      </c>
      <c r="R924">
        <v>28800</v>
      </c>
      <c r="S924">
        <v>72</v>
      </c>
      <c r="T924">
        <v>400</v>
      </c>
      <c r="U924">
        <v>26</v>
      </c>
      <c r="V924">
        <v>1450</v>
      </c>
      <c r="W924" t="s">
        <v>121</v>
      </c>
      <c r="X924" t="s">
        <v>1</v>
      </c>
      <c r="Y924">
        <v>793440</v>
      </c>
      <c r="Z924">
        <v>41760000</v>
      </c>
      <c r="AA924">
        <v>580000</v>
      </c>
      <c r="AB924">
        <v>106</v>
      </c>
      <c r="AC924" s="34">
        <v>46012</v>
      </c>
      <c r="AD924" s="34">
        <v>46188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 t="s">
        <v>122</v>
      </c>
      <c r="AT924">
        <v>17280</v>
      </c>
      <c r="AU924">
        <v>328.32</v>
      </c>
      <c r="AV924">
        <v>25056000</v>
      </c>
      <c r="AW924">
        <v>476064</v>
      </c>
    </row>
    <row r="925" spans="1:49" hidden="1" x14ac:dyDescent="0.35">
      <c r="A925">
        <v>5846010</v>
      </c>
      <c r="B925">
        <v>5010005846001</v>
      </c>
      <c r="D925">
        <v>30715694715</v>
      </c>
      <c r="E925" t="s">
        <v>1435</v>
      </c>
      <c r="F925" t="s">
        <v>1</v>
      </c>
      <c r="G925" t="s">
        <v>360</v>
      </c>
      <c r="H925" t="s">
        <v>61</v>
      </c>
      <c r="I925">
        <v>2600</v>
      </c>
      <c r="J925">
        <v>12</v>
      </c>
      <c r="K925" t="s">
        <v>34</v>
      </c>
      <c r="L925">
        <v>11014</v>
      </c>
      <c r="M925" t="s">
        <v>232</v>
      </c>
      <c r="N925">
        <v>3</v>
      </c>
      <c r="O925" t="s">
        <v>119</v>
      </c>
      <c r="P925" t="s">
        <v>1438</v>
      </c>
      <c r="Q925">
        <v>1738.8</v>
      </c>
      <c r="R925">
        <v>75600</v>
      </c>
      <c r="S925">
        <v>126</v>
      </c>
      <c r="T925">
        <v>600</v>
      </c>
      <c r="U925">
        <v>26</v>
      </c>
      <c r="V925">
        <v>1450</v>
      </c>
      <c r="W925" t="s">
        <v>121</v>
      </c>
      <c r="X925" t="s">
        <v>1</v>
      </c>
      <c r="Y925">
        <v>2521260</v>
      </c>
      <c r="Z925">
        <v>109620000</v>
      </c>
      <c r="AA925">
        <v>870000</v>
      </c>
      <c r="AB925">
        <v>106</v>
      </c>
      <c r="AC925" s="34">
        <v>46012</v>
      </c>
      <c r="AD925" s="34">
        <v>46188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 t="s">
        <v>122</v>
      </c>
      <c r="AT925">
        <v>45360</v>
      </c>
      <c r="AU925">
        <v>1043.28</v>
      </c>
      <c r="AV925">
        <v>65772000</v>
      </c>
      <c r="AW925">
        <v>1512756</v>
      </c>
    </row>
    <row r="926" spans="1:49" hidden="1" x14ac:dyDescent="0.35">
      <c r="A926">
        <v>5846010</v>
      </c>
      <c r="B926">
        <v>5010005846001</v>
      </c>
      <c r="D926">
        <v>30715694715</v>
      </c>
      <c r="E926" t="s">
        <v>1435</v>
      </c>
      <c r="F926" t="s">
        <v>1</v>
      </c>
      <c r="G926" t="s">
        <v>1439</v>
      </c>
      <c r="H926" t="s">
        <v>61</v>
      </c>
      <c r="I926">
        <v>2601</v>
      </c>
      <c r="J926">
        <v>12</v>
      </c>
      <c r="K926" t="s">
        <v>34</v>
      </c>
      <c r="L926">
        <v>11014</v>
      </c>
      <c r="M926" t="s">
        <v>232</v>
      </c>
      <c r="N926">
        <v>4</v>
      </c>
      <c r="O926" t="s">
        <v>119</v>
      </c>
      <c r="P926" t="s">
        <v>1440</v>
      </c>
      <c r="Q926">
        <v>1656</v>
      </c>
      <c r="R926">
        <v>72000</v>
      </c>
      <c r="S926">
        <v>240</v>
      </c>
      <c r="T926">
        <v>300</v>
      </c>
      <c r="U926">
        <v>26</v>
      </c>
      <c r="V926">
        <v>1450</v>
      </c>
      <c r="W926" t="s">
        <v>121</v>
      </c>
      <c r="X926" t="s">
        <v>1</v>
      </c>
      <c r="Y926">
        <v>2401200</v>
      </c>
      <c r="Z926">
        <v>104400000</v>
      </c>
      <c r="AA926">
        <v>435000</v>
      </c>
      <c r="AB926">
        <v>106</v>
      </c>
      <c r="AC926" s="34">
        <v>46012</v>
      </c>
      <c r="AD926" s="34">
        <v>46188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 t="s">
        <v>122</v>
      </c>
      <c r="AT926">
        <v>43200</v>
      </c>
      <c r="AU926">
        <v>993.6</v>
      </c>
      <c r="AV926">
        <v>62640000</v>
      </c>
      <c r="AW926">
        <v>1440720</v>
      </c>
    </row>
    <row r="927" spans="1:49" hidden="1" x14ac:dyDescent="0.35">
      <c r="A927">
        <v>5846110</v>
      </c>
      <c r="B927">
        <v>1250005846101</v>
      </c>
      <c r="D927">
        <v>20126648066</v>
      </c>
      <c r="E927" t="s">
        <v>519</v>
      </c>
      <c r="F927" t="s">
        <v>1</v>
      </c>
      <c r="G927" t="s">
        <v>520</v>
      </c>
      <c r="H927" t="s">
        <v>69</v>
      </c>
      <c r="I927">
        <v>5917</v>
      </c>
      <c r="J927">
        <v>3</v>
      </c>
      <c r="K927" t="s">
        <v>32</v>
      </c>
      <c r="L927">
        <v>6435</v>
      </c>
      <c r="M927" t="s">
        <v>175</v>
      </c>
      <c r="N927">
        <v>1</v>
      </c>
      <c r="O927" t="s">
        <v>119</v>
      </c>
      <c r="P927" t="s">
        <v>1441</v>
      </c>
      <c r="Q927">
        <v>1165290</v>
      </c>
      <c r="R927">
        <v>31325000</v>
      </c>
      <c r="S927">
        <v>35</v>
      </c>
      <c r="T927">
        <v>895000</v>
      </c>
      <c r="U927">
        <v>1</v>
      </c>
      <c r="V927">
        <v>1</v>
      </c>
      <c r="W927" t="s">
        <v>127</v>
      </c>
      <c r="X927">
        <v>17900</v>
      </c>
      <c r="Y927">
        <v>1165290</v>
      </c>
      <c r="Z927">
        <v>31325000</v>
      </c>
      <c r="AA927">
        <v>895000</v>
      </c>
      <c r="AB927">
        <v>105</v>
      </c>
      <c r="AC927" s="34">
        <v>46012</v>
      </c>
      <c r="AD927" s="34">
        <v>46142</v>
      </c>
      <c r="AF927">
        <v>0</v>
      </c>
      <c r="AG927">
        <v>5693274</v>
      </c>
      <c r="AH927">
        <v>0</v>
      </c>
      <c r="AI927">
        <v>5693274</v>
      </c>
      <c r="AJ927">
        <v>0</v>
      </c>
      <c r="AK927">
        <v>0</v>
      </c>
      <c r="AL927">
        <v>1485944.51</v>
      </c>
      <c r="AM927">
        <v>0</v>
      </c>
      <c r="AN927">
        <v>7179218.5099999998</v>
      </c>
      <c r="AO927" t="s">
        <v>122</v>
      </c>
      <c r="AP927">
        <v>15</v>
      </c>
      <c r="AQ927">
        <v>853991.1</v>
      </c>
      <c r="AR927">
        <v>853991.1</v>
      </c>
      <c r="AT927">
        <v>18795000</v>
      </c>
      <c r="AU927">
        <v>699174</v>
      </c>
      <c r="AV927">
        <v>18795000</v>
      </c>
      <c r="AW927">
        <v>699174</v>
      </c>
    </row>
    <row r="928" spans="1:49" hidden="1" x14ac:dyDescent="0.35">
      <c r="A928">
        <v>5846110</v>
      </c>
      <c r="B928">
        <v>1250005846101</v>
      </c>
      <c r="D928">
        <v>20126648066</v>
      </c>
      <c r="E928" t="s">
        <v>519</v>
      </c>
      <c r="F928" t="s">
        <v>1</v>
      </c>
      <c r="G928" t="s">
        <v>520</v>
      </c>
      <c r="H928" t="s">
        <v>69</v>
      </c>
      <c r="I928">
        <v>5917</v>
      </c>
      <c r="J928">
        <v>3</v>
      </c>
      <c r="K928" t="s">
        <v>32</v>
      </c>
      <c r="L928">
        <v>6435</v>
      </c>
      <c r="M928" t="s">
        <v>175</v>
      </c>
      <c r="N928">
        <v>2</v>
      </c>
      <c r="O928" t="s">
        <v>119</v>
      </c>
      <c r="P928" t="s">
        <v>1442</v>
      </c>
      <c r="Q928">
        <v>2430462</v>
      </c>
      <c r="R928">
        <v>65335000</v>
      </c>
      <c r="S928">
        <v>73</v>
      </c>
      <c r="T928">
        <v>895000</v>
      </c>
      <c r="U928">
        <v>1</v>
      </c>
      <c r="V928">
        <v>1</v>
      </c>
      <c r="W928" t="s">
        <v>127</v>
      </c>
      <c r="X928">
        <v>17900</v>
      </c>
      <c r="Y928">
        <v>2430462</v>
      </c>
      <c r="Z928">
        <v>65335000</v>
      </c>
      <c r="AA928">
        <v>895000</v>
      </c>
      <c r="AB928">
        <v>105</v>
      </c>
      <c r="AC928" s="34">
        <v>46012</v>
      </c>
      <c r="AD928" s="34">
        <v>46142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 t="s">
        <v>122</v>
      </c>
      <c r="AT928">
        <v>39201000</v>
      </c>
      <c r="AU928">
        <v>1458277.2</v>
      </c>
      <c r="AV928">
        <v>39201000</v>
      </c>
      <c r="AW928">
        <v>1458277.2</v>
      </c>
    </row>
    <row r="929" spans="1:49" hidden="1" x14ac:dyDescent="0.35">
      <c r="A929">
        <v>5846110</v>
      </c>
      <c r="B929">
        <v>1250005846101</v>
      </c>
      <c r="D929">
        <v>20126648066</v>
      </c>
      <c r="E929" t="s">
        <v>519</v>
      </c>
      <c r="F929" t="s">
        <v>1</v>
      </c>
      <c r="G929" t="s">
        <v>520</v>
      </c>
      <c r="H929" t="s">
        <v>69</v>
      </c>
      <c r="I929">
        <v>5917</v>
      </c>
      <c r="J929">
        <v>3</v>
      </c>
      <c r="K929" t="s">
        <v>32</v>
      </c>
      <c r="L929">
        <v>6435</v>
      </c>
      <c r="M929" t="s">
        <v>175</v>
      </c>
      <c r="N929">
        <v>3</v>
      </c>
      <c r="O929" t="s">
        <v>119</v>
      </c>
      <c r="P929" t="s">
        <v>1443</v>
      </c>
      <c r="Q929">
        <v>2097522</v>
      </c>
      <c r="R929">
        <v>56385000</v>
      </c>
      <c r="S929">
        <v>63</v>
      </c>
      <c r="T929">
        <v>895000</v>
      </c>
      <c r="U929">
        <v>1</v>
      </c>
      <c r="V929">
        <v>1</v>
      </c>
      <c r="W929" t="s">
        <v>127</v>
      </c>
      <c r="X929">
        <v>17900</v>
      </c>
      <c r="Y929">
        <v>2097522</v>
      </c>
      <c r="Z929">
        <v>56385000</v>
      </c>
      <c r="AA929">
        <v>895000</v>
      </c>
      <c r="AB929">
        <v>105</v>
      </c>
      <c r="AC929" s="34">
        <v>46012</v>
      </c>
      <c r="AD929" s="34">
        <v>46142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 t="s">
        <v>122</v>
      </c>
      <c r="AT929">
        <v>33831000</v>
      </c>
      <c r="AU929">
        <v>1258513.2</v>
      </c>
      <c r="AV929">
        <v>33831000</v>
      </c>
      <c r="AW929">
        <v>1258513.2</v>
      </c>
    </row>
    <row r="930" spans="1:49" hidden="1" x14ac:dyDescent="0.35">
      <c r="A930">
        <v>5846210</v>
      </c>
      <c r="B930">
        <v>1090005846201</v>
      </c>
      <c r="D930">
        <v>30717689123</v>
      </c>
      <c r="E930" t="s">
        <v>1444</v>
      </c>
      <c r="F930" t="s">
        <v>1</v>
      </c>
      <c r="G930" t="s">
        <v>56</v>
      </c>
      <c r="H930" t="s">
        <v>56</v>
      </c>
      <c r="I930">
        <v>6381</v>
      </c>
      <c r="J930">
        <v>21</v>
      </c>
      <c r="K930" t="s">
        <v>33</v>
      </c>
      <c r="L930">
        <v>82963</v>
      </c>
      <c r="M930" t="s">
        <v>396</v>
      </c>
      <c r="N930">
        <v>1</v>
      </c>
      <c r="O930" t="s">
        <v>119</v>
      </c>
      <c r="P930" t="s">
        <v>1445</v>
      </c>
      <c r="Q930">
        <v>468</v>
      </c>
      <c r="R930">
        <v>13000</v>
      </c>
      <c r="S930">
        <v>52</v>
      </c>
      <c r="T930">
        <v>250</v>
      </c>
      <c r="U930">
        <v>26</v>
      </c>
      <c r="V930">
        <v>1450</v>
      </c>
      <c r="W930" t="s">
        <v>121</v>
      </c>
      <c r="X930" t="s">
        <v>1</v>
      </c>
      <c r="Y930">
        <v>678600</v>
      </c>
      <c r="Z930">
        <v>18850000</v>
      </c>
      <c r="AA930">
        <v>362500</v>
      </c>
      <c r="AB930">
        <v>106</v>
      </c>
      <c r="AC930" s="34">
        <v>45993</v>
      </c>
      <c r="AD930" s="34">
        <v>46173</v>
      </c>
      <c r="AE930" t="s">
        <v>161</v>
      </c>
      <c r="AF930">
        <v>0</v>
      </c>
      <c r="AG930">
        <v>468</v>
      </c>
      <c r="AH930">
        <v>0</v>
      </c>
      <c r="AI930">
        <v>678600</v>
      </c>
      <c r="AJ930">
        <v>0</v>
      </c>
      <c r="AK930">
        <v>0</v>
      </c>
      <c r="AL930">
        <v>170331.5</v>
      </c>
      <c r="AM930">
        <v>0</v>
      </c>
      <c r="AN930">
        <v>848931.5</v>
      </c>
      <c r="AO930" t="s">
        <v>122</v>
      </c>
      <c r="AP930">
        <v>10</v>
      </c>
      <c r="AQ930">
        <v>46.8</v>
      </c>
      <c r="AR930">
        <v>67860</v>
      </c>
      <c r="AT930">
        <v>7800</v>
      </c>
      <c r="AU930">
        <v>280.8</v>
      </c>
      <c r="AV930">
        <v>11310000</v>
      </c>
      <c r="AW930">
        <v>407160</v>
      </c>
    </row>
    <row r="931" spans="1:49" hidden="1" x14ac:dyDescent="0.35">
      <c r="A931">
        <v>5846310</v>
      </c>
      <c r="B931">
        <v>1170005846301</v>
      </c>
      <c r="D931">
        <v>20214912520</v>
      </c>
      <c r="E931" t="s">
        <v>801</v>
      </c>
      <c r="F931" t="s">
        <v>1</v>
      </c>
      <c r="G931" t="s">
        <v>226</v>
      </c>
      <c r="H931" t="s">
        <v>63</v>
      </c>
      <c r="I931">
        <v>2535</v>
      </c>
      <c r="J931">
        <v>12</v>
      </c>
      <c r="K931" t="s">
        <v>34</v>
      </c>
      <c r="L931">
        <v>83429</v>
      </c>
      <c r="M931" t="s">
        <v>140</v>
      </c>
      <c r="N931">
        <v>1</v>
      </c>
      <c r="O931" t="s">
        <v>119</v>
      </c>
      <c r="P931" t="s">
        <v>1446</v>
      </c>
      <c r="Q931">
        <v>359370</v>
      </c>
      <c r="R931">
        <v>17374500</v>
      </c>
      <c r="S931">
        <v>45</v>
      </c>
      <c r="T931">
        <v>386100</v>
      </c>
      <c r="U931">
        <v>1</v>
      </c>
      <c r="V931">
        <v>1</v>
      </c>
      <c r="W931" t="s">
        <v>127</v>
      </c>
      <c r="X931">
        <v>29700</v>
      </c>
      <c r="Y931">
        <v>359370</v>
      </c>
      <c r="Z931">
        <v>17374500</v>
      </c>
      <c r="AA931">
        <v>386100</v>
      </c>
      <c r="AB931">
        <v>105</v>
      </c>
      <c r="AC931" s="34">
        <v>46015</v>
      </c>
      <c r="AD931" s="34">
        <v>46173</v>
      </c>
      <c r="AF931">
        <v>0</v>
      </c>
      <c r="AG931">
        <v>359370</v>
      </c>
      <c r="AH931">
        <v>0</v>
      </c>
      <c r="AI931">
        <v>359370</v>
      </c>
      <c r="AJ931">
        <v>0</v>
      </c>
      <c r="AK931">
        <v>0</v>
      </c>
      <c r="AL931">
        <v>91998.720000000001</v>
      </c>
      <c r="AM931">
        <v>0</v>
      </c>
      <c r="AN931">
        <v>451368.72</v>
      </c>
      <c r="AO931" t="s">
        <v>122</v>
      </c>
      <c r="AP931">
        <v>15</v>
      </c>
      <c r="AQ931">
        <v>53905.5</v>
      </c>
      <c r="AR931">
        <v>53905.5</v>
      </c>
      <c r="AT931">
        <v>10424700</v>
      </c>
      <c r="AU931">
        <v>215622</v>
      </c>
      <c r="AV931">
        <v>10424700</v>
      </c>
      <c r="AW931">
        <v>215622</v>
      </c>
    </row>
    <row r="932" spans="1:49" hidden="1" x14ac:dyDescent="0.35">
      <c r="A932">
        <v>5846410</v>
      </c>
      <c r="B932">
        <v>1170005846401</v>
      </c>
      <c r="D932">
        <v>20214912520</v>
      </c>
      <c r="E932" t="s">
        <v>801</v>
      </c>
      <c r="F932" t="s">
        <v>1</v>
      </c>
      <c r="G932" t="s">
        <v>226</v>
      </c>
      <c r="H932" t="s">
        <v>63</v>
      </c>
      <c r="I932">
        <v>2535</v>
      </c>
      <c r="J932">
        <v>12</v>
      </c>
      <c r="K932" t="s">
        <v>34</v>
      </c>
      <c r="L932">
        <v>83429</v>
      </c>
      <c r="M932" t="s">
        <v>140</v>
      </c>
      <c r="N932">
        <v>1</v>
      </c>
      <c r="O932" t="s">
        <v>119</v>
      </c>
      <c r="P932" t="s">
        <v>1447</v>
      </c>
      <c r="Q932">
        <v>276507</v>
      </c>
      <c r="R932">
        <v>13365000</v>
      </c>
      <c r="S932">
        <v>45</v>
      </c>
      <c r="T932">
        <v>297000</v>
      </c>
      <c r="U932">
        <v>1</v>
      </c>
      <c r="V932">
        <v>1</v>
      </c>
      <c r="W932" t="s">
        <v>127</v>
      </c>
      <c r="X932">
        <v>29700</v>
      </c>
      <c r="Y932">
        <v>276507</v>
      </c>
      <c r="Z932">
        <v>13365000</v>
      </c>
      <c r="AA932">
        <v>297000</v>
      </c>
      <c r="AB932">
        <v>105</v>
      </c>
      <c r="AC932" s="34">
        <v>46015</v>
      </c>
      <c r="AD932" s="34">
        <v>46188</v>
      </c>
      <c r="AF932">
        <v>0</v>
      </c>
      <c r="AG932">
        <v>276507</v>
      </c>
      <c r="AH932">
        <v>0</v>
      </c>
      <c r="AI932">
        <v>276507</v>
      </c>
      <c r="AJ932">
        <v>0</v>
      </c>
      <c r="AK932">
        <v>0</v>
      </c>
      <c r="AL932">
        <v>70785.8</v>
      </c>
      <c r="AM932">
        <v>0</v>
      </c>
      <c r="AN932">
        <v>347292.8</v>
      </c>
      <c r="AO932" t="s">
        <v>122</v>
      </c>
      <c r="AP932">
        <v>15</v>
      </c>
      <c r="AQ932">
        <v>41476.050000000003</v>
      </c>
      <c r="AR932">
        <v>41476.050000000003</v>
      </c>
      <c r="AT932">
        <v>8019000</v>
      </c>
      <c r="AU932">
        <v>165904.20000000001</v>
      </c>
      <c r="AV932">
        <v>8019000</v>
      </c>
      <c r="AW932">
        <v>165904.20000000001</v>
      </c>
    </row>
    <row r="933" spans="1:49" hidden="1" x14ac:dyDescent="0.35">
      <c r="A933">
        <v>5846510</v>
      </c>
      <c r="B933">
        <v>1090005846501</v>
      </c>
      <c r="D933">
        <v>20255089979</v>
      </c>
      <c r="E933" t="s">
        <v>975</v>
      </c>
      <c r="F933" t="s">
        <v>1</v>
      </c>
      <c r="G933" t="s">
        <v>1448</v>
      </c>
      <c r="H933" t="s">
        <v>19</v>
      </c>
      <c r="I933">
        <v>6343</v>
      </c>
      <c r="J933">
        <v>1</v>
      </c>
      <c r="K933" t="s">
        <v>16</v>
      </c>
      <c r="L933">
        <v>9371</v>
      </c>
      <c r="M933" t="s">
        <v>581</v>
      </c>
      <c r="N933">
        <v>1</v>
      </c>
      <c r="O933" t="s">
        <v>119</v>
      </c>
      <c r="P933" t="s">
        <v>1449</v>
      </c>
      <c r="Q933">
        <v>573.73</v>
      </c>
      <c r="R933">
        <v>21250</v>
      </c>
      <c r="S933">
        <v>85</v>
      </c>
      <c r="T933">
        <v>250</v>
      </c>
      <c r="U933">
        <v>26</v>
      </c>
      <c r="V933">
        <v>1452</v>
      </c>
      <c r="W933" t="s">
        <v>121</v>
      </c>
      <c r="X933" t="s">
        <v>1</v>
      </c>
      <c r="Y933">
        <v>833055.96</v>
      </c>
      <c r="Z933">
        <v>30855000</v>
      </c>
      <c r="AA933">
        <v>363000</v>
      </c>
      <c r="AB933">
        <v>106</v>
      </c>
      <c r="AC933" s="34">
        <v>45972</v>
      </c>
      <c r="AD933" s="34">
        <v>46112</v>
      </c>
      <c r="AF933">
        <v>0</v>
      </c>
      <c r="AG933">
        <v>573.73</v>
      </c>
      <c r="AH933">
        <v>0</v>
      </c>
      <c r="AI933">
        <v>833055.96</v>
      </c>
      <c r="AJ933">
        <v>0</v>
      </c>
      <c r="AK933">
        <v>0</v>
      </c>
      <c r="AL933">
        <v>209088</v>
      </c>
      <c r="AM933">
        <v>0</v>
      </c>
      <c r="AN933">
        <v>1042143.96</v>
      </c>
      <c r="AO933" t="s">
        <v>122</v>
      </c>
      <c r="AP933">
        <v>9.9990000000000006</v>
      </c>
      <c r="AQ933">
        <v>57.37</v>
      </c>
      <c r="AR933">
        <v>83301.240000000005</v>
      </c>
      <c r="AT933">
        <v>12750</v>
      </c>
      <c r="AU933">
        <v>344.24</v>
      </c>
      <c r="AV933">
        <v>18513000</v>
      </c>
      <c r="AW933">
        <v>499836.48</v>
      </c>
    </row>
    <row r="934" spans="1:49" hidden="1" x14ac:dyDescent="0.35">
      <c r="A934">
        <v>5846610</v>
      </c>
      <c r="B934">
        <v>1090005846601</v>
      </c>
      <c r="D934">
        <v>20243320403</v>
      </c>
      <c r="E934" t="s">
        <v>973</v>
      </c>
      <c r="F934" t="s">
        <v>1</v>
      </c>
      <c r="G934" t="s">
        <v>1448</v>
      </c>
      <c r="H934" t="s">
        <v>19</v>
      </c>
      <c r="I934">
        <v>6343</v>
      </c>
      <c r="J934">
        <v>1</v>
      </c>
      <c r="K934" t="s">
        <v>16</v>
      </c>
      <c r="L934">
        <v>9371</v>
      </c>
      <c r="M934" t="s">
        <v>581</v>
      </c>
      <c r="N934">
        <v>1</v>
      </c>
      <c r="O934" t="s">
        <v>119</v>
      </c>
      <c r="P934" t="s">
        <v>974</v>
      </c>
      <c r="Q934">
        <v>573.75</v>
      </c>
      <c r="R934">
        <v>21250</v>
      </c>
      <c r="S934">
        <v>85</v>
      </c>
      <c r="T934">
        <v>250</v>
      </c>
      <c r="U934">
        <v>26</v>
      </c>
      <c r="V934">
        <v>1452</v>
      </c>
      <c r="W934" t="s">
        <v>121</v>
      </c>
      <c r="X934" t="s">
        <v>1</v>
      </c>
      <c r="Y934">
        <v>833085</v>
      </c>
      <c r="Z934">
        <v>30855000</v>
      </c>
      <c r="AA934">
        <v>363000</v>
      </c>
      <c r="AB934">
        <v>106</v>
      </c>
      <c r="AC934" s="34">
        <v>45972</v>
      </c>
      <c r="AD934" s="34">
        <v>46112</v>
      </c>
      <c r="AF934">
        <v>0</v>
      </c>
      <c r="AG934">
        <v>573.75</v>
      </c>
      <c r="AH934">
        <v>0</v>
      </c>
      <c r="AI934">
        <v>833085</v>
      </c>
      <c r="AJ934">
        <v>0</v>
      </c>
      <c r="AK934">
        <v>0</v>
      </c>
      <c r="AL934">
        <v>209102.52</v>
      </c>
      <c r="AM934">
        <v>0</v>
      </c>
      <c r="AN934">
        <v>1042187.52</v>
      </c>
      <c r="AO934" t="s">
        <v>122</v>
      </c>
      <c r="AP934">
        <v>10.000999999999999</v>
      </c>
      <c r="AQ934">
        <v>57.38</v>
      </c>
      <c r="AR934">
        <v>83315.759999999995</v>
      </c>
      <c r="AT934">
        <v>12750</v>
      </c>
      <c r="AU934">
        <v>344.25</v>
      </c>
      <c r="AV934">
        <v>18513000</v>
      </c>
      <c r="AW934">
        <v>499851</v>
      </c>
    </row>
    <row r="935" spans="1:49" hidden="1" x14ac:dyDescent="0.35">
      <c r="A935">
        <v>5846710</v>
      </c>
      <c r="B935">
        <v>1090005846701</v>
      </c>
      <c r="D935">
        <v>20336654735</v>
      </c>
      <c r="E935" t="s">
        <v>1450</v>
      </c>
      <c r="F935" t="s">
        <v>1</v>
      </c>
      <c r="G935" t="s">
        <v>40</v>
      </c>
      <c r="H935" t="s">
        <v>40</v>
      </c>
      <c r="I935">
        <v>6435</v>
      </c>
      <c r="J935">
        <v>1</v>
      </c>
      <c r="K935" t="s">
        <v>16</v>
      </c>
      <c r="L935">
        <v>9371</v>
      </c>
      <c r="M935" t="s">
        <v>581</v>
      </c>
      <c r="N935">
        <v>1</v>
      </c>
      <c r="O935" t="s">
        <v>119</v>
      </c>
      <c r="P935" t="s">
        <v>1451</v>
      </c>
      <c r="Q935">
        <v>1974</v>
      </c>
      <c r="R935">
        <v>42000</v>
      </c>
      <c r="S935">
        <v>70</v>
      </c>
      <c r="T935">
        <v>600</v>
      </c>
      <c r="U935">
        <v>26</v>
      </c>
      <c r="V935">
        <v>1452</v>
      </c>
      <c r="W935" t="s">
        <v>121</v>
      </c>
      <c r="X935" t="s">
        <v>1</v>
      </c>
      <c r="Y935">
        <v>2866248</v>
      </c>
      <c r="Z935">
        <v>60984000</v>
      </c>
      <c r="AA935">
        <v>871200</v>
      </c>
      <c r="AB935">
        <v>106</v>
      </c>
      <c r="AC935" s="34">
        <v>45993</v>
      </c>
      <c r="AD935" s="34">
        <v>46112</v>
      </c>
      <c r="AE935" t="s">
        <v>355</v>
      </c>
      <c r="AF935">
        <v>0</v>
      </c>
      <c r="AG935">
        <v>1974</v>
      </c>
      <c r="AH935">
        <v>0</v>
      </c>
      <c r="AI935">
        <v>2866248</v>
      </c>
      <c r="AJ935">
        <v>0</v>
      </c>
      <c r="AK935">
        <v>0</v>
      </c>
      <c r="AL935">
        <v>862734.84</v>
      </c>
      <c r="AM935">
        <v>0</v>
      </c>
      <c r="AN935">
        <v>3728982.84</v>
      </c>
      <c r="AO935" t="s">
        <v>122</v>
      </c>
      <c r="AP935">
        <v>10</v>
      </c>
      <c r="AQ935">
        <v>197.4</v>
      </c>
      <c r="AR935">
        <v>286624.8</v>
      </c>
      <c r="AT935">
        <v>25200</v>
      </c>
      <c r="AU935">
        <v>1184.4000000000001</v>
      </c>
      <c r="AV935">
        <v>36590400</v>
      </c>
      <c r="AW935">
        <v>1719748.8</v>
      </c>
    </row>
    <row r="936" spans="1:49" hidden="1" x14ac:dyDescent="0.35">
      <c r="A936">
        <v>5846810</v>
      </c>
      <c r="B936">
        <v>1250005846801</v>
      </c>
      <c r="D936">
        <v>20231871935</v>
      </c>
      <c r="E936" t="s">
        <v>307</v>
      </c>
      <c r="F936" t="s">
        <v>1</v>
      </c>
      <c r="G936" t="s">
        <v>131</v>
      </c>
      <c r="H936" t="s">
        <v>23</v>
      </c>
      <c r="I936">
        <v>6105</v>
      </c>
      <c r="J936">
        <v>1</v>
      </c>
      <c r="K936" t="s">
        <v>16</v>
      </c>
      <c r="L936">
        <v>4401</v>
      </c>
      <c r="M936" t="s">
        <v>132</v>
      </c>
      <c r="N936">
        <v>1</v>
      </c>
      <c r="O936" t="s">
        <v>119</v>
      </c>
      <c r="P936" t="s">
        <v>1452</v>
      </c>
      <c r="Q936">
        <v>1464</v>
      </c>
      <c r="R936">
        <v>40000</v>
      </c>
      <c r="S936">
        <v>80</v>
      </c>
      <c r="T936">
        <v>500</v>
      </c>
      <c r="U936">
        <v>26</v>
      </c>
      <c r="V936">
        <v>1452</v>
      </c>
      <c r="W936" t="s">
        <v>121</v>
      </c>
      <c r="X936" t="s">
        <v>1</v>
      </c>
      <c r="Y936">
        <v>2125728</v>
      </c>
      <c r="Z936">
        <v>58080000</v>
      </c>
      <c r="AA936">
        <v>726000</v>
      </c>
      <c r="AB936">
        <v>106</v>
      </c>
      <c r="AC936" s="34">
        <v>46015</v>
      </c>
      <c r="AD936" s="34">
        <v>46188</v>
      </c>
      <c r="AF936">
        <v>0</v>
      </c>
      <c r="AG936">
        <v>1464</v>
      </c>
      <c r="AH936">
        <v>0</v>
      </c>
      <c r="AI936">
        <v>2125728</v>
      </c>
      <c r="AJ936">
        <v>0</v>
      </c>
      <c r="AK936">
        <v>0</v>
      </c>
      <c r="AL936">
        <v>533551.92000000004</v>
      </c>
      <c r="AM936">
        <v>0</v>
      </c>
      <c r="AN936">
        <v>2659279.92</v>
      </c>
      <c r="AO936" t="s">
        <v>122</v>
      </c>
      <c r="AP936">
        <v>15</v>
      </c>
      <c r="AQ936">
        <v>219.6</v>
      </c>
      <c r="AR936">
        <v>318859.2</v>
      </c>
      <c r="AT936">
        <v>24000</v>
      </c>
      <c r="AU936">
        <v>878.4</v>
      </c>
      <c r="AV936">
        <v>34848000</v>
      </c>
      <c r="AW936">
        <v>1275436.8</v>
      </c>
    </row>
    <row r="937" spans="1:49" hidden="1" x14ac:dyDescent="0.35">
      <c r="A937">
        <v>5846910</v>
      </c>
      <c r="B937">
        <v>1090005846901</v>
      </c>
      <c r="D937">
        <v>20117223273</v>
      </c>
      <c r="E937" t="s">
        <v>1035</v>
      </c>
      <c r="F937" t="s">
        <v>1</v>
      </c>
      <c r="G937" t="s">
        <v>367</v>
      </c>
      <c r="H937" t="s">
        <v>29</v>
      </c>
      <c r="I937">
        <v>6237</v>
      </c>
      <c r="J937">
        <v>1</v>
      </c>
      <c r="K937" t="s">
        <v>16</v>
      </c>
      <c r="L937">
        <v>6127</v>
      </c>
      <c r="M937" t="s">
        <v>118</v>
      </c>
      <c r="N937">
        <v>1</v>
      </c>
      <c r="O937" t="s">
        <v>119</v>
      </c>
      <c r="P937" t="s">
        <v>1453</v>
      </c>
      <c r="Q937">
        <v>4804.8</v>
      </c>
      <c r="R937">
        <v>136500</v>
      </c>
      <c r="S937">
        <v>195</v>
      </c>
      <c r="T937">
        <v>700</v>
      </c>
      <c r="U937">
        <v>26</v>
      </c>
      <c r="V937">
        <v>1452</v>
      </c>
      <c r="W937" t="s">
        <v>121</v>
      </c>
      <c r="X937" t="s">
        <v>1</v>
      </c>
      <c r="Y937">
        <v>6976569.5999999996</v>
      </c>
      <c r="Z937">
        <v>198198000</v>
      </c>
      <c r="AA937">
        <v>1016400</v>
      </c>
      <c r="AB937">
        <v>106</v>
      </c>
      <c r="AC937" s="34">
        <v>46006</v>
      </c>
      <c r="AD937" s="34">
        <v>46203</v>
      </c>
      <c r="AF937">
        <v>0</v>
      </c>
      <c r="AG937">
        <v>4804.8</v>
      </c>
      <c r="AH937">
        <v>0</v>
      </c>
      <c r="AI937">
        <v>6976569.5999999996</v>
      </c>
      <c r="AJ937">
        <v>0</v>
      </c>
      <c r="AK937">
        <v>0</v>
      </c>
      <c r="AL937">
        <v>1751112</v>
      </c>
      <c r="AM937">
        <v>0</v>
      </c>
      <c r="AN937">
        <v>8727681.5999999996</v>
      </c>
      <c r="AO937" t="s">
        <v>122</v>
      </c>
      <c r="AP937">
        <v>12</v>
      </c>
      <c r="AQ937">
        <v>576.58000000000004</v>
      </c>
      <c r="AR937">
        <v>837194.16</v>
      </c>
      <c r="AT937">
        <v>81900</v>
      </c>
      <c r="AU937">
        <v>2882.88</v>
      </c>
      <c r="AV937">
        <v>118918800</v>
      </c>
      <c r="AW937">
        <v>4185941.76</v>
      </c>
    </row>
    <row r="938" spans="1:49" hidden="1" x14ac:dyDescent="0.35">
      <c r="A938">
        <v>5847010</v>
      </c>
      <c r="B938">
        <v>5010005847001</v>
      </c>
      <c r="D938">
        <v>30519895699</v>
      </c>
      <c r="E938" t="s">
        <v>1454</v>
      </c>
      <c r="F938" t="s">
        <v>1</v>
      </c>
      <c r="G938" t="s">
        <v>39</v>
      </c>
      <c r="H938" t="s">
        <v>39</v>
      </c>
      <c r="I938">
        <v>6640</v>
      </c>
      <c r="J938">
        <v>1</v>
      </c>
      <c r="K938" t="s">
        <v>16</v>
      </c>
      <c r="L938">
        <v>6586</v>
      </c>
      <c r="M938" t="s">
        <v>1421</v>
      </c>
      <c r="N938">
        <v>1</v>
      </c>
      <c r="O938" t="s">
        <v>119</v>
      </c>
      <c r="P938" t="s">
        <v>1455</v>
      </c>
      <c r="Q938">
        <v>1150480</v>
      </c>
      <c r="R938">
        <v>48265000</v>
      </c>
      <c r="S938">
        <v>35</v>
      </c>
      <c r="T938">
        <v>1379000</v>
      </c>
      <c r="U938">
        <v>1</v>
      </c>
      <c r="V938">
        <v>1</v>
      </c>
      <c r="W938" t="s">
        <v>127</v>
      </c>
      <c r="X938">
        <v>19700</v>
      </c>
      <c r="Y938">
        <v>1150480</v>
      </c>
      <c r="Z938">
        <v>48265000</v>
      </c>
      <c r="AA938">
        <v>1379000</v>
      </c>
      <c r="AB938">
        <v>105</v>
      </c>
      <c r="AC938" s="34">
        <v>46019</v>
      </c>
      <c r="AD938" s="34">
        <v>46142</v>
      </c>
      <c r="AF938">
        <v>0</v>
      </c>
      <c r="AG938">
        <v>1150480</v>
      </c>
      <c r="AH938">
        <v>0</v>
      </c>
      <c r="AI938">
        <v>1150480</v>
      </c>
      <c r="AJ938">
        <v>0</v>
      </c>
      <c r="AK938">
        <v>0</v>
      </c>
      <c r="AL938">
        <v>288770.48</v>
      </c>
      <c r="AM938">
        <v>0</v>
      </c>
      <c r="AN938">
        <v>1439250.48</v>
      </c>
      <c r="AO938" t="s">
        <v>122</v>
      </c>
      <c r="AP938">
        <v>15</v>
      </c>
      <c r="AQ938">
        <v>172572</v>
      </c>
      <c r="AR938">
        <v>172572</v>
      </c>
      <c r="AT938">
        <v>28959000</v>
      </c>
      <c r="AU938">
        <v>690288</v>
      </c>
      <c r="AV938">
        <v>28959000</v>
      </c>
      <c r="AW938">
        <v>690288</v>
      </c>
    </row>
    <row r="939" spans="1:49" hidden="1" x14ac:dyDescent="0.35">
      <c r="A939">
        <v>5847110</v>
      </c>
      <c r="B939">
        <v>1250005847101</v>
      </c>
      <c r="D939">
        <v>30590164565</v>
      </c>
      <c r="E939" t="s">
        <v>453</v>
      </c>
      <c r="F939" t="s">
        <v>1</v>
      </c>
      <c r="G939" t="s">
        <v>454</v>
      </c>
      <c r="H939" t="s">
        <v>48</v>
      </c>
      <c r="I939">
        <v>6123</v>
      </c>
      <c r="J939">
        <v>3</v>
      </c>
      <c r="K939" t="s">
        <v>32</v>
      </c>
      <c r="L939">
        <v>4401</v>
      </c>
      <c r="M939" t="s">
        <v>132</v>
      </c>
      <c r="N939">
        <v>1</v>
      </c>
      <c r="O939" t="s">
        <v>119</v>
      </c>
      <c r="P939" t="s">
        <v>1456</v>
      </c>
      <c r="Q939">
        <v>3888</v>
      </c>
      <c r="R939">
        <v>108000</v>
      </c>
      <c r="S939">
        <v>180</v>
      </c>
      <c r="T939">
        <v>600</v>
      </c>
      <c r="U939">
        <v>26</v>
      </c>
      <c r="V939">
        <v>1451</v>
      </c>
      <c r="W939" t="s">
        <v>121</v>
      </c>
      <c r="X939" t="s">
        <v>1</v>
      </c>
      <c r="Y939">
        <v>5641488</v>
      </c>
      <c r="Z939">
        <v>156708000</v>
      </c>
      <c r="AA939">
        <v>870600</v>
      </c>
      <c r="AB939">
        <v>106</v>
      </c>
      <c r="AC939" s="34">
        <v>46019</v>
      </c>
      <c r="AD939" s="34">
        <v>46188</v>
      </c>
      <c r="AF939">
        <v>0</v>
      </c>
      <c r="AG939">
        <v>42944.4</v>
      </c>
      <c r="AH939">
        <v>0</v>
      </c>
      <c r="AI939">
        <v>62312324.399999999</v>
      </c>
      <c r="AJ939">
        <v>0</v>
      </c>
      <c r="AK939">
        <v>0</v>
      </c>
      <c r="AL939">
        <v>17326187.859999999</v>
      </c>
      <c r="AM939">
        <v>0</v>
      </c>
      <c r="AN939">
        <v>79638512.260000005</v>
      </c>
      <c r="AO939" t="s">
        <v>122</v>
      </c>
      <c r="AP939">
        <v>15</v>
      </c>
      <c r="AQ939">
        <v>6441.66</v>
      </c>
      <c r="AR939">
        <v>9346848.6600000001</v>
      </c>
      <c r="AT939">
        <v>64800</v>
      </c>
      <c r="AU939">
        <v>2332.8000000000002</v>
      </c>
      <c r="AV939">
        <v>94024800</v>
      </c>
      <c r="AW939">
        <v>3384892.8</v>
      </c>
    </row>
    <row r="940" spans="1:49" hidden="1" x14ac:dyDescent="0.35">
      <c r="A940">
        <v>5847110</v>
      </c>
      <c r="B940">
        <v>1250005847101</v>
      </c>
      <c r="D940">
        <v>30590164565</v>
      </c>
      <c r="E940" t="s">
        <v>453</v>
      </c>
      <c r="F940" t="s">
        <v>1</v>
      </c>
      <c r="G940" t="s">
        <v>454</v>
      </c>
      <c r="H940" t="s">
        <v>48</v>
      </c>
      <c r="I940">
        <v>6123</v>
      </c>
      <c r="J940">
        <v>3</v>
      </c>
      <c r="K940" t="s">
        <v>32</v>
      </c>
      <c r="L940">
        <v>4401</v>
      </c>
      <c r="M940" t="s">
        <v>132</v>
      </c>
      <c r="N940">
        <v>2</v>
      </c>
      <c r="O940" t="s">
        <v>119</v>
      </c>
      <c r="P940" t="s">
        <v>1457</v>
      </c>
      <c r="Q940">
        <v>3153.6</v>
      </c>
      <c r="R940">
        <v>87600</v>
      </c>
      <c r="S940">
        <v>146</v>
      </c>
      <c r="T940">
        <v>600</v>
      </c>
      <c r="U940">
        <v>26</v>
      </c>
      <c r="V940">
        <v>1451</v>
      </c>
      <c r="W940" t="s">
        <v>121</v>
      </c>
      <c r="X940" t="s">
        <v>1</v>
      </c>
      <c r="Y940">
        <v>4575873.5999999996</v>
      </c>
      <c r="Z940">
        <v>127107600</v>
      </c>
      <c r="AA940">
        <v>870600</v>
      </c>
      <c r="AB940">
        <v>106</v>
      </c>
      <c r="AC940" s="34">
        <v>46019</v>
      </c>
      <c r="AD940" s="34">
        <v>46188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 t="s">
        <v>122</v>
      </c>
      <c r="AT940">
        <v>52560</v>
      </c>
      <c r="AU940">
        <v>1892.16</v>
      </c>
      <c r="AV940">
        <v>76264560</v>
      </c>
      <c r="AW940">
        <v>2745524.16</v>
      </c>
    </row>
    <row r="941" spans="1:49" hidden="1" x14ac:dyDescent="0.35">
      <c r="A941">
        <v>5847110</v>
      </c>
      <c r="B941">
        <v>1250005847101</v>
      </c>
      <c r="D941">
        <v>30590164565</v>
      </c>
      <c r="E941" t="s">
        <v>453</v>
      </c>
      <c r="F941" t="s">
        <v>1</v>
      </c>
      <c r="G941" t="s">
        <v>457</v>
      </c>
      <c r="H941" t="s">
        <v>48</v>
      </c>
      <c r="I941">
        <v>6128</v>
      </c>
      <c r="J941">
        <v>3</v>
      </c>
      <c r="K941" t="s">
        <v>32</v>
      </c>
      <c r="L941">
        <v>4401</v>
      </c>
      <c r="M941" t="s">
        <v>132</v>
      </c>
      <c r="N941">
        <v>3</v>
      </c>
      <c r="O941" t="s">
        <v>119</v>
      </c>
      <c r="P941" t="s">
        <v>1458</v>
      </c>
      <c r="Q941">
        <v>4320</v>
      </c>
      <c r="R941">
        <v>120000</v>
      </c>
      <c r="S941">
        <v>200</v>
      </c>
      <c r="T941">
        <v>600</v>
      </c>
      <c r="U941">
        <v>26</v>
      </c>
      <c r="V941">
        <v>1451</v>
      </c>
      <c r="W941" t="s">
        <v>121</v>
      </c>
      <c r="X941" t="s">
        <v>1</v>
      </c>
      <c r="Y941">
        <v>6268320</v>
      </c>
      <c r="Z941">
        <v>174120000</v>
      </c>
      <c r="AA941">
        <v>870600</v>
      </c>
      <c r="AB941">
        <v>106</v>
      </c>
      <c r="AC941" s="34">
        <v>46019</v>
      </c>
      <c r="AD941" s="34">
        <v>46188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 t="s">
        <v>122</v>
      </c>
      <c r="AT941">
        <v>72000</v>
      </c>
      <c r="AU941">
        <v>2592</v>
      </c>
      <c r="AV941">
        <v>104472000</v>
      </c>
      <c r="AW941">
        <v>3760992</v>
      </c>
    </row>
    <row r="942" spans="1:49" hidden="1" x14ac:dyDescent="0.35">
      <c r="A942">
        <v>5847110</v>
      </c>
      <c r="B942">
        <v>1250005847101</v>
      </c>
      <c r="D942">
        <v>30590164565</v>
      </c>
      <c r="E942" t="s">
        <v>453</v>
      </c>
      <c r="F942" t="s">
        <v>1</v>
      </c>
      <c r="G942" t="s">
        <v>1459</v>
      </c>
      <c r="H942" t="s">
        <v>23</v>
      </c>
      <c r="I942">
        <v>6244</v>
      </c>
      <c r="J942">
        <v>1</v>
      </c>
      <c r="K942" t="s">
        <v>16</v>
      </c>
      <c r="L942">
        <v>4401</v>
      </c>
      <c r="M942" t="s">
        <v>132</v>
      </c>
      <c r="N942">
        <v>4</v>
      </c>
      <c r="O942" t="s">
        <v>119</v>
      </c>
      <c r="P942" t="s">
        <v>1460</v>
      </c>
      <c r="Q942">
        <v>10462.5</v>
      </c>
      <c r="R942">
        <v>225000</v>
      </c>
      <c r="S942">
        <v>375</v>
      </c>
      <c r="T942">
        <v>600</v>
      </c>
      <c r="U942">
        <v>26</v>
      </c>
      <c r="V942">
        <v>1451</v>
      </c>
      <c r="W942" t="s">
        <v>121</v>
      </c>
      <c r="X942" t="s">
        <v>1</v>
      </c>
      <c r="Y942">
        <v>15181087.5</v>
      </c>
      <c r="Z942">
        <v>326475000</v>
      </c>
      <c r="AA942">
        <v>870600</v>
      </c>
      <c r="AB942">
        <v>106</v>
      </c>
      <c r="AC942" s="34">
        <v>46019</v>
      </c>
      <c r="AD942" s="34">
        <v>46188</v>
      </c>
      <c r="AE942" t="s">
        <v>161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 t="s">
        <v>122</v>
      </c>
      <c r="AT942">
        <v>135000</v>
      </c>
      <c r="AU942">
        <v>6277.5</v>
      </c>
      <c r="AV942">
        <v>195885000</v>
      </c>
      <c r="AW942">
        <v>9108652.5</v>
      </c>
    </row>
    <row r="943" spans="1:49" hidden="1" x14ac:dyDescent="0.35">
      <c r="A943">
        <v>5847110</v>
      </c>
      <c r="B943">
        <v>1250005847101</v>
      </c>
      <c r="D943">
        <v>30590164565</v>
      </c>
      <c r="E943" t="s">
        <v>453</v>
      </c>
      <c r="F943" t="s">
        <v>1</v>
      </c>
      <c r="G943" t="s">
        <v>282</v>
      </c>
      <c r="H943" t="s">
        <v>48</v>
      </c>
      <c r="I943">
        <v>6125</v>
      </c>
      <c r="J943">
        <v>3</v>
      </c>
      <c r="K943" t="s">
        <v>32</v>
      </c>
      <c r="L943">
        <v>4401</v>
      </c>
      <c r="M943" t="s">
        <v>132</v>
      </c>
      <c r="N943">
        <v>5</v>
      </c>
      <c r="O943" t="s">
        <v>119</v>
      </c>
      <c r="P943" t="s">
        <v>1461</v>
      </c>
      <c r="Q943">
        <v>19725.3</v>
      </c>
      <c r="R943">
        <v>424200</v>
      </c>
      <c r="S943">
        <v>707</v>
      </c>
      <c r="T943">
        <v>600</v>
      </c>
      <c r="U943">
        <v>26</v>
      </c>
      <c r="V943">
        <v>1451</v>
      </c>
      <c r="W943" t="s">
        <v>121</v>
      </c>
      <c r="X943" t="s">
        <v>1</v>
      </c>
      <c r="Y943">
        <v>28621410.300000001</v>
      </c>
      <c r="Z943">
        <v>615514200</v>
      </c>
      <c r="AA943">
        <v>870600</v>
      </c>
      <c r="AB943">
        <v>106</v>
      </c>
      <c r="AC943" s="34">
        <v>46019</v>
      </c>
      <c r="AD943" s="34">
        <v>46188</v>
      </c>
      <c r="AE943" t="s">
        <v>161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 t="s">
        <v>122</v>
      </c>
      <c r="AT943">
        <v>254520</v>
      </c>
      <c r="AU943">
        <v>11835.18</v>
      </c>
      <c r="AV943">
        <v>369308520</v>
      </c>
      <c r="AW943">
        <v>17172846.18</v>
      </c>
    </row>
    <row r="944" spans="1:49" hidden="1" x14ac:dyDescent="0.35">
      <c r="A944">
        <v>5847110</v>
      </c>
      <c r="B944">
        <v>1250005847101</v>
      </c>
      <c r="D944">
        <v>30590164565</v>
      </c>
      <c r="E944" t="s">
        <v>453</v>
      </c>
      <c r="F944" t="s">
        <v>1</v>
      </c>
      <c r="G944" t="s">
        <v>282</v>
      </c>
      <c r="H944" t="s">
        <v>48</v>
      </c>
      <c r="I944">
        <v>6125</v>
      </c>
      <c r="J944">
        <v>3</v>
      </c>
      <c r="K944" t="s">
        <v>32</v>
      </c>
      <c r="L944">
        <v>4401</v>
      </c>
      <c r="M944" t="s">
        <v>132</v>
      </c>
      <c r="N944">
        <v>6</v>
      </c>
      <c r="O944" t="s">
        <v>119</v>
      </c>
      <c r="P944" t="s">
        <v>1462</v>
      </c>
      <c r="Q944">
        <v>1395</v>
      </c>
      <c r="R944">
        <v>30000</v>
      </c>
      <c r="S944">
        <v>50</v>
      </c>
      <c r="T944">
        <v>600</v>
      </c>
      <c r="U944">
        <v>26</v>
      </c>
      <c r="V944">
        <v>1451</v>
      </c>
      <c r="W944" t="s">
        <v>121</v>
      </c>
      <c r="X944" t="s">
        <v>1</v>
      </c>
      <c r="Y944">
        <v>2024145</v>
      </c>
      <c r="Z944">
        <v>43530000</v>
      </c>
      <c r="AA944">
        <v>870600</v>
      </c>
      <c r="AB944">
        <v>106</v>
      </c>
      <c r="AC944" s="34">
        <v>46019</v>
      </c>
      <c r="AD944" s="34">
        <v>46188</v>
      </c>
      <c r="AE944" t="s">
        <v>161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 t="s">
        <v>122</v>
      </c>
      <c r="AT944">
        <v>18000</v>
      </c>
      <c r="AU944">
        <v>837</v>
      </c>
      <c r="AV944">
        <v>26118000</v>
      </c>
      <c r="AW944">
        <v>1214487</v>
      </c>
    </row>
    <row r="945" spans="1:49" hidden="1" x14ac:dyDescent="0.35">
      <c r="A945">
        <v>5847210</v>
      </c>
      <c r="B945">
        <v>1250005847201</v>
      </c>
      <c r="D945">
        <v>20079750949</v>
      </c>
      <c r="E945" t="s">
        <v>1463</v>
      </c>
      <c r="F945" t="s">
        <v>1</v>
      </c>
      <c r="G945" t="s">
        <v>1257</v>
      </c>
      <c r="H945" t="s">
        <v>47</v>
      </c>
      <c r="I945">
        <v>6121</v>
      </c>
      <c r="J945">
        <v>3</v>
      </c>
      <c r="K945" t="s">
        <v>32</v>
      </c>
      <c r="L945">
        <v>4401</v>
      </c>
      <c r="M945" t="s">
        <v>132</v>
      </c>
      <c r="N945">
        <v>1</v>
      </c>
      <c r="O945" t="s">
        <v>119</v>
      </c>
      <c r="P945" t="s">
        <v>1464</v>
      </c>
      <c r="Q945">
        <v>2300</v>
      </c>
      <c r="R945">
        <v>57500</v>
      </c>
      <c r="S945">
        <v>115</v>
      </c>
      <c r="T945">
        <v>500</v>
      </c>
      <c r="U945">
        <v>26</v>
      </c>
      <c r="V945">
        <v>1451</v>
      </c>
      <c r="W945" t="s">
        <v>121</v>
      </c>
      <c r="X945" t="s">
        <v>1</v>
      </c>
      <c r="Y945">
        <v>3337300</v>
      </c>
      <c r="Z945">
        <v>83432500</v>
      </c>
      <c r="AA945">
        <v>725500</v>
      </c>
      <c r="AB945">
        <v>106</v>
      </c>
      <c r="AC945" s="34">
        <v>46019</v>
      </c>
      <c r="AD945" s="34">
        <v>46173</v>
      </c>
      <c r="AF945">
        <v>0</v>
      </c>
      <c r="AG945">
        <v>2300</v>
      </c>
      <c r="AH945">
        <v>0</v>
      </c>
      <c r="AI945">
        <v>3337300</v>
      </c>
      <c r="AJ945">
        <v>0</v>
      </c>
      <c r="AK945">
        <v>0</v>
      </c>
      <c r="AL945">
        <v>871035.3</v>
      </c>
      <c r="AM945">
        <v>0</v>
      </c>
      <c r="AN945">
        <v>4208335.3</v>
      </c>
      <c r="AO945" t="s">
        <v>122</v>
      </c>
      <c r="AP945">
        <v>15</v>
      </c>
      <c r="AQ945">
        <v>345</v>
      </c>
      <c r="AR945">
        <v>500595</v>
      </c>
      <c r="AT945">
        <v>34500</v>
      </c>
      <c r="AU945">
        <v>1380</v>
      </c>
      <c r="AV945">
        <v>50059500</v>
      </c>
      <c r="AW945">
        <v>2002380</v>
      </c>
    </row>
    <row r="946" spans="1:49" hidden="1" x14ac:dyDescent="0.35">
      <c r="A946">
        <v>5847310</v>
      </c>
      <c r="B946">
        <v>1250005847301</v>
      </c>
      <c r="D946">
        <v>20079750949</v>
      </c>
      <c r="E946" t="s">
        <v>1463</v>
      </c>
      <c r="F946" t="s">
        <v>1</v>
      </c>
      <c r="G946" t="s">
        <v>1257</v>
      </c>
      <c r="H946" t="s">
        <v>47</v>
      </c>
      <c r="I946">
        <v>6121</v>
      </c>
      <c r="J946">
        <v>3</v>
      </c>
      <c r="K946" t="s">
        <v>32</v>
      </c>
      <c r="L946">
        <v>4401</v>
      </c>
      <c r="M946" t="s">
        <v>132</v>
      </c>
      <c r="N946">
        <v>1</v>
      </c>
      <c r="O946" t="s">
        <v>119</v>
      </c>
      <c r="P946" t="s">
        <v>1465</v>
      </c>
      <c r="Q946">
        <v>2562.5</v>
      </c>
      <c r="R946">
        <v>62500</v>
      </c>
      <c r="S946">
        <v>125</v>
      </c>
      <c r="T946">
        <v>500</v>
      </c>
      <c r="U946">
        <v>26</v>
      </c>
      <c r="V946">
        <v>1451</v>
      </c>
      <c r="W946" t="s">
        <v>121</v>
      </c>
      <c r="X946" t="s">
        <v>1</v>
      </c>
      <c r="Y946">
        <v>3718187.5</v>
      </c>
      <c r="Z946">
        <v>90687500</v>
      </c>
      <c r="AA946">
        <v>725500</v>
      </c>
      <c r="AB946">
        <v>211</v>
      </c>
      <c r="AC946" s="34">
        <v>46019</v>
      </c>
      <c r="AD946" s="34">
        <v>46112</v>
      </c>
      <c r="AF946">
        <v>0</v>
      </c>
      <c r="AG946">
        <v>2849.5</v>
      </c>
      <c r="AH946">
        <v>0</v>
      </c>
      <c r="AI946">
        <v>4134624.5</v>
      </c>
      <c r="AJ946">
        <v>0</v>
      </c>
      <c r="AK946">
        <v>0</v>
      </c>
      <c r="AL946">
        <v>1079166.74</v>
      </c>
      <c r="AM946">
        <v>0</v>
      </c>
      <c r="AN946">
        <v>5213791.24</v>
      </c>
      <c r="AO946" t="s">
        <v>122</v>
      </c>
      <c r="AP946">
        <v>15</v>
      </c>
      <c r="AQ946">
        <v>427.43</v>
      </c>
      <c r="AR946">
        <v>620200.93000000005</v>
      </c>
      <c r="AT946">
        <v>37500</v>
      </c>
      <c r="AU946">
        <v>1537.5</v>
      </c>
      <c r="AV946">
        <v>54412500</v>
      </c>
      <c r="AW946">
        <v>2230912.5</v>
      </c>
    </row>
    <row r="947" spans="1:49" hidden="1" x14ac:dyDescent="0.35">
      <c r="A947">
        <v>5847310</v>
      </c>
      <c r="B947">
        <v>1250005847301</v>
      </c>
      <c r="D947">
        <v>20079750949</v>
      </c>
      <c r="E947" t="s">
        <v>1463</v>
      </c>
      <c r="F947" t="s">
        <v>1</v>
      </c>
      <c r="G947" t="s">
        <v>1257</v>
      </c>
      <c r="H947" t="s">
        <v>47</v>
      </c>
      <c r="I947">
        <v>6121</v>
      </c>
      <c r="J947">
        <v>3</v>
      </c>
      <c r="K947" t="s">
        <v>32</v>
      </c>
      <c r="L947">
        <v>4401</v>
      </c>
      <c r="M947" t="s">
        <v>132</v>
      </c>
      <c r="N947">
        <v>2</v>
      </c>
      <c r="O947" t="s">
        <v>119</v>
      </c>
      <c r="P947" t="s">
        <v>1466</v>
      </c>
      <c r="Q947">
        <v>287</v>
      </c>
      <c r="R947">
        <v>7000</v>
      </c>
      <c r="S947">
        <v>14</v>
      </c>
      <c r="T947">
        <v>500</v>
      </c>
      <c r="U947">
        <v>26</v>
      </c>
      <c r="V947">
        <v>1451</v>
      </c>
      <c r="W947" t="s">
        <v>121</v>
      </c>
      <c r="X947" t="s">
        <v>1</v>
      </c>
      <c r="Y947">
        <v>416437</v>
      </c>
      <c r="Z947">
        <v>10157000</v>
      </c>
      <c r="AA947">
        <v>725500</v>
      </c>
      <c r="AB947">
        <v>211</v>
      </c>
      <c r="AC947" s="34">
        <v>46019</v>
      </c>
      <c r="AD947" s="34">
        <v>46112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 t="s">
        <v>122</v>
      </c>
      <c r="AT947">
        <v>4200</v>
      </c>
      <c r="AU947">
        <v>172.2</v>
      </c>
      <c r="AV947">
        <v>6094200</v>
      </c>
      <c r="AW947">
        <v>249862.2</v>
      </c>
    </row>
    <row r="948" spans="1:49" hidden="1" x14ac:dyDescent="0.35">
      <c r="A948">
        <v>5847410</v>
      </c>
      <c r="B948">
        <v>5010005847401</v>
      </c>
      <c r="D948">
        <v>27049380289</v>
      </c>
      <c r="E948" t="s">
        <v>1420</v>
      </c>
      <c r="F948" t="s">
        <v>1</v>
      </c>
      <c r="G948" t="s">
        <v>39</v>
      </c>
      <c r="H948" t="s">
        <v>39</v>
      </c>
      <c r="I948">
        <v>6640</v>
      </c>
      <c r="J948">
        <v>1</v>
      </c>
      <c r="K948" t="s">
        <v>16</v>
      </c>
      <c r="L948">
        <v>6586</v>
      </c>
      <c r="M948" t="s">
        <v>1421</v>
      </c>
      <c r="N948">
        <v>1</v>
      </c>
      <c r="O948" t="s">
        <v>119</v>
      </c>
      <c r="P948" t="s">
        <v>1467</v>
      </c>
      <c r="Q948">
        <v>1976.25</v>
      </c>
      <c r="R948">
        <v>76200</v>
      </c>
      <c r="S948">
        <v>127</v>
      </c>
      <c r="T948">
        <v>600</v>
      </c>
      <c r="U948">
        <v>26</v>
      </c>
      <c r="V948">
        <v>1452.5</v>
      </c>
      <c r="W948" t="s">
        <v>121</v>
      </c>
      <c r="X948" t="s">
        <v>1</v>
      </c>
      <c r="Y948">
        <v>2870503.13</v>
      </c>
      <c r="Z948">
        <v>110680500</v>
      </c>
      <c r="AA948">
        <v>871500</v>
      </c>
      <c r="AB948">
        <v>106</v>
      </c>
      <c r="AC948" s="34">
        <v>46019</v>
      </c>
      <c r="AD948" s="34">
        <v>46173</v>
      </c>
      <c r="AF948">
        <v>0</v>
      </c>
      <c r="AG948">
        <v>1976.25</v>
      </c>
      <c r="AH948">
        <v>0</v>
      </c>
      <c r="AI948">
        <v>2870503.13</v>
      </c>
      <c r="AJ948">
        <v>0</v>
      </c>
      <c r="AK948">
        <v>0</v>
      </c>
      <c r="AL948">
        <v>720498.1</v>
      </c>
      <c r="AM948">
        <v>0</v>
      </c>
      <c r="AN948">
        <v>3591001.23</v>
      </c>
      <c r="AO948" t="s">
        <v>122</v>
      </c>
      <c r="AP948">
        <v>15</v>
      </c>
      <c r="AQ948">
        <v>296.44</v>
      </c>
      <c r="AR948">
        <v>430579.1</v>
      </c>
      <c r="AT948">
        <v>45720</v>
      </c>
      <c r="AU948">
        <v>1185.75</v>
      </c>
      <c r="AV948">
        <v>66408300</v>
      </c>
      <c r="AW948">
        <v>1722301.88</v>
      </c>
    </row>
    <row r="949" spans="1:49" hidden="1" x14ac:dyDescent="0.35">
      <c r="A949">
        <v>5847510</v>
      </c>
      <c r="B949">
        <v>1170005847501</v>
      </c>
      <c r="D949">
        <v>30707778136</v>
      </c>
      <c r="E949" t="s">
        <v>486</v>
      </c>
      <c r="F949" t="s">
        <v>1</v>
      </c>
      <c r="G949" t="s">
        <v>226</v>
      </c>
      <c r="H949" t="s">
        <v>63</v>
      </c>
      <c r="I949">
        <v>2535</v>
      </c>
      <c r="J949">
        <v>12</v>
      </c>
      <c r="K949" t="s">
        <v>34</v>
      </c>
      <c r="L949">
        <v>83429</v>
      </c>
      <c r="M949" t="s">
        <v>140</v>
      </c>
      <c r="N949">
        <v>1</v>
      </c>
      <c r="O949" t="s">
        <v>119</v>
      </c>
      <c r="P949" t="s">
        <v>1468</v>
      </c>
      <c r="Q949">
        <v>983070</v>
      </c>
      <c r="R949">
        <v>47520000</v>
      </c>
      <c r="S949">
        <v>64</v>
      </c>
      <c r="T949">
        <v>742500</v>
      </c>
      <c r="U949">
        <v>1</v>
      </c>
      <c r="V949">
        <v>1</v>
      </c>
      <c r="W949" t="s">
        <v>127</v>
      </c>
      <c r="X949">
        <v>29700</v>
      </c>
      <c r="Y949">
        <v>983070</v>
      </c>
      <c r="Z949">
        <v>47520000</v>
      </c>
      <c r="AA949">
        <v>742500</v>
      </c>
      <c r="AB949">
        <v>105</v>
      </c>
      <c r="AC949" s="34">
        <v>46019</v>
      </c>
      <c r="AD949" s="34">
        <v>46188</v>
      </c>
      <c r="AF949">
        <v>0</v>
      </c>
      <c r="AG949">
        <v>3133053</v>
      </c>
      <c r="AH949">
        <v>0</v>
      </c>
      <c r="AI949">
        <v>3133053</v>
      </c>
      <c r="AJ949">
        <v>0</v>
      </c>
      <c r="AK949">
        <v>0</v>
      </c>
      <c r="AL949">
        <v>802061.58</v>
      </c>
      <c r="AM949">
        <v>0</v>
      </c>
      <c r="AN949">
        <v>3935114.58</v>
      </c>
      <c r="AO949" t="s">
        <v>122</v>
      </c>
      <c r="AP949">
        <v>15</v>
      </c>
      <c r="AQ949">
        <v>469957.95</v>
      </c>
      <c r="AR949">
        <v>469957.95</v>
      </c>
      <c r="AT949">
        <v>28512000</v>
      </c>
      <c r="AU949">
        <v>589842</v>
      </c>
      <c r="AV949">
        <v>28512000</v>
      </c>
      <c r="AW949">
        <v>589842</v>
      </c>
    </row>
    <row r="950" spans="1:49" hidden="1" x14ac:dyDescent="0.35">
      <c r="A950">
        <v>5847510</v>
      </c>
      <c r="B950">
        <v>1170005847501</v>
      </c>
      <c r="D950">
        <v>30707778136</v>
      </c>
      <c r="E950" t="s">
        <v>486</v>
      </c>
      <c r="F950" t="s">
        <v>1</v>
      </c>
      <c r="G950" t="s">
        <v>226</v>
      </c>
      <c r="H950" t="s">
        <v>63</v>
      </c>
      <c r="I950">
        <v>2535</v>
      </c>
      <c r="J950">
        <v>12</v>
      </c>
      <c r="K950" t="s">
        <v>34</v>
      </c>
      <c r="L950">
        <v>83429</v>
      </c>
      <c r="M950" t="s">
        <v>140</v>
      </c>
      <c r="N950">
        <v>2</v>
      </c>
      <c r="O950" t="s">
        <v>119</v>
      </c>
      <c r="P950" t="s">
        <v>1469</v>
      </c>
      <c r="Q950">
        <v>614196</v>
      </c>
      <c r="R950">
        <v>29700000</v>
      </c>
      <c r="S950">
        <v>40</v>
      </c>
      <c r="T950">
        <v>742500</v>
      </c>
      <c r="U950">
        <v>1</v>
      </c>
      <c r="V950">
        <v>1</v>
      </c>
      <c r="W950" t="s">
        <v>127</v>
      </c>
      <c r="X950">
        <v>29700</v>
      </c>
      <c r="Y950">
        <v>614196</v>
      </c>
      <c r="Z950">
        <v>29700000</v>
      </c>
      <c r="AA950">
        <v>742500</v>
      </c>
      <c r="AB950">
        <v>105</v>
      </c>
      <c r="AC950" s="34">
        <v>46019</v>
      </c>
      <c r="AD950" s="34">
        <v>46188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 t="s">
        <v>122</v>
      </c>
      <c r="AT950">
        <v>17820000</v>
      </c>
      <c r="AU950">
        <v>368517.6</v>
      </c>
      <c r="AV950">
        <v>17820000</v>
      </c>
      <c r="AW950">
        <v>368517.6</v>
      </c>
    </row>
    <row r="951" spans="1:49" hidden="1" x14ac:dyDescent="0.35">
      <c r="A951">
        <v>5847510</v>
      </c>
      <c r="B951">
        <v>1170005847501</v>
      </c>
      <c r="D951">
        <v>30707778136</v>
      </c>
      <c r="E951" t="s">
        <v>486</v>
      </c>
      <c r="F951" t="s">
        <v>1</v>
      </c>
      <c r="G951" t="s">
        <v>226</v>
      </c>
      <c r="H951" t="s">
        <v>63</v>
      </c>
      <c r="I951">
        <v>2535</v>
      </c>
      <c r="J951">
        <v>12</v>
      </c>
      <c r="K951" t="s">
        <v>34</v>
      </c>
      <c r="L951">
        <v>83429</v>
      </c>
      <c r="M951" t="s">
        <v>140</v>
      </c>
      <c r="N951">
        <v>3</v>
      </c>
      <c r="O951" t="s">
        <v>119</v>
      </c>
      <c r="P951" t="s">
        <v>1470</v>
      </c>
      <c r="Q951">
        <v>675675</v>
      </c>
      <c r="R951">
        <v>32670000</v>
      </c>
      <c r="S951">
        <v>44</v>
      </c>
      <c r="T951">
        <v>742500</v>
      </c>
      <c r="U951">
        <v>1</v>
      </c>
      <c r="V951">
        <v>1</v>
      </c>
      <c r="W951" t="s">
        <v>127</v>
      </c>
      <c r="X951">
        <v>29700</v>
      </c>
      <c r="Y951">
        <v>675675</v>
      </c>
      <c r="Z951">
        <v>32670000</v>
      </c>
      <c r="AA951">
        <v>742500</v>
      </c>
      <c r="AB951">
        <v>105</v>
      </c>
      <c r="AC951" s="34">
        <v>46019</v>
      </c>
      <c r="AD951" s="34">
        <v>46188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 t="s">
        <v>122</v>
      </c>
      <c r="AT951">
        <v>19602000</v>
      </c>
      <c r="AU951">
        <v>405405</v>
      </c>
      <c r="AV951">
        <v>19602000</v>
      </c>
      <c r="AW951">
        <v>405405</v>
      </c>
    </row>
    <row r="952" spans="1:49" hidden="1" x14ac:dyDescent="0.35">
      <c r="A952">
        <v>5847510</v>
      </c>
      <c r="B952">
        <v>1170005847501</v>
      </c>
      <c r="D952">
        <v>30707778136</v>
      </c>
      <c r="E952" t="s">
        <v>486</v>
      </c>
      <c r="F952" t="s">
        <v>1</v>
      </c>
      <c r="G952" t="s">
        <v>226</v>
      </c>
      <c r="H952" t="s">
        <v>63</v>
      </c>
      <c r="I952">
        <v>2535</v>
      </c>
      <c r="J952">
        <v>12</v>
      </c>
      <c r="K952" t="s">
        <v>34</v>
      </c>
      <c r="L952">
        <v>83429</v>
      </c>
      <c r="M952" t="s">
        <v>140</v>
      </c>
      <c r="N952">
        <v>4</v>
      </c>
      <c r="O952" t="s">
        <v>119</v>
      </c>
      <c r="P952" t="s">
        <v>1471</v>
      </c>
      <c r="Q952">
        <v>553014</v>
      </c>
      <c r="R952">
        <v>26730000</v>
      </c>
      <c r="S952">
        <v>36</v>
      </c>
      <c r="T952">
        <v>742500</v>
      </c>
      <c r="U952">
        <v>1</v>
      </c>
      <c r="V952">
        <v>1</v>
      </c>
      <c r="W952" t="s">
        <v>127</v>
      </c>
      <c r="X952">
        <v>29700</v>
      </c>
      <c r="Y952">
        <v>553014</v>
      </c>
      <c r="Z952">
        <v>26730000</v>
      </c>
      <c r="AA952">
        <v>742500</v>
      </c>
      <c r="AB952">
        <v>105</v>
      </c>
      <c r="AC952" s="34">
        <v>46019</v>
      </c>
      <c r="AD952" s="34">
        <v>46188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 t="s">
        <v>122</v>
      </c>
      <c r="AT952">
        <v>16038000</v>
      </c>
      <c r="AU952">
        <v>331808.40000000002</v>
      </c>
      <c r="AV952">
        <v>16038000</v>
      </c>
      <c r="AW952">
        <v>331808.40000000002</v>
      </c>
    </row>
    <row r="953" spans="1:49" hidden="1" x14ac:dyDescent="0.35">
      <c r="A953">
        <v>5847510</v>
      </c>
      <c r="B953">
        <v>1170005847501</v>
      </c>
      <c r="D953">
        <v>30707778136</v>
      </c>
      <c r="E953" t="s">
        <v>486</v>
      </c>
      <c r="F953" t="s">
        <v>1</v>
      </c>
      <c r="G953" t="s">
        <v>226</v>
      </c>
      <c r="H953" t="s">
        <v>63</v>
      </c>
      <c r="I953">
        <v>2535</v>
      </c>
      <c r="J953">
        <v>12</v>
      </c>
      <c r="K953" t="s">
        <v>34</v>
      </c>
      <c r="L953">
        <v>83429</v>
      </c>
      <c r="M953" t="s">
        <v>140</v>
      </c>
      <c r="N953">
        <v>5</v>
      </c>
      <c r="O953" t="s">
        <v>119</v>
      </c>
      <c r="P953" t="s">
        <v>1472</v>
      </c>
      <c r="Q953">
        <v>307098</v>
      </c>
      <c r="R953">
        <v>14850000</v>
      </c>
      <c r="S953">
        <v>20</v>
      </c>
      <c r="T953">
        <v>742500</v>
      </c>
      <c r="U953">
        <v>1</v>
      </c>
      <c r="V953">
        <v>1</v>
      </c>
      <c r="W953" t="s">
        <v>127</v>
      </c>
      <c r="X953">
        <v>29700</v>
      </c>
      <c r="Y953">
        <v>307098</v>
      </c>
      <c r="Z953">
        <v>14850000</v>
      </c>
      <c r="AA953">
        <v>742500</v>
      </c>
      <c r="AB953">
        <v>105</v>
      </c>
      <c r="AC953" s="34">
        <v>46019</v>
      </c>
      <c r="AD953" s="34">
        <v>46188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 t="s">
        <v>122</v>
      </c>
      <c r="AT953">
        <v>8910000</v>
      </c>
      <c r="AU953">
        <v>184258.8</v>
      </c>
      <c r="AV953">
        <v>8910000</v>
      </c>
      <c r="AW953">
        <v>184258.8</v>
      </c>
    </row>
    <row r="954" spans="1:49" hidden="1" x14ac:dyDescent="0.35">
      <c r="A954">
        <v>5847610</v>
      </c>
      <c r="B954">
        <v>1090005847601</v>
      </c>
      <c r="D954">
        <v>33709819769</v>
      </c>
      <c r="E954" t="s">
        <v>830</v>
      </c>
      <c r="F954" t="s">
        <v>1</v>
      </c>
      <c r="G954" t="s">
        <v>56</v>
      </c>
      <c r="H954" t="s">
        <v>56</v>
      </c>
      <c r="I954">
        <v>6381</v>
      </c>
      <c r="J954">
        <v>21</v>
      </c>
      <c r="K954" t="s">
        <v>33</v>
      </c>
      <c r="L954">
        <v>6127</v>
      </c>
      <c r="M954" t="s">
        <v>118</v>
      </c>
      <c r="N954">
        <v>1</v>
      </c>
      <c r="O954" t="s">
        <v>119</v>
      </c>
      <c r="P954" t="s">
        <v>1473</v>
      </c>
      <c r="Q954">
        <v>428.64</v>
      </c>
      <c r="R954">
        <v>14100</v>
      </c>
      <c r="S954">
        <v>47</v>
      </c>
      <c r="T954">
        <v>300</v>
      </c>
      <c r="U954">
        <v>26</v>
      </c>
      <c r="V954">
        <v>1452.5</v>
      </c>
      <c r="W954" t="s">
        <v>121</v>
      </c>
      <c r="X954" t="s">
        <v>1</v>
      </c>
      <c r="Y954">
        <v>622599.6</v>
      </c>
      <c r="Z954">
        <v>20480250</v>
      </c>
      <c r="AA954">
        <v>435750</v>
      </c>
      <c r="AB954">
        <v>106</v>
      </c>
      <c r="AC954" s="34">
        <v>46022</v>
      </c>
      <c r="AD954" s="34">
        <v>46188</v>
      </c>
      <c r="AF954">
        <v>0</v>
      </c>
      <c r="AG954">
        <v>1661.64</v>
      </c>
      <c r="AH954">
        <v>0</v>
      </c>
      <c r="AI954">
        <v>2413532.1</v>
      </c>
      <c r="AJ954">
        <v>0</v>
      </c>
      <c r="AK954">
        <v>0</v>
      </c>
      <c r="AL954">
        <v>605794.18000000005</v>
      </c>
      <c r="AM954">
        <v>0</v>
      </c>
      <c r="AN954">
        <v>3019326.28</v>
      </c>
      <c r="AO954" t="s">
        <v>122</v>
      </c>
      <c r="AP954">
        <v>12</v>
      </c>
      <c r="AQ954">
        <v>199.4</v>
      </c>
      <c r="AR954">
        <v>289628.5</v>
      </c>
      <c r="AT954">
        <v>8460</v>
      </c>
      <c r="AU954">
        <v>257.18</v>
      </c>
      <c r="AV954">
        <v>12288150</v>
      </c>
      <c r="AW954">
        <v>373553.95</v>
      </c>
    </row>
    <row r="955" spans="1:49" hidden="1" x14ac:dyDescent="0.35">
      <c r="A955">
        <v>5847610</v>
      </c>
      <c r="B955">
        <v>1090005847601</v>
      </c>
      <c r="D955">
        <v>33709819769</v>
      </c>
      <c r="E955" t="s">
        <v>830</v>
      </c>
      <c r="F955" t="s">
        <v>1</v>
      </c>
      <c r="G955" t="s">
        <v>370</v>
      </c>
      <c r="H955" t="s">
        <v>58</v>
      </c>
      <c r="I955">
        <v>6333</v>
      </c>
      <c r="J955">
        <v>21</v>
      </c>
      <c r="K955" t="s">
        <v>33</v>
      </c>
      <c r="L955">
        <v>6127</v>
      </c>
      <c r="M955" t="s">
        <v>118</v>
      </c>
      <c r="N955">
        <v>2</v>
      </c>
      <c r="O955" t="s">
        <v>119</v>
      </c>
      <c r="P955" t="s">
        <v>1474</v>
      </c>
      <c r="Q955">
        <v>1233</v>
      </c>
      <c r="R955">
        <v>45000</v>
      </c>
      <c r="S955">
        <v>150</v>
      </c>
      <c r="T955">
        <v>300</v>
      </c>
      <c r="U955">
        <v>26</v>
      </c>
      <c r="V955">
        <v>1452.5</v>
      </c>
      <c r="W955" t="s">
        <v>121</v>
      </c>
      <c r="X955" t="s">
        <v>1</v>
      </c>
      <c r="Y955">
        <v>1790932.5</v>
      </c>
      <c r="Z955">
        <v>65362500</v>
      </c>
      <c r="AA955">
        <v>435750</v>
      </c>
      <c r="AB955">
        <v>106</v>
      </c>
      <c r="AC955" s="34">
        <v>46022</v>
      </c>
      <c r="AD955" s="34">
        <v>46188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 t="s">
        <v>122</v>
      </c>
      <c r="AT955">
        <v>27000</v>
      </c>
      <c r="AU955">
        <v>739.8</v>
      </c>
      <c r="AV955">
        <v>39217500</v>
      </c>
      <c r="AW955">
        <v>1074559.5</v>
      </c>
    </row>
    <row r="956" spans="1:49" hidden="1" x14ac:dyDescent="0.35">
      <c r="A956">
        <v>5847710</v>
      </c>
      <c r="B956">
        <v>1090005847701</v>
      </c>
      <c r="D956">
        <v>30685141694</v>
      </c>
      <c r="E956" t="s">
        <v>946</v>
      </c>
      <c r="F956" t="s">
        <v>1</v>
      </c>
      <c r="G956" t="s">
        <v>568</v>
      </c>
      <c r="H956" t="s">
        <v>57</v>
      </c>
      <c r="I956">
        <v>6360</v>
      </c>
      <c r="J956">
        <v>21</v>
      </c>
      <c r="K956" t="s">
        <v>33</v>
      </c>
      <c r="L956">
        <v>6127</v>
      </c>
      <c r="M956" t="s">
        <v>118</v>
      </c>
      <c r="N956">
        <v>1</v>
      </c>
      <c r="O956" t="s">
        <v>119</v>
      </c>
      <c r="P956" t="s">
        <v>1475</v>
      </c>
      <c r="Q956">
        <v>2879.97</v>
      </c>
      <c r="R956">
        <v>138460</v>
      </c>
      <c r="S956">
        <v>322</v>
      </c>
      <c r="T956">
        <v>430</v>
      </c>
      <c r="U956">
        <v>26</v>
      </c>
      <c r="V956">
        <v>1452.5</v>
      </c>
      <c r="W956" t="s">
        <v>121</v>
      </c>
      <c r="X956" t="s">
        <v>1</v>
      </c>
      <c r="Y956">
        <v>4183156.43</v>
      </c>
      <c r="Z956">
        <v>201113150</v>
      </c>
      <c r="AA956">
        <v>624575</v>
      </c>
      <c r="AB956">
        <v>106</v>
      </c>
      <c r="AC956" s="34">
        <v>45985</v>
      </c>
      <c r="AD956" s="34">
        <v>46173</v>
      </c>
      <c r="AF956">
        <v>0</v>
      </c>
      <c r="AG956">
        <v>2879.97</v>
      </c>
      <c r="AH956">
        <v>0</v>
      </c>
      <c r="AI956">
        <v>4183156.43</v>
      </c>
      <c r="AJ956">
        <v>0</v>
      </c>
      <c r="AK956">
        <v>0</v>
      </c>
      <c r="AL956">
        <v>924472.68</v>
      </c>
      <c r="AM956">
        <v>0</v>
      </c>
      <c r="AN956">
        <v>5107629.0999999996</v>
      </c>
      <c r="AO956" t="s">
        <v>122</v>
      </c>
      <c r="AP956">
        <v>12</v>
      </c>
      <c r="AQ956">
        <v>345.6</v>
      </c>
      <c r="AR956">
        <v>501984</v>
      </c>
      <c r="AT956">
        <v>83076</v>
      </c>
      <c r="AU956">
        <v>1727.98</v>
      </c>
      <c r="AV956">
        <v>120667890</v>
      </c>
      <c r="AW956">
        <v>2509890.9500000002</v>
      </c>
    </row>
    <row r="957" spans="1:49" hidden="1" x14ac:dyDescent="0.35">
      <c r="A957">
        <v>5847810</v>
      </c>
      <c r="B957">
        <v>1090005847801</v>
      </c>
      <c r="D957">
        <v>20182620557</v>
      </c>
      <c r="E957" t="s">
        <v>1476</v>
      </c>
      <c r="F957" t="s">
        <v>1</v>
      </c>
      <c r="G957" t="s">
        <v>56</v>
      </c>
      <c r="H957" t="s">
        <v>56</v>
      </c>
      <c r="I957">
        <v>6381</v>
      </c>
      <c r="J957">
        <v>21</v>
      </c>
      <c r="K957" t="s">
        <v>33</v>
      </c>
      <c r="L957">
        <v>82963</v>
      </c>
      <c r="M957" t="s">
        <v>396</v>
      </c>
      <c r="N957">
        <v>1</v>
      </c>
      <c r="O957" t="s">
        <v>119</v>
      </c>
      <c r="P957" t="s">
        <v>1477</v>
      </c>
      <c r="Q957">
        <v>990000</v>
      </c>
      <c r="R957">
        <v>30000000</v>
      </c>
      <c r="S957">
        <v>75</v>
      </c>
      <c r="T957">
        <v>400000</v>
      </c>
      <c r="U957">
        <v>1</v>
      </c>
      <c r="V957">
        <v>1</v>
      </c>
      <c r="W957" t="s">
        <v>121</v>
      </c>
      <c r="X957" t="s">
        <v>1</v>
      </c>
      <c r="Y957">
        <v>990000</v>
      </c>
      <c r="Z957">
        <v>30000000</v>
      </c>
      <c r="AA957">
        <v>400000</v>
      </c>
      <c r="AB957">
        <v>105</v>
      </c>
      <c r="AC957" s="34">
        <v>46013</v>
      </c>
      <c r="AD957" s="34">
        <v>46112</v>
      </c>
      <c r="AE957" t="s">
        <v>161</v>
      </c>
      <c r="AF957">
        <v>0</v>
      </c>
      <c r="AG957">
        <v>990000</v>
      </c>
      <c r="AH957">
        <v>0</v>
      </c>
      <c r="AI957">
        <v>990000</v>
      </c>
      <c r="AJ957">
        <v>0</v>
      </c>
      <c r="AK957">
        <v>0</v>
      </c>
      <c r="AL957">
        <v>248490</v>
      </c>
      <c r="AM957">
        <v>0</v>
      </c>
      <c r="AN957">
        <v>1238490</v>
      </c>
      <c r="AO957" t="s">
        <v>122</v>
      </c>
      <c r="AP957">
        <v>10</v>
      </c>
      <c r="AQ957">
        <v>99000</v>
      </c>
      <c r="AR957">
        <v>99000</v>
      </c>
      <c r="AT957">
        <v>18000000</v>
      </c>
      <c r="AU957">
        <v>594000</v>
      </c>
      <c r="AV957">
        <v>18000000</v>
      </c>
      <c r="AW957">
        <v>594000</v>
      </c>
    </row>
    <row r="958" spans="1:49" hidden="1" x14ac:dyDescent="0.35">
      <c r="A958">
        <v>5847910</v>
      </c>
      <c r="B958">
        <v>1090005847901</v>
      </c>
      <c r="D958">
        <v>20278448399</v>
      </c>
      <c r="E958" t="s">
        <v>1205</v>
      </c>
      <c r="F958" t="s">
        <v>1</v>
      </c>
      <c r="G958" t="s">
        <v>56</v>
      </c>
      <c r="H958" t="s">
        <v>56</v>
      </c>
      <c r="I958">
        <v>6381</v>
      </c>
      <c r="J958">
        <v>21</v>
      </c>
      <c r="K958" t="s">
        <v>33</v>
      </c>
      <c r="L958">
        <v>82963</v>
      </c>
      <c r="M958" t="s">
        <v>396</v>
      </c>
      <c r="N958">
        <v>1</v>
      </c>
      <c r="O958" t="s">
        <v>119</v>
      </c>
      <c r="P958" t="s">
        <v>1478</v>
      </c>
      <c r="Q958">
        <v>792</v>
      </c>
      <c r="R958">
        <v>22000</v>
      </c>
      <c r="S958">
        <v>44</v>
      </c>
      <c r="T958">
        <v>500</v>
      </c>
      <c r="U958">
        <v>26</v>
      </c>
      <c r="V958">
        <v>1452.5</v>
      </c>
      <c r="W958" t="s">
        <v>121</v>
      </c>
      <c r="X958" t="s">
        <v>1</v>
      </c>
      <c r="Y958">
        <v>1150380</v>
      </c>
      <c r="Z958">
        <v>31955000</v>
      </c>
      <c r="AA958">
        <v>726250</v>
      </c>
      <c r="AB958">
        <v>106</v>
      </c>
      <c r="AC958" s="34">
        <v>45993</v>
      </c>
      <c r="AD958" s="34">
        <v>46173</v>
      </c>
      <c r="AE958" t="s">
        <v>161</v>
      </c>
      <c r="AF958">
        <v>0</v>
      </c>
      <c r="AG958">
        <v>2412</v>
      </c>
      <c r="AH958">
        <v>0</v>
      </c>
      <c r="AI958">
        <v>3503430</v>
      </c>
      <c r="AJ958">
        <v>0</v>
      </c>
      <c r="AK958">
        <v>0</v>
      </c>
      <c r="AL958">
        <v>879387.08</v>
      </c>
      <c r="AM958">
        <v>0</v>
      </c>
      <c r="AN958">
        <v>4382817.08</v>
      </c>
      <c r="AO958" t="s">
        <v>122</v>
      </c>
      <c r="AP958">
        <v>10</v>
      </c>
      <c r="AQ958">
        <v>241.2</v>
      </c>
      <c r="AR958">
        <v>350343</v>
      </c>
      <c r="AT958">
        <v>13200</v>
      </c>
      <c r="AU958">
        <v>475.2</v>
      </c>
      <c r="AV958">
        <v>19173000</v>
      </c>
      <c r="AW958">
        <v>690228</v>
      </c>
    </row>
    <row r="959" spans="1:49" hidden="1" x14ac:dyDescent="0.35">
      <c r="A959">
        <v>5847910</v>
      </c>
      <c r="B959">
        <v>1090005847901</v>
      </c>
      <c r="D959">
        <v>20278448399</v>
      </c>
      <c r="E959" t="s">
        <v>1205</v>
      </c>
      <c r="F959" t="s">
        <v>1</v>
      </c>
      <c r="G959" t="s">
        <v>56</v>
      </c>
      <c r="H959" t="s">
        <v>56</v>
      </c>
      <c r="I959">
        <v>6381</v>
      </c>
      <c r="J959">
        <v>21</v>
      </c>
      <c r="K959" t="s">
        <v>33</v>
      </c>
      <c r="L959">
        <v>82963</v>
      </c>
      <c r="M959" t="s">
        <v>396</v>
      </c>
      <c r="N959">
        <v>2</v>
      </c>
      <c r="O959" t="s">
        <v>119</v>
      </c>
      <c r="P959" t="s">
        <v>1479</v>
      </c>
      <c r="Q959">
        <v>1152</v>
      </c>
      <c r="R959">
        <v>32000</v>
      </c>
      <c r="S959">
        <v>64</v>
      </c>
      <c r="T959">
        <v>500</v>
      </c>
      <c r="U959">
        <v>26</v>
      </c>
      <c r="V959">
        <v>1452.5</v>
      </c>
      <c r="W959" t="s">
        <v>121</v>
      </c>
      <c r="X959" t="s">
        <v>1</v>
      </c>
      <c r="Y959">
        <v>1673280</v>
      </c>
      <c r="Z959">
        <v>46480000</v>
      </c>
      <c r="AA959">
        <v>726250</v>
      </c>
      <c r="AB959">
        <v>106</v>
      </c>
      <c r="AC959" s="34">
        <v>45993</v>
      </c>
      <c r="AD959" s="34">
        <v>46173</v>
      </c>
      <c r="AE959" t="s">
        <v>161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 t="s">
        <v>122</v>
      </c>
      <c r="AT959">
        <v>19200</v>
      </c>
      <c r="AU959">
        <v>691.2</v>
      </c>
      <c r="AV959">
        <v>27888000</v>
      </c>
      <c r="AW959">
        <v>1003968</v>
      </c>
    </row>
    <row r="960" spans="1:49" hidden="1" x14ac:dyDescent="0.35">
      <c r="A960">
        <v>5847910</v>
      </c>
      <c r="B960">
        <v>1090005847901</v>
      </c>
      <c r="D960">
        <v>20278448399</v>
      </c>
      <c r="E960" t="s">
        <v>1205</v>
      </c>
      <c r="F960" t="s">
        <v>1</v>
      </c>
      <c r="G960" t="s">
        <v>56</v>
      </c>
      <c r="H960" t="s">
        <v>56</v>
      </c>
      <c r="I960">
        <v>6381</v>
      </c>
      <c r="J960">
        <v>21</v>
      </c>
      <c r="K960" t="s">
        <v>33</v>
      </c>
      <c r="L960">
        <v>82963</v>
      </c>
      <c r="M960" t="s">
        <v>396</v>
      </c>
      <c r="N960">
        <v>3</v>
      </c>
      <c r="O960" t="s">
        <v>119</v>
      </c>
      <c r="P960" t="s">
        <v>1480</v>
      </c>
      <c r="Q960">
        <v>468</v>
      </c>
      <c r="R960">
        <v>13000</v>
      </c>
      <c r="S960">
        <v>52</v>
      </c>
      <c r="T960">
        <v>250</v>
      </c>
      <c r="U960">
        <v>26</v>
      </c>
      <c r="V960">
        <v>1452.5</v>
      </c>
      <c r="W960" t="s">
        <v>121</v>
      </c>
      <c r="X960" t="s">
        <v>1</v>
      </c>
      <c r="Y960">
        <v>679770</v>
      </c>
      <c r="Z960">
        <v>18882500</v>
      </c>
      <c r="AA960">
        <v>363125</v>
      </c>
      <c r="AB960">
        <v>106</v>
      </c>
      <c r="AC960" s="34">
        <v>45993</v>
      </c>
      <c r="AD960" s="34">
        <v>46173</v>
      </c>
      <c r="AE960" t="s">
        <v>161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 t="s">
        <v>122</v>
      </c>
      <c r="AT960">
        <v>7800</v>
      </c>
      <c r="AU960">
        <v>280.8</v>
      </c>
      <c r="AV960">
        <v>11329500</v>
      </c>
      <c r="AW960">
        <v>407862</v>
      </c>
    </row>
    <row r="961" spans="1:49" hidden="1" x14ac:dyDescent="0.35">
      <c r="A961">
        <v>5848010</v>
      </c>
      <c r="B961">
        <v>1250005848001</v>
      </c>
      <c r="D961">
        <v>27147273261</v>
      </c>
      <c r="E961" t="s">
        <v>1481</v>
      </c>
      <c r="F961" t="s">
        <v>1</v>
      </c>
      <c r="G961" t="s">
        <v>703</v>
      </c>
      <c r="H961" t="s">
        <v>47</v>
      </c>
      <c r="I961">
        <v>2670</v>
      </c>
      <c r="J961">
        <v>3</v>
      </c>
      <c r="K961" t="s">
        <v>32</v>
      </c>
      <c r="L961">
        <v>10067</v>
      </c>
      <c r="M961" t="s">
        <v>704</v>
      </c>
      <c r="N961">
        <v>1</v>
      </c>
      <c r="O961" t="s">
        <v>119</v>
      </c>
      <c r="P961" t="s">
        <v>1482</v>
      </c>
      <c r="Q961">
        <v>4562520</v>
      </c>
      <c r="R961">
        <v>118200000</v>
      </c>
      <c r="S961">
        <v>120</v>
      </c>
      <c r="T961">
        <v>985000</v>
      </c>
      <c r="U961">
        <v>1</v>
      </c>
      <c r="V961">
        <v>1</v>
      </c>
      <c r="W961" t="s">
        <v>127</v>
      </c>
      <c r="X961">
        <v>19700</v>
      </c>
      <c r="Y961">
        <v>4562520</v>
      </c>
      <c r="Z961">
        <v>118200000</v>
      </c>
      <c r="AA961">
        <v>985000</v>
      </c>
      <c r="AB961">
        <v>105</v>
      </c>
      <c r="AC961" s="34">
        <v>46013</v>
      </c>
      <c r="AD961" s="34">
        <v>46203</v>
      </c>
      <c r="AF961">
        <v>0</v>
      </c>
      <c r="AG961">
        <v>4562520</v>
      </c>
      <c r="AH961">
        <v>0</v>
      </c>
      <c r="AI961">
        <v>4562520</v>
      </c>
      <c r="AJ961">
        <v>0</v>
      </c>
      <c r="AK961">
        <v>0</v>
      </c>
      <c r="AL961">
        <v>1190817.72</v>
      </c>
      <c r="AM961">
        <v>0</v>
      </c>
      <c r="AN961">
        <v>5753337.7199999997</v>
      </c>
      <c r="AO961" t="s">
        <v>122</v>
      </c>
      <c r="AP961">
        <v>10</v>
      </c>
      <c r="AQ961">
        <v>456252</v>
      </c>
      <c r="AR961">
        <v>456252</v>
      </c>
      <c r="AT961">
        <v>70920000</v>
      </c>
      <c r="AU961">
        <v>2737512</v>
      </c>
      <c r="AV961">
        <v>70920000</v>
      </c>
      <c r="AW961">
        <v>2737512</v>
      </c>
    </row>
    <row r="962" spans="1:49" hidden="1" x14ac:dyDescent="0.35">
      <c r="A962">
        <v>5848110</v>
      </c>
      <c r="B962">
        <v>1090005848101</v>
      </c>
      <c r="D962">
        <v>30549743486</v>
      </c>
      <c r="E962" t="s">
        <v>672</v>
      </c>
      <c r="F962" t="s">
        <v>1</v>
      </c>
      <c r="G962" t="s">
        <v>56</v>
      </c>
      <c r="H962" t="s">
        <v>56</v>
      </c>
      <c r="I962">
        <v>6381</v>
      </c>
      <c r="J962">
        <v>21</v>
      </c>
      <c r="K962" t="s">
        <v>33</v>
      </c>
      <c r="L962">
        <v>82963</v>
      </c>
      <c r="M962" t="s">
        <v>396</v>
      </c>
      <c r="N962">
        <v>1</v>
      </c>
      <c r="O962" t="s">
        <v>119</v>
      </c>
      <c r="P962" t="s">
        <v>1483</v>
      </c>
      <c r="Q962">
        <v>5445</v>
      </c>
      <c r="R962">
        <v>165000</v>
      </c>
      <c r="S962">
        <v>330</v>
      </c>
      <c r="T962">
        <v>500</v>
      </c>
      <c r="U962">
        <v>26</v>
      </c>
      <c r="V962">
        <v>1452.5</v>
      </c>
      <c r="W962" t="s">
        <v>121</v>
      </c>
      <c r="X962" t="s">
        <v>1</v>
      </c>
      <c r="Y962">
        <v>7908862.5</v>
      </c>
      <c r="Z962">
        <v>239662500</v>
      </c>
      <c r="AA962">
        <v>726250</v>
      </c>
      <c r="AB962">
        <v>106</v>
      </c>
      <c r="AC962" s="34">
        <v>46013</v>
      </c>
      <c r="AD962" s="34">
        <v>46112</v>
      </c>
      <c r="AE962" t="s">
        <v>161</v>
      </c>
      <c r="AF962">
        <v>0</v>
      </c>
      <c r="AG962">
        <v>11137.5</v>
      </c>
      <c r="AH962">
        <v>0</v>
      </c>
      <c r="AI962">
        <v>16177218.75</v>
      </c>
      <c r="AJ962">
        <v>0</v>
      </c>
      <c r="AK962">
        <v>0</v>
      </c>
      <c r="AL962">
        <v>4060507.33</v>
      </c>
      <c r="AM962">
        <v>0</v>
      </c>
      <c r="AN962">
        <v>20237726.079999998</v>
      </c>
      <c r="AO962" t="s">
        <v>122</v>
      </c>
      <c r="AP962">
        <v>12</v>
      </c>
      <c r="AQ962">
        <v>1336.5</v>
      </c>
      <c r="AR962">
        <v>1941266.25</v>
      </c>
      <c r="AT962">
        <v>99000</v>
      </c>
      <c r="AU962">
        <v>3267</v>
      </c>
      <c r="AV962">
        <v>143797500</v>
      </c>
      <c r="AW962">
        <v>4745317.5</v>
      </c>
    </row>
    <row r="963" spans="1:49" hidden="1" x14ac:dyDescent="0.35">
      <c r="A963">
        <v>5848110</v>
      </c>
      <c r="B963">
        <v>1090005848101</v>
      </c>
      <c r="D963">
        <v>30549743486</v>
      </c>
      <c r="E963" t="s">
        <v>672</v>
      </c>
      <c r="F963" t="s">
        <v>1</v>
      </c>
      <c r="G963" t="s">
        <v>56</v>
      </c>
      <c r="H963" t="s">
        <v>56</v>
      </c>
      <c r="I963">
        <v>6381</v>
      </c>
      <c r="J963">
        <v>21</v>
      </c>
      <c r="K963" t="s">
        <v>33</v>
      </c>
      <c r="L963">
        <v>82963</v>
      </c>
      <c r="M963" t="s">
        <v>396</v>
      </c>
      <c r="N963">
        <v>2</v>
      </c>
      <c r="O963" t="s">
        <v>119</v>
      </c>
      <c r="P963" t="s">
        <v>1484</v>
      </c>
      <c r="Q963">
        <v>2475</v>
      </c>
      <c r="R963">
        <v>75000</v>
      </c>
      <c r="S963">
        <v>150</v>
      </c>
      <c r="T963">
        <v>500</v>
      </c>
      <c r="U963">
        <v>26</v>
      </c>
      <c r="V963">
        <v>1452.5</v>
      </c>
      <c r="W963" t="s">
        <v>121</v>
      </c>
      <c r="X963" t="s">
        <v>1</v>
      </c>
      <c r="Y963">
        <v>3594937.5</v>
      </c>
      <c r="Z963">
        <v>108937500</v>
      </c>
      <c r="AA963">
        <v>726250</v>
      </c>
      <c r="AB963">
        <v>106</v>
      </c>
      <c r="AC963" s="34">
        <v>46013</v>
      </c>
      <c r="AD963" s="34">
        <v>46112</v>
      </c>
      <c r="AE963" t="s">
        <v>161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 t="s">
        <v>122</v>
      </c>
      <c r="AT963">
        <v>45000</v>
      </c>
      <c r="AU963">
        <v>1485</v>
      </c>
      <c r="AV963">
        <v>65362500</v>
      </c>
      <c r="AW963">
        <v>2156962.5</v>
      </c>
    </row>
    <row r="964" spans="1:49" hidden="1" x14ac:dyDescent="0.35">
      <c r="A964">
        <v>5848110</v>
      </c>
      <c r="B964">
        <v>1090005848101</v>
      </c>
      <c r="D964">
        <v>30549743486</v>
      </c>
      <c r="E964" t="s">
        <v>672</v>
      </c>
      <c r="F964" t="s">
        <v>1</v>
      </c>
      <c r="G964" t="s">
        <v>56</v>
      </c>
      <c r="H964" t="s">
        <v>56</v>
      </c>
      <c r="I964">
        <v>6381</v>
      </c>
      <c r="J964">
        <v>21</v>
      </c>
      <c r="K964" t="s">
        <v>33</v>
      </c>
      <c r="L964">
        <v>82963</v>
      </c>
      <c r="M964" t="s">
        <v>396</v>
      </c>
      <c r="N964">
        <v>3</v>
      </c>
      <c r="O964" t="s">
        <v>119</v>
      </c>
      <c r="P964" t="s">
        <v>1485</v>
      </c>
      <c r="Q964">
        <v>3217.5</v>
      </c>
      <c r="R964">
        <v>97500</v>
      </c>
      <c r="S964">
        <v>195</v>
      </c>
      <c r="T964">
        <v>500</v>
      </c>
      <c r="U964">
        <v>26</v>
      </c>
      <c r="V964">
        <v>1452.5</v>
      </c>
      <c r="W964" t="s">
        <v>121</v>
      </c>
      <c r="X964" t="s">
        <v>1</v>
      </c>
      <c r="Y964">
        <v>4673418.75</v>
      </c>
      <c r="Z964">
        <v>141618750</v>
      </c>
      <c r="AA964">
        <v>726250</v>
      </c>
      <c r="AB964">
        <v>106</v>
      </c>
      <c r="AC964" s="34">
        <v>46013</v>
      </c>
      <c r="AD964" s="34">
        <v>46112</v>
      </c>
      <c r="AE964" t="s">
        <v>161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 t="s">
        <v>122</v>
      </c>
      <c r="AT964">
        <v>58500</v>
      </c>
      <c r="AU964">
        <v>1930.5</v>
      </c>
      <c r="AV964">
        <v>84971250</v>
      </c>
      <c r="AW964">
        <v>2804051.25</v>
      </c>
    </row>
    <row r="965" spans="1:49" hidden="1" x14ac:dyDescent="0.35">
      <c r="A965">
        <v>5848210</v>
      </c>
      <c r="B965">
        <v>1090005848201</v>
      </c>
      <c r="D965">
        <v>30712215646</v>
      </c>
      <c r="E965" t="s">
        <v>1072</v>
      </c>
      <c r="F965" t="s">
        <v>1</v>
      </c>
      <c r="G965" t="s">
        <v>1062</v>
      </c>
      <c r="H965" t="s">
        <v>1062</v>
      </c>
      <c r="I965">
        <v>6330</v>
      </c>
      <c r="J965">
        <v>21</v>
      </c>
      <c r="K965" t="s">
        <v>33</v>
      </c>
      <c r="L965">
        <v>6127</v>
      </c>
      <c r="M965" t="s">
        <v>118</v>
      </c>
      <c r="N965">
        <v>1</v>
      </c>
      <c r="O965" t="s">
        <v>119</v>
      </c>
      <c r="P965" t="s">
        <v>1063</v>
      </c>
      <c r="Q965">
        <v>3556.22</v>
      </c>
      <c r="R965">
        <v>70560</v>
      </c>
      <c r="S965">
        <v>490</v>
      </c>
      <c r="T965">
        <v>144</v>
      </c>
      <c r="U965">
        <v>26</v>
      </c>
      <c r="V965">
        <v>1457</v>
      </c>
      <c r="W965" t="s">
        <v>121</v>
      </c>
      <c r="X965" t="s">
        <v>1</v>
      </c>
      <c r="Y965">
        <v>5181412.54</v>
      </c>
      <c r="Z965">
        <v>102805920</v>
      </c>
      <c r="AA965">
        <v>209808</v>
      </c>
      <c r="AB965">
        <v>106</v>
      </c>
      <c r="AC965" s="34">
        <v>46007</v>
      </c>
      <c r="AD965" s="34">
        <v>46112</v>
      </c>
      <c r="AE965" t="s">
        <v>355</v>
      </c>
      <c r="AF965">
        <v>0</v>
      </c>
      <c r="AG965">
        <v>5167.41</v>
      </c>
      <c r="AH965">
        <v>0</v>
      </c>
      <c r="AI965">
        <v>7528916.3700000001</v>
      </c>
      <c r="AJ965">
        <v>0</v>
      </c>
      <c r="AK965">
        <v>0</v>
      </c>
      <c r="AL965">
        <v>1889758.14</v>
      </c>
      <c r="AM965">
        <v>0</v>
      </c>
      <c r="AN965">
        <v>9418674.5099999998</v>
      </c>
      <c r="AO965" t="s">
        <v>122</v>
      </c>
      <c r="AP965">
        <v>12</v>
      </c>
      <c r="AQ965">
        <v>620.09</v>
      </c>
      <c r="AR965">
        <v>903471.13</v>
      </c>
      <c r="AT965">
        <v>42336</v>
      </c>
      <c r="AU965">
        <v>2133.73</v>
      </c>
      <c r="AV965">
        <v>61683552</v>
      </c>
      <c r="AW965">
        <v>3108844.61</v>
      </c>
    </row>
    <row r="966" spans="1:49" hidden="1" x14ac:dyDescent="0.35">
      <c r="A966">
        <v>5848210</v>
      </c>
      <c r="B966">
        <v>1090005848201</v>
      </c>
      <c r="D966">
        <v>30712215646</v>
      </c>
      <c r="E966" t="s">
        <v>1072</v>
      </c>
      <c r="F966" t="s">
        <v>1</v>
      </c>
      <c r="G966" t="s">
        <v>1062</v>
      </c>
      <c r="H966" t="s">
        <v>1062</v>
      </c>
      <c r="I966">
        <v>6330</v>
      </c>
      <c r="J966">
        <v>21</v>
      </c>
      <c r="K966" t="s">
        <v>33</v>
      </c>
      <c r="L966">
        <v>6127</v>
      </c>
      <c r="M966" t="s">
        <v>118</v>
      </c>
      <c r="N966">
        <v>2</v>
      </c>
      <c r="O966" t="s">
        <v>119</v>
      </c>
      <c r="P966" t="s">
        <v>1064</v>
      </c>
      <c r="Q966">
        <v>1611.19</v>
      </c>
      <c r="R966">
        <v>31968</v>
      </c>
      <c r="S966">
        <v>222</v>
      </c>
      <c r="T966">
        <v>144</v>
      </c>
      <c r="U966">
        <v>26</v>
      </c>
      <c r="V966">
        <v>1457</v>
      </c>
      <c r="W966" t="s">
        <v>121</v>
      </c>
      <c r="X966" t="s">
        <v>1</v>
      </c>
      <c r="Y966">
        <v>2347503.83</v>
      </c>
      <c r="Z966">
        <v>46577376</v>
      </c>
      <c r="AA966">
        <v>209808</v>
      </c>
      <c r="AB966">
        <v>106</v>
      </c>
      <c r="AC966" s="34">
        <v>46007</v>
      </c>
      <c r="AD966" s="34">
        <v>46112</v>
      </c>
      <c r="AE966" t="s">
        <v>355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 t="s">
        <v>122</v>
      </c>
      <c r="AT966">
        <v>19180.8</v>
      </c>
      <c r="AU966">
        <v>966.71</v>
      </c>
      <c r="AV966">
        <v>27946425.600000001</v>
      </c>
      <c r="AW966">
        <v>1408496.47</v>
      </c>
    </row>
    <row r="967" spans="1:49" hidden="1" x14ac:dyDescent="0.35">
      <c r="A967">
        <v>5848310</v>
      </c>
      <c r="B967">
        <v>1090005848301</v>
      </c>
      <c r="D967">
        <v>33709819769</v>
      </c>
      <c r="E967" t="s">
        <v>830</v>
      </c>
      <c r="F967" t="s">
        <v>1</v>
      </c>
      <c r="G967" t="s">
        <v>56</v>
      </c>
      <c r="H967" t="s">
        <v>56</v>
      </c>
      <c r="I967">
        <v>6381</v>
      </c>
      <c r="J967">
        <v>21</v>
      </c>
      <c r="K967" t="s">
        <v>33</v>
      </c>
      <c r="L967">
        <v>6127</v>
      </c>
      <c r="M967" t="s">
        <v>118</v>
      </c>
      <c r="N967">
        <v>1</v>
      </c>
      <c r="O967" t="s">
        <v>119</v>
      </c>
      <c r="P967" t="s">
        <v>1486</v>
      </c>
      <c r="Q967">
        <v>769.95</v>
      </c>
      <c r="R967">
        <v>26100</v>
      </c>
      <c r="S967">
        <v>87</v>
      </c>
      <c r="T967">
        <v>300</v>
      </c>
      <c r="U967">
        <v>26</v>
      </c>
      <c r="V967">
        <v>1457</v>
      </c>
      <c r="W967" t="s">
        <v>121</v>
      </c>
      <c r="X967" t="s">
        <v>1</v>
      </c>
      <c r="Y967">
        <v>1121817.1499999999</v>
      </c>
      <c r="Z967">
        <v>38027700</v>
      </c>
      <c r="AA967">
        <v>437100</v>
      </c>
      <c r="AB967">
        <v>106</v>
      </c>
      <c r="AC967" s="34">
        <v>46007</v>
      </c>
      <c r="AD967" s="34">
        <v>46188</v>
      </c>
      <c r="AF967">
        <v>0</v>
      </c>
      <c r="AG967">
        <v>3767.31</v>
      </c>
      <c r="AH967">
        <v>0</v>
      </c>
      <c r="AI967">
        <v>5488970.6699999999</v>
      </c>
      <c r="AJ967">
        <v>0</v>
      </c>
      <c r="AK967">
        <v>0</v>
      </c>
      <c r="AL967">
        <v>1377739.2</v>
      </c>
      <c r="AM967">
        <v>0</v>
      </c>
      <c r="AN967">
        <v>6866709.8700000001</v>
      </c>
      <c r="AO967" t="s">
        <v>122</v>
      </c>
      <c r="AP967">
        <v>12</v>
      </c>
      <c r="AQ967">
        <v>452.08</v>
      </c>
      <c r="AR967">
        <v>658680.56000000006</v>
      </c>
      <c r="AT967">
        <v>15660</v>
      </c>
      <c r="AU967">
        <v>461.97</v>
      </c>
      <c r="AV967">
        <v>22816620</v>
      </c>
      <c r="AW967">
        <v>673090.29</v>
      </c>
    </row>
    <row r="968" spans="1:49" hidden="1" x14ac:dyDescent="0.35">
      <c r="A968">
        <v>5848310</v>
      </c>
      <c r="B968">
        <v>1090005848301</v>
      </c>
      <c r="D968">
        <v>33709819769</v>
      </c>
      <c r="E968" t="s">
        <v>830</v>
      </c>
      <c r="F968" t="s">
        <v>1</v>
      </c>
      <c r="G968" t="s">
        <v>370</v>
      </c>
      <c r="H968" t="s">
        <v>58</v>
      </c>
      <c r="I968">
        <v>6333</v>
      </c>
      <c r="J968">
        <v>21</v>
      </c>
      <c r="K968" t="s">
        <v>33</v>
      </c>
      <c r="L968">
        <v>6127</v>
      </c>
      <c r="M968" t="s">
        <v>118</v>
      </c>
      <c r="N968">
        <v>2</v>
      </c>
      <c r="O968" t="s">
        <v>119</v>
      </c>
      <c r="P968" t="s">
        <v>1487</v>
      </c>
      <c r="Q968">
        <v>1811.46</v>
      </c>
      <c r="R968">
        <v>68100</v>
      </c>
      <c r="S968">
        <v>227</v>
      </c>
      <c r="T968">
        <v>300</v>
      </c>
      <c r="U968">
        <v>26</v>
      </c>
      <c r="V968">
        <v>1457</v>
      </c>
      <c r="W968" t="s">
        <v>121</v>
      </c>
      <c r="X968" t="s">
        <v>1</v>
      </c>
      <c r="Y968">
        <v>2639297.2200000002</v>
      </c>
      <c r="Z968">
        <v>99221700</v>
      </c>
      <c r="AA968">
        <v>437100</v>
      </c>
      <c r="AB968">
        <v>106</v>
      </c>
      <c r="AC968" s="34">
        <v>46007</v>
      </c>
      <c r="AD968" s="34">
        <v>46188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 t="s">
        <v>122</v>
      </c>
      <c r="AT968">
        <v>40860</v>
      </c>
      <c r="AU968">
        <v>1086.8800000000001</v>
      </c>
      <c r="AV968">
        <v>59533020</v>
      </c>
      <c r="AW968">
        <v>1583584.16</v>
      </c>
    </row>
    <row r="969" spans="1:49" hidden="1" x14ac:dyDescent="0.35">
      <c r="A969">
        <v>5848310</v>
      </c>
      <c r="B969">
        <v>1090005848301</v>
      </c>
      <c r="D969">
        <v>33709819769</v>
      </c>
      <c r="E969" t="s">
        <v>830</v>
      </c>
      <c r="F969" t="s">
        <v>1</v>
      </c>
      <c r="G969" t="s">
        <v>56</v>
      </c>
      <c r="H969" t="s">
        <v>56</v>
      </c>
      <c r="I969">
        <v>6381</v>
      </c>
      <c r="J969">
        <v>21</v>
      </c>
      <c r="K969" t="s">
        <v>33</v>
      </c>
      <c r="L969">
        <v>6127</v>
      </c>
      <c r="M969" t="s">
        <v>118</v>
      </c>
      <c r="N969">
        <v>3</v>
      </c>
      <c r="O969" t="s">
        <v>119</v>
      </c>
      <c r="P969" t="s">
        <v>1488</v>
      </c>
      <c r="Q969">
        <v>300.89999999999998</v>
      </c>
      <c r="R969">
        <v>10200</v>
      </c>
      <c r="S969">
        <v>34</v>
      </c>
      <c r="T969">
        <v>300</v>
      </c>
      <c r="U969">
        <v>26</v>
      </c>
      <c r="V969">
        <v>1457</v>
      </c>
      <c r="W969" t="s">
        <v>121</v>
      </c>
      <c r="X969" t="s">
        <v>1</v>
      </c>
      <c r="Y969">
        <v>438411.3</v>
      </c>
      <c r="Z969">
        <v>14861400</v>
      </c>
      <c r="AA969">
        <v>437100</v>
      </c>
      <c r="AB969">
        <v>106</v>
      </c>
      <c r="AC969" s="34">
        <v>46007</v>
      </c>
      <c r="AD969" s="34">
        <v>46188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 t="s">
        <v>122</v>
      </c>
      <c r="AT969">
        <v>6120</v>
      </c>
      <c r="AU969">
        <v>180.54</v>
      </c>
      <c r="AV969">
        <v>8916840</v>
      </c>
      <c r="AW969">
        <v>263046.78000000003</v>
      </c>
    </row>
    <row r="970" spans="1:49" hidden="1" x14ac:dyDescent="0.35">
      <c r="A970">
        <v>5848310</v>
      </c>
      <c r="B970">
        <v>1090005848301</v>
      </c>
      <c r="D970">
        <v>33709819769</v>
      </c>
      <c r="E970" t="s">
        <v>830</v>
      </c>
      <c r="F970" t="s">
        <v>1</v>
      </c>
      <c r="G970" t="s">
        <v>56</v>
      </c>
      <c r="H970" t="s">
        <v>56</v>
      </c>
      <c r="I970">
        <v>6381</v>
      </c>
      <c r="J970">
        <v>21</v>
      </c>
      <c r="K970" t="s">
        <v>33</v>
      </c>
      <c r="L970">
        <v>6127</v>
      </c>
      <c r="M970" t="s">
        <v>118</v>
      </c>
      <c r="N970">
        <v>4</v>
      </c>
      <c r="O970" t="s">
        <v>119</v>
      </c>
      <c r="P970" t="s">
        <v>1489</v>
      </c>
      <c r="Q970">
        <v>885</v>
      </c>
      <c r="R970">
        <v>30000</v>
      </c>
      <c r="S970">
        <v>100</v>
      </c>
      <c r="T970">
        <v>300</v>
      </c>
      <c r="U970">
        <v>26</v>
      </c>
      <c r="V970">
        <v>1457</v>
      </c>
      <c r="W970" t="s">
        <v>121</v>
      </c>
      <c r="X970" t="s">
        <v>1</v>
      </c>
      <c r="Y970">
        <v>1289445</v>
      </c>
      <c r="Z970">
        <v>43710000</v>
      </c>
      <c r="AA970">
        <v>437100</v>
      </c>
      <c r="AB970">
        <v>106</v>
      </c>
      <c r="AC970" s="34">
        <v>46007</v>
      </c>
      <c r="AD970" s="34">
        <v>46188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 t="s">
        <v>122</v>
      </c>
      <c r="AT970">
        <v>18000</v>
      </c>
      <c r="AU970">
        <v>531</v>
      </c>
      <c r="AV970">
        <v>26226000</v>
      </c>
      <c r="AW970">
        <v>773667</v>
      </c>
    </row>
    <row r="971" spans="1:49" hidden="1" x14ac:dyDescent="0.35">
      <c r="A971">
        <v>5848410</v>
      </c>
      <c r="B971">
        <v>1150005848401</v>
      </c>
      <c r="D971">
        <v>20125319069</v>
      </c>
      <c r="E971" t="s">
        <v>187</v>
      </c>
      <c r="F971" t="s">
        <v>1</v>
      </c>
      <c r="G971" t="s">
        <v>182</v>
      </c>
      <c r="H971" t="s">
        <v>50</v>
      </c>
      <c r="I971">
        <v>2426</v>
      </c>
      <c r="J971">
        <v>3</v>
      </c>
      <c r="K971" t="s">
        <v>32</v>
      </c>
      <c r="L971">
        <v>9262</v>
      </c>
      <c r="M971" t="s">
        <v>183</v>
      </c>
      <c r="N971">
        <v>1</v>
      </c>
      <c r="O971" t="s">
        <v>119</v>
      </c>
      <c r="P971" t="s">
        <v>1490</v>
      </c>
      <c r="Q971">
        <v>260834.9</v>
      </c>
      <c r="R971">
        <v>10989000</v>
      </c>
      <c r="S971">
        <v>37</v>
      </c>
      <c r="T971">
        <v>297000</v>
      </c>
      <c r="U971">
        <v>1</v>
      </c>
      <c r="V971">
        <v>1</v>
      </c>
      <c r="W971" t="s">
        <v>127</v>
      </c>
      <c r="X971">
        <v>29700</v>
      </c>
      <c r="Y971">
        <v>260834.9</v>
      </c>
      <c r="Z971">
        <v>10989000</v>
      </c>
      <c r="AA971">
        <v>297000</v>
      </c>
      <c r="AB971">
        <v>105</v>
      </c>
      <c r="AC971" s="34">
        <v>46013</v>
      </c>
      <c r="AD971" s="34">
        <v>46173</v>
      </c>
      <c r="AF971">
        <v>0</v>
      </c>
      <c r="AG971">
        <v>1015141.24</v>
      </c>
      <c r="AH971">
        <v>0</v>
      </c>
      <c r="AI971">
        <v>1015141.24</v>
      </c>
      <c r="AJ971">
        <v>0</v>
      </c>
      <c r="AK971">
        <v>0</v>
      </c>
      <c r="AL971">
        <v>264951.87</v>
      </c>
      <c r="AM971">
        <v>0</v>
      </c>
      <c r="AN971">
        <v>1280093.1100000001</v>
      </c>
      <c r="AO971" t="s">
        <v>122</v>
      </c>
      <c r="AP971">
        <v>15</v>
      </c>
      <c r="AQ971">
        <v>152271.19</v>
      </c>
      <c r="AR971">
        <v>152271.19</v>
      </c>
      <c r="AT971">
        <v>6593400</v>
      </c>
      <c r="AU971">
        <v>156500.94</v>
      </c>
      <c r="AV971">
        <v>6593400</v>
      </c>
      <c r="AW971">
        <v>156500.94</v>
      </c>
    </row>
    <row r="972" spans="1:49" hidden="1" x14ac:dyDescent="0.35">
      <c r="A972">
        <v>5848410</v>
      </c>
      <c r="B972">
        <v>1150005848401</v>
      </c>
      <c r="D972">
        <v>20125319069</v>
      </c>
      <c r="E972" t="s">
        <v>187</v>
      </c>
      <c r="F972" t="s">
        <v>1</v>
      </c>
      <c r="G972" t="s">
        <v>182</v>
      </c>
      <c r="H972" t="s">
        <v>50</v>
      </c>
      <c r="I972">
        <v>2426</v>
      </c>
      <c r="J972">
        <v>3</v>
      </c>
      <c r="K972" t="s">
        <v>32</v>
      </c>
      <c r="L972">
        <v>9262</v>
      </c>
      <c r="M972" t="s">
        <v>183</v>
      </c>
      <c r="N972">
        <v>2</v>
      </c>
      <c r="O972" t="s">
        <v>119</v>
      </c>
      <c r="P972" t="s">
        <v>1491</v>
      </c>
      <c r="Q972">
        <v>754306.34</v>
      </c>
      <c r="R972">
        <v>31779000</v>
      </c>
      <c r="S972">
        <v>107</v>
      </c>
      <c r="T972">
        <v>297000</v>
      </c>
      <c r="U972">
        <v>1</v>
      </c>
      <c r="V972">
        <v>1</v>
      </c>
      <c r="W972" t="s">
        <v>127</v>
      </c>
      <c r="X972">
        <v>29700</v>
      </c>
      <c r="Y972">
        <v>754306.34</v>
      </c>
      <c r="Z972">
        <v>31779000</v>
      </c>
      <c r="AA972">
        <v>297000</v>
      </c>
      <c r="AB972">
        <v>105</v>
      </c>
      <c r="AC972" s="34">
        <v>46013</v>
      </c>
      <c r="AD972" s="34">
        <v>46173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 t="s">
        <v>122</v>
      </c>
      <c r="AT972">
        <v>19067400</v>
      </c>
      <c r="AU972">
        <v>452583.8</v>
      </c>
      <c r="AV972">
        <v>19067400</v>
      </c>
      <c r="AW972">
        <v>452583.8</v>
      </c>
    </row>
    <row r="973" spans="1:49" hidden="1" x14ac:dyDescent="0.35">
      <c r="A973">
        <v>5848510</v>
      </c>
      <c r="B973">
        <v>1150005848501</v>
      </c>
      <c r="D973">
        <v>20237319630</v>
      </c>
      <c r="E973" t="s">
        <v>181</v>
      </c>
      <c r="F973" t="s">
        <v>1</v>
      </c>
      <c r="G973" t="s">
        <v>182</v>
      </c>
      <c r="H973" t="s">
        <v>50</v>
      </c>
      <c r="I973">
        <v>2426</v>
      </c>
      <c r="J973">
        <v>3</v>
      </c>
      <c r="K973" t="s">
        <v>32</v>
      </c>
      <c r="L973">
        <v>9262</v>
      </c>
      <c r="M973" t="s">
        <v>183</v>
      </c>
      <c r="N973">
        <v>1</v>
      </c>
      <c r="O973" t="s">
        <v>119</v>
      </c>
      <c r="P973" t="s">
        <v>1492</v>
      </c>
      <c r="Q973">
        <v>260834.9</v>
      </c>
      <c r="R973">
        <v>10989000</v>
      </c>
      <c r="S973">
        <v>37</v>
      </c>
      <c r="T973">
        <v>297000</v>
      </c>
      <c r="U973">
        <v>1</v>
      </c>
      <c r="V973">
        <v>1</v>
      </c>
      <c r="W973" t="s">
        <v>127</v>
      </c>
      <c r="X973">
        <v>29700</v>
      </c>
      <c r="Y973">
        <v>260834.9</v>
      </c>
      <c r="Z973">
        <v>10989000</v>
      </c>
      <c r="AA973">
        <v>297000</v>
      </c>
      <c r="AB973">
        <v>105</v>
      </c>
      <c r="AC973" s="34">
        <v>46013</v>
      </c>
      <c r="AD973" s="34">
        <v>46173</v>
      </c>
      <c r="AF973">
        <v>0</v>
      </c>
      <c r="AG973">
        <v>1452215.94</v>
      </c>
      <c r="AH973">
        <v>0</v>
      </c>
      <c r="AI973">
        <v>1452215.94</v>
      </c>
      <c r="AJ973">
        <v>0</v>
      </c>
      <c r="AK973">
        <v>0</v>
      </c>
      <c r="AL973">
        <v>379028.37</v>
      </c>
      <c r="AM973">
        <v>0</v>
      </c>
      <c r="AN973">
        <v>1831244.31</v>
      </c>
      <c r="AO973" t="s">
        <v>122</v>
      </c>
      <c r="AP973">
        <v>15</v>
      </c>
      <c r="AQ973">
        <v>217832.39</v>
      </c>
      <c r="AR973">
        <v>217832.39</v>
      </c>
      <c r="AT973">
        <v>6593400</v>
      </c>
      <c r="AU973">
        <v>156500.94</v>
      </c>
      <c r="AV973">
        <v>6593400</v>
      </c>
      <c r="AW973">
        <v>156500.94</v>
      </c>
    </row>
    <row r="974" spans="1:49" hidden="1" x14ac:dyDescent="0.35">
      <c r="A974">
        <v>5848510</v>
      </c>
      <c r="B974">
        <v>1150005848501</v>
      </c>
      <c r="D974">
        <v>20237319630</v>
      </c>
      <c r="E974" t="s">
        <v>181</v>
      </c>
      <c r="F974" t="s">
        <v>1</v>
      </c>
      <c r="G974" t="s">
        <v>182</v>
      </c>
      <c r="H974" t="s">
        <v>50</v>
      </c>
      <c r="I974">
        <v>2426</v>
      </c>
      <c r="J974">
        <v>3</v>
      </c>
      <c r="K974" t="s">
        <v>32</v>
      </c>
      <c r="L974">
        <v>9262</v>
      </c>
      <c r="M974" t="s">
        <v>183</v>
      </c>
      <c r="N974">
        <v>2</v>
      </c>
      <c r="O974" t="s">
        <v>119</v>
      </c>
      <c r="P974" t="s">
        <v>1493</v>
      </c>
      <c r="Q974">
        <v>754306.34</v>
      </c>
      <c r="R974">
        <v>31779000</v>
      </c>
      <c r="S974">
        <v>107</v>
      </c>
      <c r="T974">
        <v>297000</v>
      </c>
      <c r="U974">
        <v>1</v>
      </c>
      <c r="V974">
        <v>1</v>
      </c>
      <c r="W974" t="s">
        <v>127</v>
      </c>
      <c r="X974">
        <v>29700</v>
      </c>
      <c r="Y974">
        <v>754306.34</v>
      </c>
      <c r="Z974">
        <v>31779000</v>
      </c>
      <c r="AA974">
        <v>297000</v>
      </c>
      <c r="AB974">
        <v>105</v>
      </c>
      <c r="AC974" s="34">
        <v>46013</v>
      </c>
      <c r="AD974" s="34">
        <v>46173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 t="s">
        <v>122</v>
      </c>
      <c r="AT974">
        <v>19067400</v>
      </c>
      <c r="AU974">
        <v>452583.8</v>
      </c>
      <c r="AV974">
        <v>19067400</v>
      </c>
      <c r="AW974">
        <v>452583.8</v>
      </c>
    </row>
    <row r="975" spans="1:49" hidden="1" x14ac:dyDescent="0.35">
      <c r="A975">
        <v>5848510</v>
      </c>
      <c r="B975">
        <v>1150005848501</v>
      </c>
      <c r="D975">
        <v>20237319630</v>
      </c>
      <c r="E975" t="s">
        <v>181</v>
      </c>
      <c r="F975" t="s">
        <v>1</v>
      </c>
      <c r="G975" t="s">
        <v>182</v>
      </c>
      <c r="H975" t="s">
        <v>50</v>
      </c>
      <c r="I975">
        <v>2426</v>
      </c>
      <c r="J975">
        <v>3</v>
      </c>
      <c r="K975" t="s">
        <v>32</v>
      </c>
      <c r="L975">
        <v>9262</v>
      </c>
      <c r="M975" t="s">
        <v>183</v>
      </c>
      <c r="N975">
        <v>3</v>
      </c>
      <c r="O975" t="s">
        <v>119</v>
      </c>
      <c r="P975" t="s">
        <v>1494</v>
      </c>
      <c r="Q975">
        <v>437074.7</v>
      </c>
      <c r="R975">
        <v>18414000</v>
      </c>
      <c r="S975">
        <v>31</v>
      </c>
      <c r="T975">
        <v>594000</v>
      </c>
      <c r="U975">
        <v>1</v>
      </c>
      <c r="V975">
        <v>1</v>
      </c>
      <c r="W975" t="s">
        <v>127</v>
      </c>
      <c r="X975">
        <v>29700</v>
      </c>
      <c r="Y975">
        <v>437074.7</v>
      </c>
      <c r="Z975">
        <v>18414000</v>
      </c>
      <c r="AA975">
        <v>594000</v>
      </c>
      <c r="AB975">
        <v>105</v>
      </c>
      <c r="AC975" s="34">
        <v>46013</v>
      </c>
      <c r="AD975" s="34">
        <v>46173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 t="s">
        <v>122</v>
      </c>
      <c r="AT975">
        <v>11048400</v>
      </c>
      <c r="AU975">
        <v>262244.82</v>
      </c>
      <c r="AV975">
        <v>11048400</v>
      </c>
      <c r="AW975">
        <v>262244.82</v>
      </c>
    </row>
    <row r="976" spans="1:49" hidden="1" x14ac:dyDescent="0.35">
      <c r="A976">
        <v>5848610</v>
      </c>
      <c r="B976">
        <v>1150005848601</v>
      </c>
      <c r="D976">
        <v>20237319630</v>
      </c>
      <c r="E976" t="s">
        <v>181</v>
      </c>
      <c r="F976" t="s">
        <v>1</v>
      </c>
      <c r="G976" t="s">
        <v>182</v>
      </c>
      <c r="H976" t="s">
        <v>50</v>
      </c>
      <c r="I976">
        <v>2426</v>
      </c>
      <c r="J976">
        <v>3</v>
      </c>
      <c r="K976" t="s">
        <v>32</v>
      </c>
      <c r="L976">
        <v>9262</v>
      </c>
      <c r="M976" t="s">
        <v>183</v>
      </c>
      <c r="N976">
        <v>1</v>
      </c>
      <c r="O976" t="s">
        <v>119</v>
      </c>
      <c r="P976" t="s">
        <v>1495</v>
      </c>
      <c r="Q976">
        <v>210782.8</v>
      </c>
      <c r="R976">
        <v>8880300</v>
      </c>
      <c r="S976">
        <v>23</v>
      </c>
      <c r="T976">
        <v>386100</v>
      </c>
      <c r="U976">
        <v>1</v>
      </c>
      <c r="V976">
        <v>1</v>
      </c>
      <c r="W976" t="s">
        <v>127</v>
      </c>
      <c r="X976">
        <v>29700</v>
      </c>
      <c r="Y976">
        <v>210782.8</v>
      </c>
      <c r="Z976">
        <v>8880300</v>
      </c>
      <c r="AA976">
        <v>386100</v>
      </c>
      <c r="AB976">
        <v>105</v>
      </c>
      <c r="AC976" s="34">
        <v>45993</v>
      </c>
      <c r="AD976" s="34">
        <v>46173</v>
      </c>
      <c r="AF976">
        <v>0</v>
      </c>
      <c r="AG976">
        <v>210782.8</v>
      </c>
      <c r="AH976">
        <v>0</v>
      </c>
      <c r="AI976">
        <v>210782.8</v>
      </c>
      <c r="AJ976">
        <v>0</v>
      </c>
      <c r="AK976">
        <v>0</v>
      </c>
      <c r="AL976">
        <v>55014.31</v>
      </c>
      <c r="AM976">
        <v>0</v>
      </c>
      <c r="AN976">
        <v>265797.11</v>
      </c>
      <c r="AO976" t="s">
        <v>122</v>
      </c>
      <c r="AP976">
        <v>15</v>
      </c>
      <c r="AQ976">
        <v>31617.42</v>
      </c>
      <c r="AR976">
        <v>31617.42</v>
      </c>
      <c r="AT976">
        <v>5328180</v>
      </c>
      <c r="AU976">
        <v>126469.68</v>
      </c>
      <c r="AV976">
        <v>5328180</v>
      </c>
      <c r="AW976">
        <v>126469.68</v>
      </c>
    </row>
    <row r="977" spans="1:49" hidden="1" x14ac:dyDescent="0.35">
      <c r="A977">
        <v>5848710</v>
      </c>
      <c r="B977">
        <v>1150005848701</v>
      </c>
      <c r="D977">
        <v>20125319069</v>
      </c>
      <c r="E977" t="s">
        <v>187</v>
      </c>
      <c r="F977" t="s">
        <v>1</v>
      </c>
      <c r="G977" t="s">
        <v>182</v>
      </c>
      <c r="H977" t="s">
        <v>50</v>
      </c>
      <c r="I977">
        <v>2426</v>
      </c>
      <c r="J977">
        <v>3</v>
      </c>
      <c r="K977" t="s">
        <v>32</v>
      </c>
      <c r="L977">
        <v>9262</v>
      </c>
      <c r="M977" t="s">
        <v>183</v>
      </c>
      <c r="N977">
        <v>1</v>
      </c>
      <c r="O977" t="s">
        <v>119</v>
      </c>
      <c r="P977" t="s">
        <v>1495</v>
      </c>
      <c r="Q977">
        <v>210782.8</v>
      </c>
      <c r="R977">
        <v>8880300</v>
      </c>
      <c r="S977">
        <v>23</v>
      </c>
      <c r="T977">
        <v>386100</v>
      </c>
      <c r="U977">
        <v>1</v>
      </c>
      <c r="V977">
        <v>1</v>
      </c>
      <c r="W977" t="s">
        <v>127</v>
      </c>
      <c r="X977">
        <v>29700</v>
      </c>
      <c r="Y977">
        <v>210782.8</v>
      </c>
      <c r="Z977">
        <v>8880300</v>
      </c>
      <c r="AA977">
        <v>386100</v>
      </c>
      <c r="AB977">
        <v>105</v>
      </c>
      <c r="AC977" s="34">
        <v>45993</v>
      </c>
      <c r="AD977" s="34">
        <v>46173</v>
      </c>
      <c r="AF977">
        <v>0</v>
      </c>
      <c r="AG977">
        <v>210782.8</v>
      </c>
      <c r="AH977">
        <v>0</v>
      </c>
      <c r="AI977">
        <v>210782.8</v>
      </c>
      <c r="AJ977">
        <v>0</v>
      </c>
      <c r="AK977">
        <v>0</v>
      </c>
      <c r="AL977">
        <v>55014.31</v>
      </c>
      <c r="AM977">
        <v>0</v>
      </c>
      <c r="AN977">
        <v>265797.11</v>
      </c>
      <c r="AO977" t="s">
        <v>122</v>
      </c>
      <c r="AP977">
        <v>15</v>
      </c>
      <c r="AQ977">
        <v>31617.42</v>
      </c>
      <c r="AR977">
        <v>31617.42</v>
      </c>
      <c r="AT977">
        <v>5328180</v>
      </c>
      <c r="AU977">
        <v>126469.68</v>
      </c>
      <c r="AV977">
        <v>5328180</v>
      </c>
      <c r="AW977">
        <v>126469.68</v>
      </c>
    </row>
    <row r="978" spans="1:49" hidden="1" x14ac:dyDescent="0.35">
      <c r="A978">
        <v>5848810</v>
      </c>
      <c r="B978">
        <v>1150005848801</v>
      </c>
      <c r="D978">
        <v>20209019478</v>
      </c>
      <c r="E978" t="s">
        <v>194</v>
      </c>
      <c r="F978" t="s">
        <v>1</v>
      </c>
      <c r="G978" t="s">
        <v>182</v>
      </c>
      <c r="H978" t="s">
        <v>50</v>
      </c>
      <c r="I978">
        <v>2426</v>
      </c>
      <c r="J978">
        <v>3</v>
      </c>
      <c r="K978" t="s">
        <v>32</v>
      </c>
      <c r="L978">
        <v>9262</v>
      </c>
      <c r="M978" t="s">
        <v>183</v>
      </c>
      <c r="N978">
        <v>1</v>
      </c>
      <c r="O978" t="s">
        <v>119</v>
      </c>
      <c r="P978" t="s">
        <v>1496</v>
      </c>
      <c r="Q978">
        <v>1748298.82</v>
      </c>
      <c r="R978">
        <v>73656000</v>
      </c>
      <c r="S978">
        <v>124</v>
      </c>
      <c r="T978">
        <v>594000</v>
      </c>
      <c r="U978">
        <v>1</v>
      </c>
      <c r="V978">
        <v>1</v>
      </c>
      <c r="W978" t="s">
        <v>127</v>
      </c>
      <c r="X978">
        <v>29700</v>
      </c>
      <c r="Y978">
        <v>1748298.82</v>
      </c>
      <c r="Z978">
        <v>73656000</v>
      </c>
      <c r="AA978">
        <v>594000</v>
      </c>
      <c r="AB978">
        <v>105</v>
      </c>
      <c r="AC978" s="34">
        <v>46009</v>
      </c>
      <c r="AD978" s="34">
        <v>46173</v>
      </c>
      <c r="AF978">
        <v>0</v>
      </c>
      <c r="AG978">
        <v>4046465.81</v>
      </c>
      <c r="AH978">
        <v>0</v>
      </c>
      <c r="AI978">
        <v>4046465.81</v>
      </c>
      <c r="AJ978">
        <v>0</v>
      </c>
      <c r="AK978">
        <v>0</v>
      </c>
      <c r="AL978">
        <v>1056127.57</v>
      </c>
      <c r="AM978">
        <v>0</v>
      </c>
      <c r="AN978">
        <v>5102593.38</v>
      </c>
      <c r="AO978" t="s">
        <v>122</v>
      </c>
      <c r="AP978">
        <v>15</v>
      </c>
      <c r="AQ978">
        <v>606969.87</v>
      </c>
      <c r="AR978">
        <v>606969.87</v>
      </c>
      <c r="AT978">
        <v>44193600</v>
      </c>
      <c r="AU978">
        <v>1048979.29</v>
      </c>
      <c r="AV978">
        <v>44193600</v>
      </c>
      <c r="AW978">
        <v>1048979.29</v>
      </c>
    </row>
    <row r="979" spans="1:49" hidden="1" x14ac:dyDescent="0.35">
      <c r="A979">
        <v>5848810</v>
      </c>
      <c r="B979">
        <v>1150005848801</v>
      </c>
      <c r="D979">
        <v>20209019478</v>
      </c>
      <c r="E979" t="s">
        <v>194</v>
      </c>
      <c r="F979" t="s">
        <v>1</v>
      </c>
      <c r="G979" t="s">
        <v>182</v>
      </c>
      <c r="H979" t="s">
        <v>50</v>
      </c>
      <c r="I979">
        <v>2426</v>
      </c>
      <c r="J979">
        <v>3</v>
      </c>
      <c r="K979" t="s">
        <v>32</v>
      </c>
      <c r="L979">
        <v>9262</v>
      </c>
      <c r="M979" t="s">
        <v>183</v>
      </c>
      <c r="N979">
        <v>2</v>
      </c>
      <c r="O979" t="s">
        <v>119</v>
      </c>
      <c r="P979" t="s">
        <v>1497</v>
      </c>
      <c r="Q979">
        <v>422975.52</v>
      </c>
      <c r="R979">
        <v>17820000</v>
      </c>
      <c r="S979">
        <v>30</v>
      </c>
      <c r="T979">
        <v>594000</v>
      </c>
      <c r="U979">
        <v>1</v>
      </c>
      <c r="V979">
        <v>1</v>
      </c>
      <c r="W979" t="s">
        <v>127</v>
      </c>
      <c r="X979">
        <v>29700</v>
      </c>
      <c r="Y979">
        <v>422975.52</v>
      </c>
      <c r="Z979">
        <v>17820000</v>
      </c>
      <c r="AA979">
        <v>594000</v>
      </c>
      <c r="AB979">
        <v>105</v>
      </c>
      <c r="AC979" s="34">
        <v>46009</v>
      </c>
      <c r="AD979" s="34">
        <v>46173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 t="s">
        <v>122</v>
      </c>
      <c r="AT979">
        <v>10692000</v>
      </c>
      <c r="AU979">
        <v>253785.31</v>
      </c>
      <c r="AV979">
        <v>10692000</v>
      </c>
      <c r="AW979">
        <v>253785.31</v>
      </c>
    </row>
    <row r="980" spans="1:49" hidden="1" x14ac:dyDescent="0.35">
      <c r="A980">
        <v>5848810</v>
      </c>
      <c r="B980">
        <v>1150005848801</v>
      </c>
      <c r="D980">
        <v>20209019478</v>
      </c>
      <c r="E980" t="s">
        <v>194</v>
      </c>
      <c r="F980" t="s">
        <v>1</v>
      </c>
      <c r="G980" t="s">
        <v>182</v>
      </c>
      <c r="H980" t="s">
        <v>50</v>
      </c>
      <c r="I980">
        <v>2426</v>
      </c>
      <c r="J980">
        <v>3</v>
      </c>
      <c r="K980" t="s">
        <v>32</v>
      </c>
      <c r="L980">
        <v>9262</v>
      </c>
      <c r="M980" t="s">
        <v>183</v>
      </c>
      <c r="N980">
        <v>3</v>
      </c>
      <c r="O980" t="s">
        <v>119</v>
      </c>
      <c r="P980" t="s">
        <v>1498</v>
      </c>
      <c r="Q980">
        <v>1875191.47</v>
      </c>
      <c r="R980">
        <v>79002000</v>
      </c>
      <c r="S980">
        <v>133</v>
      </c>
      <c r="T980">
        <v>594000</v>
      </c>
      <c r="U980">
        <v>1</v>
      </c>
      <c r="V980">
        <v>1</v>
      </c>
      <c r="W980" t="s">
        <v>127</v>
      </c>
      <c r="X980">
        <v>29700</v>
      </c>
      <c r="Y980">
        <v>1875191.47</v>
      </c>
      <c r="Z980">
        <v>79002000</v>
      </c>
      <c r="AA980">
        <v>594000</v>
      </c>
      <c r="AB980">
        <v>105</v>
      </c>
      <c r="AC980" s="34">
        <v>46009</v>
      </c>
      <c r="AD980" s="34">
        <v>46173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 t="s">
        <v>122</v>
      </c>
      <c r="AT980">
        <v>47401200</v>
      </c>
      <c r="AU980">
        <v>1125114.8799999999</v>
      </c>
      <c r="AV980">
        <v>47401200</v>
      </c>
      <c r="AW980">
        <v>1125114.8799999999</v>
      </c>
    </row>
    <row r="981" spans="1:49" hidden="1" x14ac:dyDescent="0.35">
      <c r="A981">
        <v>5848910</v>
      </c>
      <c r="B981">
        <v>1150005848901</v>
      </c>
      <c r="D981">
        <v>20209019478</v>
      </c>
      <c r="E981" t="s">
        <v>194</v>
      </c>
      <c r="F981" t="s">
        <v>1</v>
      </c>
      <c r="G981" t="s">
        <v>182</v>
      </c>
      <c r="H981" t="s">
        <v>50</v>
      </c>
      <c r="I981">
        <v>2426</v>
      </c>
      <c r="J981">
        <v>3</v>
      </c>
      <c r="K981" t="s">
        <v>32</v>
      </c>
      <c r="L981">
        <v>9262</v>
      </c>
      <c r="M981" t="s">
        <v>183</v>
      </c>
      <c r="N981">
        <v>1</v>
      </c>
      <c r="O981" t="s">
        <v>119</v>
      </c>
      <c r="P981" t="s">
        <v>1499</v>
      </c>
      <c r="Q981">
        <v>376417.36</v>
      </c>
      <c r="R981">
        <v>16548000</v>
      </c>
      <c r="S981">
        <v>28</v>
      </c>
      <c r="T981">
        <v>591000</v>
      </c>
      <c r="U981">
        <v>1</v>
      </c>
      <c r="V981">
        <v>1</v>
      </c>
      <c r="W981" t="s">
        <v>127</v>
      </c>
      <c r="X981">
        <v>19700</v>
      </c>
      <c r="Y981">
        <v>376417.36</v>
      </c>
      <c r="Z981">
        <v>16548000</v>
      </c>
      <c r="AA981">
        <v>591000</v>
      </c>
      <c r="AB981">
        <v>210</v>
      </c>
      <c r="AC981" s="34">
        <v>46009</v>
      </c>
      <c r="AD981" s="34">
        <v>46142</v>
      </c>
      <c r="AF981">
        <v>0</v>
      </c>
      <c r="AG981">
        <v>2070295.46</v>
      </c>
      <c r="AH981">
        <v>0</v>
      </c>
      <c r="AI981">
        <v>2070295.46</v>
      </c>
      <c r="AJ981">
        <v>0</v>
      </c>
      <c r="AK981">
        <v>0</v>
      </c>
      <c r="AL981">
        <v>540347.11</v>
      </c>
      <c r="AM981">
        <v>0</v>
      </c>
      <c r="AN981">
        <v>2610642.5699999998</v>
      </c>
      <c r="AO981" t="s">
        <v>122</v>
      </c>
      <c r="AP981">
        <v>15</v>
      </c>
      <c r="AQ981">
        <v>310544.32</v>
      </c>
      <c r="AR981">
        <v>310544.32</v>
      </c>
      <c r="AT981">
        <v>9928800</v>
      </c>
      <c r="AU981">
        <v>225850.42</v>
      </c>
      <c r="AV981">
        <v>9928800</v>
      </c>
      <c r="AW981">
        <v>225850.42</v>
      </c>
    </row>
    <row r="982" spans="1:49" hidden="1" x14ac:dyDescent="0.35">
      <c r="A982">
        <v>5848910</v>
      </c>
      <c r="B982">
        <v>1150005848901</v>
      </c>
      <c r="D982">
        <v>20209019478</v>
      </c>
      <c r="E982" t="s">
        <v>194</v>
      </c>
      <c r="F982" t="s">
        <v>1</v>
      </c>
      <c r="G982" t="s">
        <v>182</v>
      </c>
      <c r="H982" t="s">
        <v>50</v>
      </c>
      <c r="I982">
        <v>2426</v>
      </c>
      <c r="J982">
        <v>3</v>
      </c>
      <c r="K982" t="s">
        <v>32</v>
      </c>
      <c r="L982">
        <v>9262</v>
      </c>
      <c r="M982" t="s">
        <v>183</v>
      </c>
      <c r="N982">
        <v>2</v>
      </c>
      <c r="O982" t="s">
        <v>119</v>
      </c>
      <c r="P982" t="s">
        <v>1500</v>
      </c>
      <c r="Q982">
        <v>578069.51</v>
      </c>
      <c r="R982">
        <v>25413000</v>
      </c>
      <c r="S982">
        <v>43</v>
      </c>
      <c r="T982">
        <v>591000</v>
      </c>
      <c r="U982">
        <v>1</v>
      </c>
      <c r="V982">
        <v>1</v>
      </c>
      <c r="W982" t="s">
        <v>127</v>
      </c>
      <c r="X982">
        <v>19700</v>
      </c>
      <c r="Y982">
        <v>578069.51</v>
      </c>
      <c r="Z982">
        <v>25413000</v>
      </c>
      <c r="AA982">
        <v>591000</v>
      </c>
      <c r="AB982">
        <v>210</v>
      </c>
      <c r="AC982" s="34">
        <v>46009</v>
      </c>
      <c r="AD982" s="34">
        <v>46142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 t="s">
        <v>122</v>
      </c>
      <c r="AT982">
        <v>15247800</v>
      </c>
      <c r="AU982">
        <v>346841.71</v>
      </c>
      <c r="AV982">
        <v>15247800</v>
      </c>
      <c r="AW982">
        <v>346841.71</v>
      </c>
    </row>
    <row r="983" spans="1:49" hidden="1" x14ac:dyDescent="0.35">
      <c r="A983">
        <v>5848910</v>
      </c>
      <c r="B983">
        <v>1150005848901</v>
      </c>
      <c r="D983">
        <v>20209019478</v>
      </c>
      <c r="E983" t="s">
        <v>194</v>
      </c>
      <c r="F983" t="s">
        <v>1</v>
      </c>
      <c r="G983" t="s">
        <v>182</v>
      </c>
      <c r="H983" t="s">
        <v>50</v>
      </c>
      <c r="I983">
        <v>2426</v>
      </c>
      <c r="J983">
        <v>3</v>
      </c>
      <c r="K983" t="s">
        <v>32</v>
      </c>
      <c r="L983">
        <v>9262</v>
      </c>
      <c r="M983" t="s">
        <v>183</v>
      </c>
      <c r="N983">
        <v>3</v>
      </c>
      <c r="O983" t="s">
        <v>119</v>
      </c>
      <c r="P983" t="s">
        <v>1501</v>
      </c>
      <c r="Q983">
        <v>1115808.5900000001</v>
      </c>
      <c r="R983">
        <v>49053000</v>
      </c>
      <c r="S983">
        <v>83</v>
      </c>
      <c r="T983">
        <v>591000</v>
      </c>
      <c r="U983">
        <v>1</v>
      </c>
      <c r="V983">
        <v>1</v>
      </c>
      <c r="W983" t="s">
        <v>127</v>
      </c>
      <c r="X983">
        <v>19700</v>
      </c>
      <c r="Y983">
        <v>1115808.5900000001</v>
      </c>
      <c r="Z983">
        <v>49053000</v>
      </c>
      <c r="AA983">
        <v>591000</v>
      </c>
      <c r="AB983">
        <v>210</v>
      </c>
      <c r="AC983" s="34">
        <v>46009</v>
      </c>
      <c r="AD983" s="34">
        <v>46142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 t="s">
        <v>122</v>
      </c>
      <c r="AT983">
        <v>29431800</v>
      </c>
      <c r="AU983">
        <v>669485.15</v>
      </c>
      <c r="AV983">
        <v>29431800</v>
      </c>
      <c r="AW983">
        <v>669485.15</v>
      </c>
    </row>
    <row r="984" spans="1:49" hidden="1" x14ac:dyDescent="0.35">
      <c r="A984">
        <v>5849010</v>
      </c>
      <c r="B984">
        <v>1250005849001</v>
      </c>
      <c r="D984">
        <v>30606209653</v>
      </c>
      <c r="E984" t="s">
        <v>162</v>
      </c>
      <c r="F984" t="s">
        <v>1</v>
      </c>
      <c r="G984" t="s">
        <v>457</v>
      </c>
      <c r="H984" t="s">
        <v>48</v>
      </c>
      <c r="I984">
        <v>6128</v>
      </c>
      <c r="J984">
        <v>3</v>
      </c>
      <c r="K984" t="s">
        <v>32</v>
      </c>
      <c r="L984">
        <v>4401</v>
      </c>
      <c r="M984" t="s">
        <v>132</v>
      </c>
      <c r="N984">
        <v>1</v>
      </c>
      <c r="O984" t="s">
        <v>119</v>
      </c>
      <c r="P984" t="s">
        <v>1502</v>
      </c>
      <c r="Q984">
        <v>950</v>
      </c>
      <c r="R984">
        <v>25000</v>
      </c>
      <c r="S984">
        <v>50</v>
      </c>
      <c r="T984">
        <v>500</v>
      </c>
      <c r="U984">
        <v>26</v>
      </c>
      <c r="V984">
        <v>1457</v>
      </c>
      <c r="W984" t="s">
        <v>121</v>
      </c>
      <c r="X984" t="s">
        <v>1</v>
      </c>
      <c r="Y984">
        <v>1384150</v>
      </c>
      <c r="Z984">
        <v>36425000</v>
      </c>
      <c r="AA984">
        <v>728500</v>
      </c>
      <c r="AB984">
        <v>211</v>
      </c>
      <c r="AC984" s="34">
        <v>46022</v>
      </c>
      <c r="AD984" s="34">
        <v>46112</v>
      </c>
      <c r="AF984">
        <v>0</v>
      </c>
      <c r="AG984">
        <v>950</v>
      </c>
      <c r="AH984">
        <v>0</v>
      </c>
      <c r="AI984">
        <v>1384150</v>
      </c>
      <c r="AJ984">
        <v>0</v>
      </c>
      <c r="AK984">
        <v>0</v>
      </c>
      <c r="AL984">
        <v>361263.15</v>
      </c>
      <c r="AM984">
        <v>0</v>
      </c>
      <c r="AN984">
        <v>1745413.15</v>
      </c>
      <c r="AO984" t="s">
        <v>122</v>
      </c>
      <c r="AP984">
        <v>15</v>
      </c>
      <c r="AQ984">
        <v>142.5</v>
      </c>
      <c r="AR984">
        <v>207622.5</v>
      </c>
      <c r="AT984">
        <v>15000</v>
      </c>
      <c r="AU984">
        <v>570</v>
      </c>
      <c r="AV984">
        <v>21855000</v>
      </c>
      <c r="AW984">
        <v>830490</v>
      </c>
    </row>
    <row r="985" spans="1:49" hidden="1" x14ac:dyDescent="0.35">
      <c r="A985">
        <v>5849110</v>
      </c>
      <c r="B985">
        <v>1250005849101</v>
      </c>
      <c r="D985">
        <v>30606209653</v>
      </c>
      <c r="E985" t="s">
        <v>162</v>
      </c>
      <c r="F985" t="s">
        <v>1</v>
      </c>
      <c r="G985" t="s">
        <v>457</v>
      </c>
      <c r="H985" t="s">
        <v>48</v>
      </c>
      <c r="I985">
        <v>6128</v>
      </c>
      <c r="J985">
        <v>3</v>
      </c>
      <c r="K985" t="s">
        <v>32</v>
      </c>
      <c r="L985">
        <v>4401</v>
      </c>
      <c r="M985" t="s">
        <v>132</v>
      </c>
      <c r="N985">
        <v>1</v>
      </c>
      <c r="O985" t="s">
        <v>119</v>
      </c>
      <c r="P985" t="s">
        <v>1503</v>
      </c>
      <c r="Q985">
        <v>1520</v>
      </c>
      <c r="R985">
        <v>38000</v>
      </c>
      <c r="S985">
        <v>76</v>
      </c>
      <c r="T985">
        <v>500</v>
      </c>
      <c r="U985">
        <v>26</v>
      </c>
      <c r="V985">
        <v>1457</v>
      </c>
      <c r="W985" t="s">
        <v>121</v>
      </c>
      <c r="X985" t="s">
        <v>1</v>
      </c>
      <c r="Y985">
        <v>2214640</v>
      </c>
      <c r="Z985">
        <v>55366000</v>
      </c>
      <c r="AA985">
        <v>728500</v>
      </c>
      <c r="AB985">
        <v>106</v>
      </c>
      <c r="AC985" s="34">
        <v>46022</v>
      </c>
      <c r="AD985" s="34">
        <v>46188</v>
      </c>
      <c r="AF985">
        <v>0</v>
      </c>
      <c r="AG985">
        <v>1520</v>
      </c>
      <c r="AH985">
        <v>0</v>
      </c>
      <c r="AI985">
        <v>2214640</v>
      </c>
      <c r="AJ985">
        <v>0</v>
      </c>
      <c r="AK985">
        <v>0</v>
      </c>
      <c r="AL985">
        <v>578021.04</v>
      </c>
      <c r="AM985">
        <v>0</v>
      </c>
      <c r="AN985">
        <v>2792661.04</v>
      </c>
      <c r="AO985" t="s">
        <v>122</v>
      </c>
      <c r="AP985">
        <v>15</v>
      </c>
      <c r="AQ985">
        <v>228</v>
      </c>
      <c r="AR985">
        <v>332196</v>
      </c>
      <c r="AT985">
        <v>22800</v>
      </c>
      <c r="AU985">
        <v>912</v>
      </c>
      <c r="AV985">
        <v>33219600</v>
      </c>
      <c r="AW985">
        <v>1328784</v>
      </c>
    </row>
    <row r="986" spans="1:49" hidden="1" x14ac:dyDescent="0.35">
      <c r="A986">
        <v>5849210</v>
      </c>
      <c r="B986">
        <v>1250005849201</v>
      </c>
      <c r="D986">
        <v>30716827778</v>
      </c>
      <c r="E986" t="s">
        <v>764</v>
      </c>
      <c r="F986" t="s">
        <v>1</v>
      </c>
      <c r="G986" t="s">
        <v>174</v>
      </c>
      <c r="H986" t="s">
        <v>51</v>
      </c>
      <c r="I986">
        <v>5929</v>
      </c>
      <c r="J986">
        <v>3</v>
      </c>
      <c r="K986" t="s">
        <v>32</v>
      </c>
      <c r="L986">
        <v>6435</v>
      </c>
      <c r="M986" t="s">
        <v>175</v>
      </c>
      <c r="N986">
        <v>1</v>
      </c>
      <c r="O986" t="s">
        <v>119</v>
      </c>
      <c r="P986" t="s">
        <v>1504</v>
      </c>
      <c r="Q986">
        <v>1424664</v>
      </c>
      <c r="R986">
        <v>37890000</v>
      </c>
      <c r="S986">
        <v>30</v>
      </c>
      <c r="T986">
        <v>1263000</v>
      </c>
      <c r="U986">
        <v>1</v>
      </c>
      <c r="V986">
        <v>1</v>
      </c>
      <c r="W986" t="s">
        <v>121</v>
      </c>
      <c r="X986" t="s">
        <v>1</v>
      </c>
      <c r="Y986">
        <v>1424664</v>
      </c>
      <c r="Z986">
        <v>37890000</v>
      </c>
      <c r="AA986">
        <v>1263000</v>
      </c>
      <c r="AB986">
        <v>105</v>
      </c>
      <c r="AC986" s="34">
        <v>46023</v>
      </c>
      <c r="AD986" s="34">
        <v>46142</v>
      </c>
      <c r="AF986">
        <v>0</v>
      </c>
      <c r="AG986">
        <v>1424664</v>
      </c>
      <c r="AH986">
        <v>0</v>
      </c>
      <c r="AI986">
        <v>1424664</v>
      </c>
      <c r="AJ986">
        <v>0</v>
      </c>
      <c r="AK986">
        <v>0</v>
      </c>
      <c r="AL986">
        <v>371837.3</v>
      </c>
      <c r="AM986">
        <v>0</v>
      </c>
      <c r="AN986">
        <v>1796501.3</v>
      </c>
      <c r="AO986" t="s">
        <v>122</v>
      </c>
      <c r="AP986">
        <v>15</v>
      </c>
      <c r="AQ986">
        <v>213699.6</v>
      </c>
      <c r="AR986">
        <v>213699.6</v>
      </c>
      <c r="AT986">
        <v>22734000</v>
      </c>
      <c r="AU986">
        <v>854798.4</v>
      </c>
      <c r="AV986">
        <v>22734000</v>
      </c>
      <c r="AW986">
        <v>854798.4</v>
      </c>
    </row>
    <row r="987" spans="1:49" hidden="1" x14ac:dyDescent="0.35">
      <c r="A987">
        <v>5849310</v>
      </c>
      <c r="B987">
        <v>1090005849301</v>
      </c>
      <c r="D987">
        <v>20117223273</v>
      </c>
      <c r="E987" t="s">
        <v>1035</v>
      </c>
      <c r="F987" t="s">
        <v>1</v>
      </c>
      <c r="G987" t="s">
        <v>680</v>
      </c>
      <c r="H987" t="s">
        <v>55</v>
      </c>
      <c r="I987">
        <v>6220</v>
      </c>
      <c r="J987">
        <v>21</v>
      </c>
      <c r="K987" t="s">
        <v>33</v>
      </c>
      <c r="L987">
        <v>6127</v>
      </c>
      <c r="M987" t="s">
        <v>118</v>
      </c>
      <c r="N987">
        <v>1</v>
      </c>
      <c r="O987" t="s">
        <v>119</v>
      </c>
      <c r="P987" t="s">
        <v>1505</v>
      </c>
      <c r="Q987">
        <v>255.5</v>
      </c>
      <c r="R987">
        <v>7000</v>
      </c>
      <c r="S987">
        <v>10</v>
      </c>
      <c r="T987">
        <v>700</v>
      </c>
      <c r="U987">
        <v>26</v>
      </c>
      <c r="V987">
        <v>1457</v>
      </c>
      <c r="W987" t="s">
        <v>121</v>
      </c>
      <c r="X987" t="s">
        <v>1</v>
      </c>
      <c r="Y987">
        <v>372263.5</v>
      </c>
      <c r="Z987">
        <v>10199000</v>
      </c>
      <c r="AA987">
        <v>1019900</v>
      </c>
      <c r="AB987">
        <v>106</v>
      </c>
      <c r="AC987" s="34">
        <v>46022</v>
      </c>
      <c r="AD987" s="34">
        <v>46188</v>
      </c>
      <c r="AF987">
        <v>0</v>
      </c>
      <c r="AG987">
        <v>5110</v>
      </c>
      <c r="AH987">
        <v>0</v>
      </c>
      <c r="AI987">
        <v>7445270</v>
      </c>
      <c r="AJ987">
        <v>0</v>
      </c>
      <c r="AK987">
        <v>0</v>
      </c>
      <c r="AL987">
        <v>1868762.77</v>
      </c>
      <c r="AM987">
        <v>0</v>
      </c>
      <c r="AN987">
        <v>9314032.7699999996</v>
      </c>
      <c r="AO987" t="s">
        <v>122</v>
      </c>
      <c r="AP987">
        <v>12</v>
      </c>
      <c r="AQ987">
        <v>613.20000000000005</v>
      </c>
      <c r="AR987">
        <v>893432.4</v>
      </c>
      <c r="AT987">
        <v>4200</v>
      </c>
      <c r="AU987">
        <v>153.30000000000001</v>
      </c>
      <c r="AV987">
        <v>6119400</v>
      </c>
      <c r="AW987">
        <v>223358.1</v>
      </c>
    </row>
    <row r="988" spans="1:49" hidden="1" x14ac:dyDescent="0.35">
      <c r="A988">
        <v>5849310</v>
      </c>
      <c r="B988">
        <v>1090005849301</v>
      </c>
      <c r="D988">
        <v>20117223273</v>
      </c>
      <c r="E988" t="s">
        <v>1035</v>
      </c>
      <c r="F988" t="s">
        <v>1</v>
      </c>
      <c r="G988" t="s">
        <v>680</v>
      </c>
      <c r="H988" t="s">
        <v>55</v>
      </c>
      <c r="I988">
        <v>6220</v>
      </c>
      <c r="J988">
        <v>21</v>
      </c>
      <c r="K988" t="s">
        <v>33</v>
      </c>
      <c r="L988">
        <v>6127</v>
      </c>
      <c r="M988" t="s">
        <v>118</v>
      </c>
      <c r="N988">
        <v>2</v>
      </c>
      <c r="O988" t="s">
        <v>119</v>
      </c>
      <c r="P988" t="s">
        <v>1506</v>
      </c>
      <c r="Q988">
        <v>1277.5</v>
      </c>
      <c r="R988">
        <v>35000</v>
      </c>
      <c r="S988">
        <v>50</v>
      </c>
      <c r="T988">
        <v>700</v>
      </c>
      <c r="U988">
        <v>26</v>
      </c>
      <c r="V988">
        <v>1457</v>
      </c>
      <c r="W988" t="s">
        <v>121</v>
      </c>
      <c r="X988" t="s">
        <v>1</v>
      </c>
      <c r="Y988">
        <v>1861317.5</v>
      </c>
      <c r="Z988">
        <v>50995000</v>
      </c>
      <c r="AA988">
        <v>1019900</v>
      </c>
      <c r="AB988">
        <v>106</v>
      </c>
      <c r="AC988" s="34">
        <v>46022</v>
      </c>
      <c r="AD988" s="34">
        <v>46188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 t="s">
        <v>122</v>
      </c>
      <c r="AT988">
        <v>21000</v>
      </c>
      <c r="AU988">
        <v>766.5</v>
      </c>
      <c r="AV988">
        <v>30597000</v>
      </c>
      <c r="AW988">
        <v>1116790.5</v>
      </c>
    </row>
    <row r="989" spans="1:49" hidden="1" x14ac:dyDescent="0.35">
      <c r="A989">
        <v>5849310</v>
      </c>
      <c r="B989">
        <v>1090005849301</v>
      </c>
      <c r="D989">
        <v>20117223273</v>
      </c>
      <c r="E989" t="s">
        <v>1035</v>
      </c>
      <c r="F989" t="s">
        <v>1</v>
      </c>
      <c r="G989" t="s">
        <v>680</v>
      </c>
      <c r="H989" t="s">
        <v>55</v>
      </c>
      <c r="I989">
        <v>6220</v>
      </c>
      <c r="J989">
        <v>21</v>
      </c>
      <c r="K989" t="s">
        <v>33</v>
      </c>
      <c r="L989">
        <v>6127</v>
      </c>
      <c r="M989" t="s">
        <v>118</v>
      </c>
      <c r="N989">
        <v>3</v>
      </c>
      <c r="O989" t="s">
        <v>119</v>
      </c>
      <c r="P989" t="s">
        <v>1507</v>
      </c>
      <c r="Q989">
        <v>3577</v>
      </c>
      <c r="R989">
        <v>98000</v>
      </c>
      <c r="S989">
        <v>140</v>
      </c>
      <c r="T989">
        <v>700</v>
      </c>
      <c r="U989">
        <v>26</v>
      </c>
      <c r="V989">
        <v>1457</v>
      </c>
      <c r="W989" t="s">
        <v>121</v>
      </c>
      <c r="X989" t="s">
        <v>1</v>
      </c>
      <c r="Y989">
        <v>5211689</v>
      </c>
      <c r="Z989">
        <v>142786000</v>
      </c>
      <c r="AA989">
        <v>1019900</v>
      </c>
      <c r="AB989">
        <v>106</v>
      </c>
      <c r="AC989" s="34">
        <v>46022</v>
      </c>
      <c r="AD989" s="34">
        <v>46188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 t="s">
        <v>122</v>
      </c>
      <c r="AT989">
        <v>58800</v>
      </c>
      <c r="AU989">
        <v>2146.1999999999998</v>
      </c>
      <c r="AV989">
        <v>85671600</v>
      </c>
      <c r="AW989">
        <v>3127013.4</v>
      </c>
    </row>
    <row r="990" spans="1:49" hidden="1" x14ac:dyDescent="0.35">
      <c r="A990">
        <v>5849410</v>
      </c>
      <c r="B990">
        <v>5010005849401</v>
      </c>
      <c r="D990">
        <v>30665880474</v>
      </c>
      <c r="E990" t="s">
        <v>309</v>
      </c>
      <c r="F990" t="s">
        <v>1</v>
      </c>
      <c r="G990" t="s">
        <v>17</v>
      </c>
      <c r="H990" t="s">
        <v>17</v>
      </c>
      <c r="I990">
        <v>6500</v>
      </c>
      <c r="J990">
        <v>1</v>
      </c>
      <c r="K990" t="s">
        <v>16</v>
      </c>
      <c r="L990">
        <v>11014</v>
      </c>
      <c r="M990" t="s">
        <v>232</v>
      </c>
      <c r="N990">
        <v>1</v>
      </c>
      <c r="O990" t="s">
        <v>119</v>
      </c>
      <c r="P990" t="s">
        <v>1508</v>
      </c>
      <c r="Q990">
        <v>2378970</v>
      </c>
      <c r="R990">
        <v>133650000</v>
      </c>
      <c r="S990">
        <v>150</v>
      </c>
      <c r="T990">
        <v>891000</v>
      </c>
      <c r="U990">
        <v>1</v>
      </c>
      <c r="V990">
        <v>1</v>
      </c>
      <c r="W990" t="s">
        <v>127</v>
      </c>
      <c r="X990">
        <v>29700</v>
      </c>
      <c r="Y990">
        <v>2378970</v>
      </c>
      <c r="Z990">
        <v>133650000</v>
      </c>
      <c r="AA990">
        <v>891000</v>
      </c>
      <c r="AB990">
        <v>105</v>
      </c>
      <c r="AC990" s="34">
        <v>46053</v>
      </c>
      <c r="AD990" s="34">
        <v>46173</v>
      </c>
      <c r="AF990">
        <v>0</v>
      </c>
      <c r="AG990">
        <v>16906546.800000001</v>
      </c>
      <c r="AH990">
        <v>0</v>
      </c>
      <c r="AI990">
        <v>16906546.800000001</v>
      </c>
      <c r="AJ990">
        <v>0</v>
      </c>
      <c r="AK990">
        <v>0</v>
      </c>
      <c r="AL990">
        <v>4243543.24</v>
      </c>
      <c r="AM990">
        <v>0</v>
      </c>
      <c r="AN990">
        <v>21150090.039999999</v>
      </c>
      <c r="AO990" t="s">
        <v>122</v>
      </c>
      <c r="AP990">
        <v>15</v>
      </c>
      <c r="AQ990">
        <v>2535982.02</v>
      </c>
      <c r="AR990">
        <v>2535982.02</v>
      </c>
      <c r="AT990">
        <v>80190000</v>
      </c>
      <c r="AU990">
        <v>1427382</v>
      </c>
      <c r="AV990">
        <v>80190000</v>
      </c>
      <c r="AW990">
        <v>1427382</v>
      </c>
    </row>
    <row r="991" spans="1:49" hidden="1" x14ac:dyDescent="0.35">
      <c r="A991">
        <v>5849410</v>
      </c>
      <c r="B991">
        <v>5010005849401</v>
      </c>
      <c r="D991">
        <v>30665880474</v>
      </c>
      <c r="E991" t="s">
        <v>309</v>
      </c>
      <c r="F991" t="s">
        <v>1</v>
      </c>
      <c r="G991" t="s">
        <v>17</v>
      </c>
      <c r="H991" t="s">
        <v>17</v>
      </c>
      <c r="I991">
        <v>6500</v>
      </c>
      <c r="J991">
        <v>1</v>
      </c>
      <c r="K991" t="s">
        <v>16</v>
      </c>
      <c r="L991">
        <v>11014</v>
      </c>
      <c r="M991" t="s">
        <v>232</v>
      </c>
      <c r="N991">
        <v>2</v>
      </c>
      <c r="O991" t="s">
        <v>119</v>
      </c>
      <c r="P991" t="s">
        <v>1509</v>
      </c>
      <c r="Q991">
        <v>951588</v>
      </c>
      <c r="R991">
        <v>53460000</v>
      </c>
      <c r="S991">
        <v>60</v>
      </c>
      <c r="T991">
        <v>891000</v>
      </c>
      <c r="U991">
        <v>1</v>
      </c>
      <c r="V991">
        <v>1</v>
      </c>
      <c r="W991" t="s">
        <v>127</v>
      </c>
      <c r="X991">
        <v>29700</v>
      </c>
      <c r="Y991">
        <v>951588</v>
      </c>
      <c r="Z991">
        <v>53460000</v>
      </c>
      <c r="AA991">
        <v>891000</v>
      </c>
      <c r="AB991">
        <v>105</v>
      </c>
      <c r="AC991" s="34">
        <v>46053</v>
      </c>
      <c r="AD991" s="34">
        <v>46173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 t="s">
        <v>122</v>
      </c>
      <c r="AT991">
        <v>32076000</v>
      </c>
      <c r="AU991">
        <v>570952.80000000005</v>
      </c>
      <c r="AV991">
        <v>32076000</v>
      </c>
      <c r="AW991">
        <v>570952.80000000005</v>
      </c>
    </row>
    <row r="992" spans="1:49" hidden="1" x14ac:dyDescent="0.35">
      <c r="A992">
        <v>5849410</v>
      </c>
      <c r="B992">
        <v>5010005849401</v>
      </c>
      <c r="D992">
        <v>30665880474</v>
      </c>
      <c r="E992" t="s">
        <v>309</v>
      </c>
      <c r="F992" t="s">
        <v>1</v>
      </c>
      <c r="G992" t="s">
        <v>17</v>
      </c>
      <c r="H992" t="s">
        <v>17</v>
      </c>
      <c r="I992">
        <v>6500</v>
      </c>
      <c r="J992">
        <v>1</v>
      </c>
      <c r="K992" t="s">
        <v>16</v>
      </c>
      <c r="L992">
        <v>11014</v>
      </c>
      <c r="M992" t="s">
        <v>232</v>
      </c>
      <c r="N992">
        <v>3</v>
      </c>
      <c r="O992" t="s">
        <v>119</v>
      </c>
      <c r="P992" t="s">
        <v>1510</v>
      </c>
      <c r="Q992">
        <v>301336.2</v>
      </c>
      <c r="R992">
        <v>16929000</v>
      </c>
      <c r="S992">
        <v>19</v>
      </c>
      <c r="T992">
        <v>891000</v>
      </c>
      <c r="U992">
        <v>1</v>
      </c>
      <c r="V992">
        <v>1</v>
      </c>
      <c r="W992" t="s">
        <v>127</v>
      </c>
      <c r="X992">
        <v>29700</v>
      </c>
      <c r="Y992">
        <v>301336.2</v>
      </c>
      <c r="Z992">
        <v>16929000</v>
      </c>
      <c r="AA992">
        <v>891000</v>
      </c>
      <c r="AB992">
        <v>105</v>
      </c>
      <c r="AC992" s="34">
        <v>46053</v>
      </c>
      <c r="AD992" s="34">
        <v>46173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 t="s">
        <v>122</v>
      </c>
      <c r="AT992">
        <v>10157400</v>
      </c>
      <c r="AU992">
        <v>180801.72</v>
      </c>
      <c r="AV992">
        <v>10157400</v>
      </c>
      <c r="AW992">
        <v>180801.72</v>
      </c>
    </row>
    <row r="993" spans="1:49" hidden="1" x14ac:dyDescent="0.35">
      <c r="A993">
        <v>5849410</v>
      </c>
      <c r="B993">
        <v>5010005849401</v>
      </c>
      <c r="D993">
        <v>30665880474</v>
      </c>
      <c r="E993" t="s">
        <v>309</v>
      </c>
      <c r="F993" t="s">
        <v>1</v>
      </c>
      <c r="G993" t="s">
        <v>17</v>
      </c>
      <c r="H993" t="s">
        <v>17</v>
      </c>
      <c r="I993">
        <v>6500</v>
      </c>
      <c r="J993">
        <v>1</v>
      </c>
      <c r="K993" t="s">
        <v>16</v>
      </c>
      <c r="L993">
        <v>11014</v>
      </c>
      <c r="M993" t="s">
        <v>232</v>
      </c>
      <c r="N993">
        <v>4</v>
      </c>
      <c r="O993" t="s">
        <v>119</v>
      </c>
      <c r="P993" t="s">
        <v>1511</v>
      </c>
      <c r="Q993">
        <v>4123548</v>
      </c>
      <c r="R993">
        <v>231660000</v>
      </c>
      <c r="S993">
        <v>260</v>
      </c>
      <c r="T993">
        <v>891000</v>
      </c>
      <c r="U993">
        <v>1</v>
      </c>
      <c r="V993">
        <v>1</v>
      </c>
      <c r="W993" t="s">
        <v>127</v>
      </c>
      <c r="X993">
        <v>29700</v>
      </c>
      <c r="Y993">
        <v>4123548</v>
      </c>
      <c r="Z993">
        <v>231660000</v>
      </c>
      <c r="AA993">
        <v>891000</v>
      </c>
      <c r="AB993">
        <v>105</v>
      </c>
      <c r="AC993" s="34">
        <v>46053</v>
      </c>
      <c r="AD993" s="34">
        <v>46173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 t="s">
        <v>122</v>
      </c>
      <c r="AT993">
        <v>138996000</v>
      </c>
      <c r="AU993">
        <v>2474128.7999999998</v>
      </c>
      <c r="AV993">
        <v>138996000</v>
      </c>
      <c r="AW993">
        <v>2474128.7999999998</v>
      </c>
    </row>
    <row r="994" spans="1:49" hidden="1" x14ac:dyDescent="0.35">
      <c r="A994">
        <v>5849410</v>
      </c>
      <c r="B994">
        <v>5010005849401</v>
      </c>
      <c r="D994">
        <v>30665880474</v>
      </c>
      <c r="E994" t="s">
        <v>309</v>
      </c>
      <c r="F994" t="s">
        <v>1</v>
      </c>
      <c r="G994" t="s">
        <v>24</v>
      </c>
      <c r="H994" t="s">
        <v>24</v>
      </c>
      <c r="I994">
        <v>6070</v>
      </c>
      <c r="J994">
        <v>1</v>
      </c>
      <c r="K994" t="s">
        <v>16</v>
      </c>
      <c r="L994">
        <v>11014</v>
      </c>
      <c r="M994" t="s">
        <v>232</v>
      </c>
      <c r="N994">
        <v>5</v>
      </c>
      <c r="O994" t="s">
        <v>119</v>
      </c>
      <c r="P994" t="s">
        <v>1512</v>
      </c>
      <c r="Q994">
        <v>1110186</v>
      </c>
      <c r="R994">
        <v>62370000</v>
      </c>
      <c r="S994">
        <v>70</v>
      </c>
      <c r="T994">
        <v>891000</v>
      </c>
      <c r="U994">
        <v>1</v>
      </c>
      <c r="V994">
        <v>1</v>
      </c>
      <c r="W994" t="s">
        <v>127</v>
      </c>
      <c r="X994">
        <v>29700</v>
      </c>
      <c r="Y994">
        <v>1110186</v>
      </c>
      <c r="Z994">
        <v>62370000</v>
      </c>
      <c r="AA994">
        <v>891000</v>
      </c>
      <c r="AB994">
        <v>105</v>
      </c>
      <c r="AC994" s="34">
        <v>46053</v>
      </c>
      <c r="AD994" s="34">
        <v>46173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 t="s">
        <v>122</v>
      </c>
      <c r="AT994">
        <v>37422000</v>
      </c>
      <c r="AU994">
        <v>666111.6</v>
      </c>
      <c r="AV994">
        <v>37422000</v>
      </c>
      <c r="AW994">
        <v>666111.6</v>
      </c>
    </row>
    <row r="995" spans="1:49" hidden="1" x14ac:dyDescent="0.35">
      <c r="A995">
        <v>5849410</v>
      </c>
      <c r="B995">
        <v>5010005849401</v>
      </c>
      <c r="D995">
        <v>30665880474</v>
      </c>
      <c r="E995" t="s">
        <v>309</v>
      </c>
      <c r="F995" t="s">
        <v>1</v>
      </c>
      <c r="G995" t="s">
        <v>24</v>
      </c>
      <c r="H995" t="s">
        <v>24</v>
      </c>
      <c r="I995">
        <v>6070</v>
      </c>
      <c r="J995">
        <v>1</v>
      </c>
      <c r="K995" t="s">
        <v>16</v>
      </c>
      <c r="L995">
        <v>11014</v>
      </c>
      <c r="M995" t="s">
        <v>232</v>
      </c>
      <c r="N995">
        <v>6</v>
      </c>
      <c r="O995" t="s">
        <v>119</v>
      </c>
      <c r="P995" t="s">
        <v>1513</v>
      </c>
      <c r="Q995">
        <v>3282978.6</v>
      </c>
      <c r="R995">
        <v>184437000</v>
      </c>
      <c r="S995">
        <v>207</v>
      </c>
      <c r="T995">
        <v>891000</v>
      </c>
      <c r="U995">
        <v>1</v>
      </c>
      <c r="V995">
        <v>1</v>
      </c>
      <c r="W995" t="s">
        <v>127</v>
      </c>
      <c r="X995">
        <v>29700</v>
      </c>
      <c r="Y995">
        <v>3282978.6</v>
      </c>
      <c r="Z995">
        <v>184437000</v>
      </c>
      <c r="AA995">
        <v>891000</v>
      </c>
      <c r="AB995">
        <v>105</v>
      </c>
      <c r="AC995" s="34">
        <v>46053</v>
      </c>
      <c r="AD995" s="34">
        <v>46173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 t="s">
        <v>122</v>
      </c>
      <c r="AT995">
        <v>110662200</v>
      </c>
      <c r="AU995">
        <v>1969787.16</v>
      </c>
      <c r="AV995">
        <v>110662200</v>
      </c>
      <c r="AW995">
        <v>1969787.16</v>
      </c>
    </row>
    <row r="996" spans="1:49" hidden="1" x14ac:dyDescent="0.35">
      <c r="A996">
        <v>5849410</v>
      </c>
      <c r="B996">
        <v>5010005849401</v>
      </c>
      <c r="D996">
        <v>30665880474</v>
      </c>
      <c r="E996" t="s">
        <v>309</v>
      </c>
      <c r="F996" t="s">
        <v>1</v>
      </c>
      <c r="G996" t="s">
        <v>24</v>
      </c>
      <c r="H996" t="s">
        <v>24</v>
      </c>
      <c r="I996">
        <v>6070</v>
      </c>
      <c r="J996">
        <v>1</v>
      </c>
      <c r="K996" t="s">
        <v>16</v>
      </c>
      <c r="L996">
        <v>11014</v>
      </c>
      <c r="M996" t="s">
        <v>232</v>
      </c>
      <c r="N996">
        <v>7</v>
      </c>
      <c r="O996" t="s">
        <v>119</v>
      </c>
      <c r="P996" t="s">
        <v>1514</v>
      </c>
      <c r="Q996">
        <v>2537568</v>
      </c>
      <c r="R996">
        <v>142560000</v>
      </c>
      <c r="S996">
        <v>160</v>
      </c>
      <c r="T996">
        <v>891000</v>
      </c>
      <c r="U996">
        <v>1</v>
      </c>
      <c r="V996">
        <v>1</v>
      </c>
      <c r="W996" t="s">
        <v>127</v>
      </c>
      <c r="X996">
        <v>29700</v>
      </c>
      <c r="Y996">
        <v>2537568</v>
      </c>
      <c r="Z996">
        <v>142560000</v>
      </c>
      <c r="AA996">
        <v>891000</v>
      </c>
      <c r="AB996">
        <v>105</v>
      </c>
      <c r="AC996" s="34">
        <v>46053</v>
      </c>
      <c r="AD996" s="34">
        <v>46173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 t="s">
        <v>122</v>
      </c>
      <c r="AT996">
        <v>85536000</v>
      </c>
      <c r="AU996">
        <v>1522540.8</v>
      </c>
      <c r="AV996">
        <v>85536000</v>
      </c>
      <c r="AW996">
        <v>1522540.8</v>
      </c>
    </row>
    <row r="997" spans="1:49" hidden="1" x14ac:dyDescent="0.35">
      <c r="A997">
        <v>5849410</v>
      </c>
      <c r="B997">
        <v>5010005849401</v>
      </c>
      <c r="D997">
        <v>30665880474</v>
      </c>
      <c r="E997" t="s">
        <v>309</v>
      </c>
      <c r="F997" t="s">
        <v>1</v>
      </c>
      <c r="G997" t="s">
        <v>24</v>
      </c>
      <c r="H997" t="s">
        <v>24</v>
      </c>
      <c r="I997">
        <v>6070</v>
      </c>
      <c r="J997">
        <v>1</v>
      </c>
      <c r="K997" t="s">
        <v>16</v>
      </c>
      <c r="L997">
        <v>11014</v>
      </c>
      <c r="M997" t="s">
        <v>232</v>
      </c>
      <c r="N997">
        <v>8</v>
      </c>
      <c r="O997" t="s">
        <v>119</v>
      </c>
      <c r="P997" t="s">
        <v>1515</v>
      </c>
      <c r="Q997">
        <v>2220372</v>
      </c>
      <c r="R997">
        <v>124740000</v>
      </c>
      <c r="S997">
        <v>140</v>
      </c>
      <c r="T997">
        <v>891000</v>
      </c>
      <c r="U997">
        <v>1</v>
      </c>
      <c r="V997">
        <v>1</v>
      </c>
      <c r="W997" t="s">
        <v>127</v>
      </c>
      <c r="X997">
        <v>29700</v>
      </c>
      <c r="Y997">
        <v>2220372</v>
      </c>
      <c r="Z997">
        <v>124740000</v>
      </c>
      <c r="AA997">
        <v>891000</v>
      </c>
      <c r="AB997">
        <v>105</v>
      </c>
      <c r="AC997" s="34">
        <v>46053</v>
      </c>
      <c r="AD997" s="34">
        <v>46173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 t="s">
        <v>122</v>
      </c>
      <c r="AT997">
        <v>74844000</v>
      </c>
      <c r="AU997">
        <v>1332223.2</v>
      </c>
      <c r="AV997">
        <v>74844000</v>
      </c>
      <c r="AW997">
        <v>1332223.2</v>
      </c>
    </row>
    <row r="998" spans="1:49" hidden="1" x14ac:dyDescent="0.35">
      <c r="A998">
        <v>5849510</v>
      </c>
      <c r="B998">
        <v>5010005849501</v>
      </c>
      <c r="D998">
        <v>30708191007</v>
      </c>
      <c r="E998" t="s">
        <v>537</v>
      </c>
      <c r="F998" t="s">
        <v>1</v>
      </c>
      <c r="G998" t="s">
        <v>1516</v>
      </c>
      <c r="H998" t="s">
        <v>539</v>
      </c>
      <c r="I998">
        <v>6032</v>
      </c>
      <c r="J998">
        <v>1</v>
      </c>
      <c r="K998" t="s">
        <v>16</v>
      </c>
      <c r="L998">
        <v>11014</v>
      </c>
      <c r="M998" t="s">
        <v>232</v>
      </c>
      <c r="N998">
        <v>1</v>
      </c>
      <c r="O998" t="s">
        <v>119</v>
      </c>
      <c r="P998" t="s">
        <v>1517</v>
      </c>
      <c r="Q998">
        <v>2033.46</v>
      </c>
      <c r="R998">
        <v>128700</v>
      </c>
      <c r="S998">
        <v>143</v>
      </c>
      <c r="T998">
        <v>900</v>
      </c>
      <c r="U998">
        <v>26</v>
      </c>
      <c r="V998">
        <v>1457</v>
      </c>
      <c r="W998" t="s">
        <v>121</v>
      </c>
      <c r="X998" t="s">
        <v>1</v>
      </c>
      <c r="Y998">
        <v>2962751.22</v>
      </c>
      <c r="Z998">
        <v>187515900</v>
      </c>
      <c r="AA998">
        <v>1311300</v>
      </c>
      <c r="AB998">
        <v>210</v>
      </c>
      <c r="AC998" s="34">
        <v>46020</v>
      </c>
      <c r="AD998" s="34">
        <v>46142</v>
      </c>
      <c r="AF998">
        <v>0</v>
      </c>
      <c r="AG998">
        <v>2388.96</v>
      </c>
      <c r="AH998">
        <v>0</v>
      </c>
      <c r="AI998">
        <v>3480714.72</v>
      </c>
      <c r="AJ998">
        <v>0</v>
      </c>
      <c r="AK998">
        <v>0</v>
      </c>
      <c r="AL998">
        <v>873646.34</v>
      </c>
      <c r="AM998">
        <v>0</v>
      </c>
      <c r="AN998">
        <v>4354361.0599999996</v>
      </c>
      <c r="AO998" t="s">
        <v>122</v>
      </c>
      <c r="AP998">
        <v>15</v>
      </c>
      <c r="AQ998">
        <v>358.34</v>
      </c>
      <c r="AR998">
        <v>522101.38</v>
      </c>
      <c r="AT998">
        <v>77220</v>
      </c>
      <c r="AU998">
        <v>1220.08</v>
      </c>
      <c r="AV998">
        <v>112509540</v>
      </c>
      <c r="AW998">
        <v>1777656.56</v>
      </c>
    </row>
    <row r="999" spans="1:49" hidden="1" x14ac:dyDescent="0.35">
      <c r="A999">
        <v>5849510</v>
      </c>
      <c r="B999">
        <v>5010005849501</v>
      </c>
      <c r="D999">
        <v>30708191007</v>
      </c>
      <c r="E999" t="s">
        <v>537</v>
      </c>
      <c r="F999" t="s">
        <v>1</v>
      </c>
      <c r="G999" t="s">
        <v>1516</v>
      </c>
      <c r="H999" t="s">
        <v>539</v>
      </c>
      <c r="I999">
        <v>6032</v>
      </c>
      <c r="J999">
        <v>1</v>
      </c>
      <c r="K999" t="s">
        <v>16</v>
      </c>
      <c r="L999">
        <v>11014</v>
      </c>
      <c r="M999" t="s">
        <v>232</v>
      </c>
      <c r="N999">
        <v>2</v>
      </c>
      <c r="O999" t="s">
        <v>119</v>
      </c>
      <c r="P999" t="s">
        <v>1518</v>
      </c>
      <c r="Q999">
        <v>355.5</v>
      </c>
      <c r="R999">
        <v>22500</v>
      </c>
      <c r="S999">
        <v>50</v>
      </c>
      <c r="T999">
        <v>450</v>
      </c>
      <c r="U999">
        <v>26</v>
      </c>
      <c r="V999">
        <v>1457</v>
      </c>
      <c r="W999" t="s">
        <v>121</v>
      </c>
      <c r="X999" t="s">
        <v>1</v>
      </c>
      <c r="Y999">
        <v>517963.5</v>
      </c>
      <c r="Z999">
        <v>32782500</v>
      </c>
      <c r="AA999">
        <v>655650</v>
      </c>
      <c r="AB999">
        <v>210</v>
      </c>
      <c r="AC999" s="34">
        <v>46020</v>
      </c>
      <c r="AD999" s="34">
        <v>46142</v>
      </c>
      <c r="AF999">
        <v>1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 t="s">
        <v>122</v>
      </c>
      <c r="AT999">
        <v>13500</v>
      </c>
      <c r="AU999">
        <v>213.3</v>
      </c>
      <c r="AV999">
        <v>19669500</v>
      </c>
      <c r="AW999">
        <v>310778.09999999998</v>
      </c>
    </row>
    <row r="1000" spans="1:49" hidden="1" x14ac:dyDescent="0.35">
      <c r="A1000">
        <v>5849610</v>
      </c>
      <c r="B1000">
        <v>5010005849601</v>
      </c>
      <c r="D1000">
        <v>20386632732</v>
      </c>
      <c r="E1000" t="s">
        <v>543</v>
      </c>
      <c r="F1000" t="s">
        <v>1</v>
      </c>
      <c r="G1000" t="s">
        <v>1516</v>
      </c>
      <c r="H1000" t="s">
        <v>539</v>
      </c>
      <c r="I1000">
        <v>6032</v>
      </c>
      <c r="J1000">
        <v>1</v>
      </c>
      <c r="K1000" t="s">
        <v>16</v>
      </c>
      <c r="L1000">
        <v>11014</v>
      </c>
      <c r="M1000" t="s">
        <v>232</v>
      </c>
      <c r="N1000">
        <v>1</v>
      </c>
      <c r="O1000" t="s">
        <v>119</v>
      </c>
      <c r="P1000" t="s">
        <v>1518</v>
      </c>
      <c r="Q1000">
        <v>194.63</v>
      </c>
      <c r="R1000">
        <v>11250</v>
      </c>
      <c r="S1000">
        <v>50</v>
      </c>
      <c r="T1000">
        <v>225</v>
      </c>
      <c r="U1000">
        <v>26</v>
      </c>
      <c r="V1000">
        <v>1457</v>
      </c>
      <c r="W1000" t="s">
        <v>121</v>
      </c>
      <c r="X1000" t="s">
        <v>1</v>
      </c>
      <c r="Y1000">
        <v>283575.90999999997</v>
      </c>
      <c r="Z1000">
        <v>16391250</v>
      </c>
      <c r="AA1000">
        <v>327825</v>
      </c>
      <c r="AB1000">
        <v>210</v>
      </c>
      <c r="AC1000" s="34">
        <v>46020</v>
      </c>
      <c r="AD1000" s="34">
        <v>46142</v>
      </c>
      <c r="AF1000">
        <v>1</v>
      </c>
      <c r="AG1000">
        <v>194.63</v>
      </c>
      <c r="AH1000">
        <v>0</v>
      </c>
      <c r="AI1000">
        <v>283575.90999999997</v>
      </c>
      <c r="AJ1000">
        <v>0</v>
      </c>
      <c r="AK1000">
        <v>0</v>
      </c>
      <c r="AL1000">
        <v>71174.45</v>
      </c>
      <c r="AM1000">
        <v>0</v>
      </c>
      <c r="AN1000">
        <v>354750.36</v>
      </c>
      <c r="AO1000" t="s">
        <v>122</v>
      </c>
      <c r="AP1000">
        <v>14.997999999999999</v>
      </c>
      <c r="AQ1000">
        <v>29.19</v>
      </c>
      <c r="AR1000">
        <v>42529.83</v>
      </c>
      <c r="AT1000">
        <v>6750</v>
      </c>
      <c r="AU1000">
        <v>116.78</v>
      </c>
      <c r="AV1000">
        <v>9834750</v>
      </c>
      <c r="AW1000">
        <v>170148.46</v>
      </c>
    </row>
    <row r="1001" spans="1:49" hidden="1" x14ac:dyDescent="0.35">
      <c r="A1001">
        <v>5849710</v>
      </c>
      <c r="B1001">
        <v>5010005849701</v>
      </c>
      <c r="D1001">
        <v>20273179136</v>
      </c>
      <c r="E1001" t="s">
        <v>542</v>
      </c>
      <c r="F1001" t="s">
        <v>1</v>
      </c>
      <c r="G1001" t="s">
        <v>1516</v>
      </c>
      <c r="H1001" t="s">
        <v>539</v>
      </c>
      <c r="I1001">
        <v>6032</v>
      </c>
      <c r="J1001">
        <v>1</v>
      </c>
      <c r="K1001" t="s">
        <v>16</v>
      </c>
      <c r="L1001">
        <v>11014</v>
      </c>
      <c r="M1001" t="s">
        <v>232</v>
      </c>
      <c r="N1001">
        <v>1</v>
      </c>
      <c r="O1001" t="s">
        <v>119</v>
      </c>
      <c r="P1001" t="s">
        <v>1519</v>
      </c>
      <c r="Q1001">
        <v>194.63</v>
      </c>
      <c r="R1001">
        <v>11250</v>
      </c>
      <c r="S1001">
        <v>50</v>
      </c>
      <c r="T1001">
        <v>225</v>
      </c>
      <c r="U1001">
        <v>26</v>
      </c>
      <c r="V1001">
        <v>1457</v>
      </c>
      <c r="W1001" t="s">
        <v>121</v>
      </c>
      <c r="X1001" t="s">
        <v>1</v>
      </c>
      <c r="Y1001">
        <v>283575.90999999997</v>
      </c>
      <c r="Z1001">
        <v>16391250</v>
      </c>
      <c r="AA1001">
        <v>327825</v>
      </c>
      <c r="AB1001">
        <v>210</v>
      </c>
      <c r="AC1001" s="34">
        <v>46020</v>
      </c>
      <c r="AD1001" s="34">
        <v>46142</v>
      </c>
      <c r="AF1001">
        <v>1</v>
      </c>
      <c r="AG1001">
        <v>194.63</v>
      </c>
      <c r="AH1001">
        <v>0</v>
      </c>
      <c r="AI1001">
        <v>283575.90999999997</v>
      </c>
      <c r="AJ1001">
        <v>0</v>
      </c>
      <c r="AK1001">
        <v>0</v>
      </c>
      <c r="AL1001">
        <v>71174.45</v>
      </c>
      <c r="AM1001">
        <v>0</v>
      </c>
      <c r="AN1001">
        <v>354750.36</v>
      </c>
      <c r="AO1001" t="s">
        <v>122</v>
      </c>
      <c r="AP1001">
        <v>14.997999999999999</v>
      </c>
      <c r="AQ1001">
        <v>29.19</v>
      </c>
      <c r="AR1001">
        <v>42529.83</v>
      </c>
      <c r="AT1001">
        <v>6750</v>
      </c>
      <c r="AU1001">
        <v>116.78</v>
      </c>
      <c r="AV1001">
        <v>9834750</v>
      </c>
      <c r="AW1001">
        <v>170148.46</v>
      </c>
    </row>
    <row r="1002" spans="1:49" hidden="1" x14ac:dyDescent="0.35">
      <c r="A1002">
        <v>5849810</v>
      </c>
      <c r="B1002">
        <v>5010005849801</v>
      </c>
      <c r="D1002">
        <v>30708191007</v>
      </c>
      <c r="E1002" t="s">
        <v>537</v>
      </c>
      <c r="F1002" t="s">
        <v>1</v>
      </c>
      <c r="G1002" t="s">
        <v>1516</v>
      </c>
      <c r="H1002" t="s">
        <v>539</v>
      </c>
      <c r="I1002">
        <v>6032</v>
      </c>
      <c r="J1002">
        <v>1</v>
      </c>
      <c r="K1002" t="s">
        <v>16</v>
      </c>
      <c r="L1002">
        <v>11014</v>
      </c>
      <c r="M1002" t="s">
        <v>232</v>
      </c>
      <c r="N1002">
        <v>1</v>
      </c>
      <c r="O1002" t="s">
        <v>119</v>
      </c>
      <c r="P1002" t="s">
        <v>1520</v>
      </c>
      <c r="Q1002">
        <v>213.3</v>
      </c>
      <c r="R1002">
        <v>13500</v>
      </c>
      <c r="S1002">
        <v>15</v>
      </c>
      <c r="T1002">
        <v>900</v>
      </c>
      <c r="U1002">
        <v>26</v>
      </c>
      <c r="V1002">
        <v>1457</v>
      </c>
      <c r="W1002" t="s">
        <v>121</v>
      </c>
      <c r="X1002" t="s">
        <v>1</v>
      </c>
      <c r="Y1002">
        <v>310778.09999999998</v>
      </c>
      <c r="Z1002">
        <v>19669500</v>
      </c>
      <c r="AA1002">
        <v>1311300</v>
      </c>
      <c r="AB1002">
        <v>106</v>
      </c>
      <c r="AC1002" s="34">
        <v>46020</v>
      </c>
      <c r="AD1002" s="34">
        <v>46203</v>
      </c>
      <c r="AF1002">
        <v>1</v>
      </c>
      <c r="AG1002">
        <v>213.3</v>
      </c>
      <c r="AH1002">
        <v>0</v>
      </c>
      <c r="AI1002">
        <v>310778.09999999998</v>
      </c>
      <c r="AJ1002">
        <v>0</v>
      </c>
      <c r="AK1002">
        <v>0</v>
      </c>
      <c r="AL1002">
        <v>78007.78</v>
      </c>
      <c r="AM1002">
        <v>0</v>
      </c>
      <c r="AN1002">
        <v>388785.88</v>
      </c>
      <c r="AO1002" t="s">
        <v>122</v>
      </c>
      <c r="AP1002">
        <v>15.002000000000001</v>
      </c>
      <c r="AQ1002">
        <v>32</v>
      </c>
      <c r="AR1002">
        <v>46624</v>
      </c>
      <c r="AT1002">
        <v>8100</v>
      </c>
      <c r="AU1002">
        <v>127.98</v>
      </c>
      <c r="AV1002">
        <v>11801700</v>
      </c>
      <c r="AW1002">
        <v>186466.86</v>
      </c>
    </row>
    <row r="1003" spans="1:49" hidden="1" x14ac:dyDescent="0.35">
      <c r="A1003">
        <v>5849910</v>
      </c>
      <c r="B1003">
        <v>5010005849901</v>
      </c>
      <c r="D1003">
        <v>30708191007</v>
      </c>
      <c r="E1003" t="s">
        <v>537</v>
      </c>
      <c r="F1003" t="s">
        <v>1</v>
      </c>
      <c r="G1003" t="s">
        <v>1516</v>
      </c>
      <c r="H1003" t="s">
        <v>539</v>
      </c>
      <c r="I1003">
        <v>6032</v>
      </c>
      <c r="J1003">
        <v>1</v>
      </c>
      <c r="K1003" t="s">
        <v>16</v>
      </c>
      <c r="L1003">
        <v>11014</v>
      </c>
      <c r="M1003" t="s">
        <v>232</v>
      </c>
      <c r="N1003">
        <v>1</v>
      </c>
      <c r="O1003" t="s">
        <v>119</v>
      </c>
      <c r="P1003" t="s">
        <v>1521</v>
      </c>
      <c r="Q1003">
        <v>1630.53</v>
      </c>
      <c r="R1003">
        <v>94250</v>
      </c>
      <c r="S1003">
        <v>130</v>
      </c>
      <c r="T1003">
        <v>725</v>
      </c>
      <c r="U1003">
        <v>26</v>
      </c>
      <c r="V1003">
        <v>1457</v>
      </c>
      <c r="W1003" t="s">
        <v>121</v>
      </c>
      <c r="X1003" t="s">
        <v>1</v>
      </c>
      <c r="Y1003">
        <v>2375682.21</v>
      </c>
      <c r="Z1003">
        <v>137322250</v>
      </c>
      <c r="AA1003">
        <v>1056325</v>
      </c>
      <c r="AB1003">
        <v>106</v>
      </c>
      <c r="AC1003" s="34">
        <v>46020</v>
      </c>
      <c r="AD1003" s="34">
        <v>46173</v>
      </c>
      <c r="AF1003">
        <v>0</v>
      </c>
      <c r="AG1003">
        <v>2307.83</v>
      </c>
      <c r="AH1003">
        <v>0</v>
      </c>
      <c r="AI1003">
        <v>3362508.31</v>
      </c>
      <c r="AJ1003">
        <v>0</v>
      </c>
      <c r="AK1003">
        <v>0</v>
      </c>
      <c r="AL1003">
        <v>843981.82</v>
      </c>
      <c r="AM1003">
        <v>0</v>
      </c>
      <c r="AN1003">
        <v>4206490.13</v>
      </c>
      <c r="AO1003" t="s">
        <v>122</v>
      </c>
      <c r="AP1003">
        <v>15</v>
      </c>
      <c r="AQ1003">
        <v>346.17</v>
      </c>
      <c r="AR1003">
        <v>504369.69</v>
      </c>
      <c r="AT1003">
        <v>56550</v>
      </c>
      <c r="AU1003">
        <v>978.32</v>
      </c>
      <c r="AV1003">
        <v>82393350</v>
      </c>
      <c r="AW1003">
        <v>1425412.24</v>
      </c>
    </row>
    <row r="1004" spans="1:49" hidden="1" x14ac:dyDescent="0.35">
      <c r="A1004">
        <v>5849910</v>
      </c>
      <c r="B1004">
        <v>5010005849901</v>
      </c>
      <c r="D1004">
        <v>30708191007</v>
      </c>
      <c r="E1004" t="s">
        <v>537</v>
      </c>
      <c r="F1004" t="s">
        <v>1</v>
      </c>
      <c r="G1004" t="s">
        <v>1516</v>
      </c>
      <c r="H1004" t="s">
        <v>539</v>
      </c>
      <c r="I1004">
        <v>6032</v>
      </c>
      <c r="J1004">
        <v>1</v>
      </c>
      <c r="K1004" t="s">
        <v>16</v>
      </c>
      <c r="L1004">
        <v>11014</v>
      </c>
      <c r="M1004" t="s">
        <v>232</v>
      </c>
      <c r="N1004">
        <v>2</v>
      </c>
      <c r="O1004" t="s">
        <v>119</v>
      </c>
      <c r="P1004" t="s">
        <v>1522</v>
      </c>
      <c r="Q1004">
        <v>677.3</v>
      </c>
      <c r="R1004">
        <v>39150</v>
      </c>
      <c r="S1004">
        <v>108</v>
      </c>
      <c r="T1004">
        <v>362.5</v>
      </c>
      <c r="U1004">
        <v>26</v>
      </c>
      <c r="V1004">
        <v>1457</v>
      </c>
      <c r="W1004" t="s">
        <v>121</v>
      </c>
      <c r="X1004" t="s">
        <v>1</v>
      </c>
      <c r="Y1004">
        <v>986826.1</v>
      </c>
      <c r="Z1004">
        <v>57041550</v>
      </c>
      <c r="AA1004">
        <v>528162.5</v>
      </c>
      <c r="AB1004">
        <v>106</v>
      </c>
      <c r="AC1004" s="34">
        <v>46020</v>
      </c>
      <c r="AD1004" s="34">
        <v>46173</v>
      </c>
      <c r="AF1004">
        <v>1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 t="s">
        <v>122</v>
      </c>
      <c r="AT1004">
        <v>23490</v>
      </c>
      <c r="AU1004">
        <v>406.38</v>
      </c>
      <c r="AV1004">
        <v>34224930</v>
      </c>
      <c r="AW1004">
        <v>592095.66</v>
      </c>
    </row>
    <row r="1005" spans="1:49" hidden="1" x14ac:dyDescent="0.35">
      <c r="A1005">
        <v>5850010</v>
      </c>
      <c r="B1005">
        <v>5010005850001</v>
      </c>
      <c r="D1005">
        <v>20386632732</v>
      </c>
      <c r="E1005" t="s">
        <v>543</v>
      </c>
      <c r="F1005" t="s">
        <v>1</v>
      </c>
      <c r="G1005" t="s">
        <v>1516</v>
      </c>
      <c r="H1005" t="s">
        <v>539</v>
      </c>
      <c r="I1005">
        <v>6032</v>
      </c>
      <c r="J1005">
        <v>1</v>
      </c>
      <c r="K1005" t="s">
        <v>16</v>
      </c>
      <c r="L1005">
        <v>11014</v>
      </c>
      <c r="M1005" t="s">
        <v>232</v>
      </c>
      <c r="N1005">
        <v>1</v>
      </c>
      <c r="O1005" t="s">
        <v>119</v>
      </c>
      <c r="P1005" t="s">
        <v>1523</v>
      </c>
      <c r="Q1005">
        <v>338.65</v>
      </c>
      <c r="R1005">
        <v>19575</v>
      </c>
      <c r="S1005">
        <v>108</v>
      </c>
      <c r="T1005">
        <v>181.25</v>
      </c>
      <c r="U1005">
        <v>26</v>
      </c>
      <c r="V1005">
        <v>1457</v>
      </c>
      <c r="W1005" t="s">
        <v>121</v>
      </c>
      <c r="X1005" t="s">
        <v>1</v>
      </c>
      <c r="Y1005">
        <v>493413.05</v>
      </c>
      <c r="Z1005">
        <v>28520775</v>
      </c>
      <c r="AA1005">
        <v>264081.25</v>
      </c>
      <c r="AB1005">
        <v>106</v>
      </c>
      <c r="AC1005" s="34">
        <v>46020</v>
      </c>
      <c r="AD1005" s="34">
        <v>46173</v>
      </c>
      <c r="AF1005">
        <v>1</v>
      </c>
      <c r="AG1005">
        <v>338.65</v>
      </c>
      <c r="AH1005">
        <v>0</v>
      </c>
      <c r="AI1005">
        <v>493413.05</v>
      </c>
      <c r="AJ1005">
        <v>0</v>
      </c>
      <c r="AK1005">
        <v>0</v>
      </c>
      <c r="AL1005">
        <v>123845</v>
      </c>
      <c r="AM1005">
        <v>0</v>
      </c>
      <c r="AN1005">
        <v>617258.05000000005</v>
      </c>
      <c r="AO1005" t="s">
        <v>122</v>
      </c>
      <c r="AP1005">
        <v>15.000999999999999</v>
      </c>
      <c r="AQ1005">
        <v>50.8</v>
      </c>
      <c r="AR1005">
        <v>74015.600000000006</v>
      </c>
      <c r="AT1005">
        <v>11745</v>
      </c>
      <c r="AU1005">
        <v>203.19</v>
      </c>
      <c r="AV1005">
        <v>17112465</v>
      </c>
      <c r="AW1005">
        <v>296047.83</v>
      </c>
    </row>
    <row r="1006" spans="1:49" hidden="1" x14ac:dyDescent="0.35">
      <c r="A1006">
        <v>5850110</v>
      </c>
      <c r="B1006">
        <v>5010005850101</v>
      </c>
      <c r="D1006">
        <v>20273179136</v>
      </c>
      <c r="E1006" t="s">
        <v>542</v>
      </c>
      <c r="F1006" t="s">
        <v>1</v>
      </c>
      <c r="G1006" t="s">
        <v>1516</v>
      </c>
      <c r="H1006" t="s">
        <v>539</v>
      </c>
      <c r="I1006">
        <v>6032</v>
      </c>
      <c r="J1006">
        <v>1</v>
      </c>
      <c r="K1006" t="s">
        <v>16</v>
      </c>
      <c r="L1006">
        <v>11014</v>
      </c>
      <c r="M1006" t="s">
        <v>232</v>
      </c>
      <c r="N1006">
        <v>1</v>
      </c>
      <c r="O1006" t="s">
        <v>119</v>
      </c>
      <c r="P1006" t="s">
        <v>1523</v>
      </c>
      <c r="Q1006">
        <v>338.65</v>
      </c>
      <c r="R1006">
        <v>19575</v>
      </c>
      <c r="S1006">
        <v>108</v>
      </c>
      <c r="T1006">
        <v>181.25</v>
      </c>
      <c r="U1006">
        <v>26</v>
      </c>
      <c r="V1006">
        <v>1457</v>
      </c>
      <c r="W1006" t="s">
        <v>121</v>
      </c>
      <c r="X1006" t="s">
        <v>1</v>
      </c>
      <c r="Y1006">
        <v>493413.05</v>
      </c>
      <c r="Z1006">
        <v>28520775</v>
      </c>
      <c r="AA1006">
        <v>264081.25</v>
      </c>
      <c r="AB1006">
        <v>106</v>
      </c>
      <c r="AC1006" s="34">
        <v>46020</v>
      </c>
      <c r="AD1006" s="34">
        <v>46173</v>
      </c>
      <c r="AF1006">
        <v>1</v>
      </c>
      <c r="AG1006">
        <v>338.65</v>
      </c>
      <c r="AH1006">
        <v>0</v>
      </c>
      <c r="AI1006">
        <v>493413.05</v>
      </c>
      <c r="AJ1006">
        <v>0</v>
      </c>
      <c r="AK1006">
        <v>0</v>
      </c>
      <c r="AL1006">
        <v>123845</v>
      </c>
      <c r="AM1006">
        <v>0</v>
      </c>
      <c r="AN1006">
        <v>617258.05000000005</v>
      </c>
      <c r="AO1006" t="s">
        <v>122</v>
      </c>
      <c r="AP1006">
        <v>15.000999999999999</v>
      </c>
      <c r="AQ1006">
        <v>50.8</v>
      </c>
      <c r="AR1006">
        <v>74015.600000000006</v>
      </c>
      <c r="AT1006">
        <v>11745</v>
      </c>
      <c r="AU1006">
        <v>203.19</v>
      </c>
      <c r="AV1006">
        <v>17112465</v>
      </c>
      <c r="AW1006">
        <v>296047.83</v>
      </c>
    </row>
    <row r="1007" spans="1:49" hidden="1" x14ac:dyDescent="0.35">
      <c r="A1007">
        <v>5850210</v>
      </c>
      <c r="B1007">
        <v>5010005850201</v>
      </c>
      <c r="D1007">
        <v>30708191007</v>
      </c>
      <c r="E1007" t="s">
        <v>537</v>
      </c>
      <c r="F1007" t="s">
        <v>1</v>
      </c>
      <c r="G1007" t="s">
        <v>1516</v>
      </c>
      <c r="H1007" t="s">
        <v>539</v>
      </c>
      <c r="I1007">
        <v>6032</v>
      </c>
      <c r="J1007">
        <v>1</v>
      </c>
      <c r="K1007" t="s">
        <v>16</v>
      </c>
      <c r="L1007">
        <v>11014</v>
      </c>
      <c r="M1007" t="s">
        <v>232</v>
      </c>
      <c r="N1007">
        <v>1</v>
      </c>
      <c r="O1007" t="s">
        <v>119</v>
      </c>
      <c r="P1007" t="s">
        <v>1524</v>
      </c>
      <c r="Q1007">
        <v>761.2</v>
      </c>
      <c r="R1007">
        <v>44000</v>
      </c>
      <c r="S1007">
        <v>88</v>
      </c>
      <c r="T1007">
        <v>500</v>
      </c>
      <c r="U1007">
        <v>26</v>
      </c>
      <c r="V1007">
        <v>1457</v>
      </c>
      <c r="W1007" t="s">
        <v>121</v>
      </c>
      <c r="X1007" t="s">
        <v>1</v>
      </c>
      <c r="Y1007">
        <v>1109068.3999999999</v>
      </c>
      <c r="Z1007">
        <v>64108000</v>
      </c>
      <c r="AA1007">
        <v>728500</v>
      </c>
      <c r="AB1007">
        <v>106</v>
      </c>
      <c r="AC1007" s="34">
        <v>46020</v>
      </c>
      <c r="AD1007" s="34">
        <v>46188</v>
      </c>
      <c r="AF1007">
        <v>1</v>
      </c>
      <c r="AG1007">
        <v>990.43</v>
      </c>
      <c r="AH1007">
        <v>0</v>
      </c>
      <c r="AI1007">
        <v>1443056.51</v>
      </c>
      <c r="AJ1007">
        <v>0</v>
      </c>
      <c r="AK1007">
        <v>0</v>
      </c>
      <c r="AL1007">
        <v>362195.63</v>
      </c>
      <c r="AM1007">
        <v>0</v>
      </c>
      <c r="AN1007">
        <v>1805252.14</v>
      </c>
      <c r="AO1007" t="s">
        <v>122</v>
      </c>
      <c r="AP1007">
        <v>15</v>
      </c>
      <c r="AQ1007">
        <v>148.56</v>
      </c>
      <c r="AR1007">
        <v>216451.92</v>
      </c>
      <c r="AT1007">
        <v>26400</v>
      </c>
      <c r="AU1007">
        <v>456.72</v>
      </c>
      <c r="AV1007">
        <v>38464800</v>
      </c>
      <c r="AW1007">
        <v>665441.04</v>
      </c>
    </row>
    <row r="1008" spans="1:49" hidden="1" x14ac:dyDescent="0.35">
      <c r="A1008">
        <v>5850210</v>
      </c>
      <c r="B1008">
        <v>5010005850201</v>
      </c>
      <c r="D1008">
        <v>30708191007</v>
      </c>
      <c r="E1008" t="s">
        <v>537</v>
      </c>
      <c r="F1008" t="s">
        <v>1</v>
      </c>
      <c r="G1008" t="s">
        <v>1516</v>
      </c>
      <c r="H1008" t="s">
        <v>539</v>
      </c>
      <c r="I1008">
        <v>6032</v>
      </c>
      <c r="J1008">
        <v>1</v>
      </c>
      <c r="K1008" t="s">
        <v>16</v>
      </c>
      <c r="L1008">
        <v>11014</v>
      </c>
      <c r="M1008" t="s">
        <v>232</v>
      </c>
      <c r="N1008">
        <v>2</v>
      </c>
      <c r="O1008" t="s">
        <v>119</v>
      </c>
      <c r="P1008" t="s">
        <v>1525</v>
      </c>
      <c r="Q1008">
        <v>229.23</v>
      </c>
      <c r="R1008">
        <v>13250</v>
      </c>
      <c r="S1008">
        <v>53</v>
      </c>
      <c r="T1008">
        <v>250</v>
      </c>
      <c r="U1008">
        <v>26</v>
      </c>
      <c r="V1008">
        <v>1457</v>
      </c>
      <c r="W1008" t="s">
        <v>121</v>
      </c>
      <c r="X1008" t="s">
        <v>1</v>
      </c>
      <c r="Y1008">
        <v>333988.11</v>
      </c>
      <c r="Z1008">
        <v>19305250</v>
      </c>
      <c r="AA1008">
        <v>364250</v>
      </c>
      <c r="AB1008">
        <v>106</v>
      </c>
      <c r="AC1008" s="34">
        <v>46020</v>
      </c>
      <c r="AD1008" s="34">
        <v>46188</v>
      </c>
      <c r="AF1008">
        <v>1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 t="s">
        <v>122</v>
      </c>
      <c r="AT1008">
        <v>7950</v>
      </c>
      <c r="AU1008">
        <v>137.54</v>
      </c>
      <c r="AV1008">
        <v>11583150</v>
      </c>
      <c r="AW1008">
        <v>200395.78</v>
      </c>
    </row>
    <row r="1009" spans="1:49" hidden="1" x14ac:dyDescent="0.35">
      <c r="A1009">
        <v>5850310</v>
      </c>
      <c r="B1009">
        <v>5010005850301</v>
      </c>
      <c r="D1009">
        <v>20386632732</v>
      </c>
      <c r="E1009" t="s">
        <v>543</v>
      </c>
      <c r="F1009" t="s">
        <v>1</v>
      </c>
      <c r="G1009" t="s">
        <v>1516</v>
      </c>
      <c r="H1009" t="s">
        <v>539</v>
      </c>
      <c r="I1009">
        <v>6032</v>
      </c>
      <c r="J1009">
        <v>1</v>
      </c>
      <c r="K1009" t="s">
        <v>16</v>
      </c>
      <c r="L1009">
        <v>11014</v>
      </c>
      <c r="M1009" t="s">
        <v>232</v>
      </c>
      <c r="N1009">
        <v>1</v>
      </c>
      <c r="O1009" t="s">
        <v>119</v>
      </c>
      <c r="P1009" t="s">
        <v>1525</v>
      </c>
      <c r="Q1009">
        <v>114.61</v>
      </c>
      <c r="R1009">
        <v>6625</v>
      </c>
      <c r="S1009">
        <v>53</v>
      </c>
      <c r="T1009">
        <v>125</v>
      </c>
      <c r="U1009">
        <v>26</v>
      </c>
      <c r="V1009">
        <v>1457</v>
      </c>
      <c r="W1009" t="s">
        <v>121</v>
      </c>
      <c r="X1009" t="s">
        <v>1</v>
      </c>
      <c r="Y1009">
        <v>166986.76999999999</v>
      </c>
      <c r="Z1009">
        <v>9652625</v>
      </c>
      <c r="AA1009">
        <v>182125</v>
      </c>
      <c r="AB1009">
        <v>106</v>
      </c>
      <c r="AC1009" s="34">
        <v>46020</v>
      </c>
      <c r="AD1009" s="34">
        <v>46188</v>
      </c>
      <c r="AF1009">
        <v>1</v>
      </c>
      <c r="AG1009">
        <v>114.61</v>
      </c>
      <c r="AH1009">
        <v>0</v>
      </c>
      <c r="AI1009">
        <v>166986.76999999999</v>
      </c>
      <c r="AJ1009">
        <v>0</v>
      </c>
      <c r="AK1009">
        <v>0</v>
      </c>
      <c r="AL1009">
        <v>41917.89</v>
      </c>
      <c r="AM1009">
        <v>0</v>
      </c>
      <c r="AN1009">
        <v>208904.66</v>
      </c>
      <c r="AO1009" t="s">
        <v>122</v>
      </c>
      <c r="AP1009">
        <v>14.999000000000001</v>
      </c>
      <c r="AQ1009">
        <v>17.190000000000001</v>
      </c>
      <c r="AR1009">
        <v>25045.83</v>
      </c>
      <c r="AT1009">
        <v>3975</v>
      </c>
      <c r="AU1009">
        <v>68.77</v>
      </c>
      <c r="AV1009">
        <v>5791575</v>
      </c>
      <c r="AW1009">
        <v>100197.89</v>
      </c>
    </row>
    <row r="1010" spans="1:49" hidden="1" x14ac:dyDescent="0.35">
      <c r="A1010">
        <v>5850410</v>
      </c>
      <c r="B1010">
        <v>5010005850401</v>
      </c>
      <c r="D1010">
        <v>20273179136</v>
      </c>
      <c r="E1010" t="s">
        <v>542</v>
      </c>
      <c r="F1010" t="s">
        <v>1</v>
      </c>
      <c r="G1010" t="s">
        <v>1516</v>
      </c>
      <c r="H1010" t="s">
        <v>539</v>
      </c>
      <c r="I1010">
        <v>6032</v>
      </c>
      <c r="J1010">
        <v>1</v>
      </c>
      <c r="K1010" t="s">
        <v>16</v>
      </c>
      <c r="L1010">
        <v>11014</v>
      </c>
      <c r="M1010" t="s">
        <v>232</v>
      </c>
      <c r="N1010">
        <v>1</v>
      </c>
      <c r="O1010" t="s">
        <v>119</v>
      </c>
      <c r="P1010" t="s">
        <v>1526</v>
      </c>
      <c r="Q1010">
        <v>114.61</v>
      </c>
      <c r="R1010">
        <v>6625</v>
      </c>
      <c r="S1010">
        <v>53</v>
      </c>
      <c r="T1010">
        <v>125</v>
      </c>
      <c r="U1010">
        <v>26</v>
      </c>
      <c r="V1010">
        <v>1457</v>
      </c>
      <c r="W1010" t="s">
        <v>121</v>
      </c>
      <c r="X1010" t="s">
        <v>1</v>
      </c>
      <c r="Y1010">
        <v>166986.76999999999</v>
      </c>
      <c r="Z1010">
        <v>9652625</v>
      </c>
      <c r="AA1010">
        <v>182125</v>
      </c>
      <c r="AB1010">
        <v>106</v>
      </c>
      <c r="AC1010" s="34">
        <v>46020</v>
      </c>
      <c r="AD1010" s="34">
        <v>46188</v>
      </c>
      <c r="AF1010">
        <v>1</v>
      </c>
      <c r="AG1010">
        <v>114.61</v>
      </c>
      <c r="AH1010">
        <v>0</v>
      </c>
      <c r="AI1010">
        <v>166986.76999999999</v>
      </c>
      <c r="AJ1010">
        <v>0</v>
      </c>
      <c r="AK1010">
        <v>0</v>
      </c>
      <c r="AL1010">
        <v>41917.89</v>
      </c>
      <c r="AM1010">
        <v>0</v>
      </c>
      <c r="AN1010">
        <v>208904.66</v>
      </c>
      <c r="AO1010" t="s">
        <v>122</v>
      </c>
      <c r="AP1010">
        <v>14.999000000000001</v>
      </c>
      <c r="AQ1010">
        <v>17.190000000000001</v>
      </c>
      <c r="AR1010">
        <v>25045.83</v>
      </c>
      <c r="AT1010">
        <v>3975</v>
      </c>
      <c r="AU1010">
        <v>68.77</v>
      </c>
      <c r="AV1010">
        <v>5791575</v>
      </c>
      <c r="AW1010">
        <v>100197.89</v>
      </c>
    </row>
    <row r="1011" spans="1:49" hidden="1" x14ac:dyDescent="0.35">
      <c r="A1011">
        <v>5850510</v>
      </c>
      <c r="B1011">
        <v>1090005850501</v>
      </c>
      <c r="D1011">
        <v>20254637611</v>
      </c>
      <c r="E1011" t="s">
        <v>997</v>
      </c>
      <c r="F1011" t="s">
        <v>1</v>
      </c>
      <c r="G1011" t="s">
        <v>56</v>
      </c>
      <c r="H1011" t="s">
        <v>56</v>
      </c>
      <c r="I1011">
        <v>6381</v>
      </c>
      <c r="J1011">
        <v>21</v>
      </c>
      <c r="K1011" t="s">
        <v>33</v>
      </c>
      <c r="L1011">
        <v>82963</v>
      </c>
      <c r="M1011" t="s">
        <v>396</v>
      </c>
      <c r="N1011">
        <v>1</v>
      </c>
      <c r="O1011" t="s">
        <v>119</v>
      </c>
      <c r="P1011" t="s">
        <v>1527</v>
      </c>
      <c r="Q1011">
        <v>3799</v>
      </c>
      <c r="R1011">
        <v>131000</v>
      </c>
      <c r="S1011">
        <v>262</v>
      </c>
      <c r="T1011">
        <v>500</v>
      </c>
      <c r="U1011">
        <v>26</v>
      </c>
      <c r="V1011">
        <v>1457</v>
      </c>
      <c r="W1011" t="s">
        <v>121</v>
      </c>
      <c r="X1011" t="s">
        <v>1</v>
      </c>
      <c r="Y1011">
        <v>5535143</v>
      </c>
      <c r="Z1011">
        <v>190867000</v>
      </c>
      <c r="AA1011">
        <v>728500</v>
      </c>
      <c r="AB1011">
        <v>210</v>
      </c>
      <c r="AC1011" s="34">
        <v>46013</v>
      </c>
      <c r="AD1011" s="34">
        <v>46142</v>
      </c>
      <c r="AE1011" t="s">
        <v>161</v>
      </c>
      <c r="AF1011">
        <v>0</v>
      </c>
      <c r="AG1011">
        <v>6481.5</v>
      </c>
      <c r="AH1011">
        <v>0</v>
      </c>
      <c r="AI1011">
        <v>9443545.5</v>
      </c>
      <c r="AJ1011">
        <v>0</v>
      </c>
      <c r="AK1011">
        <v>0</v>
      </c>
      <c r="AL1011">
        <v>2370349.59</v>
      </c>
      <c r="AM1011">
        <v>0</v>
      </c>
      <c r="AN1011">
        <v>11813895.09</v>
      </c>
      <c r="AO1011" t="s">
        <v>122</v>
      </c>
      <c r="AP1011">
        <v>10</v>
      </c>
      <c r="AQ1011">
        <v>648.15</v>
      </c>
      <c r="AR1011">
        <v>944354.55</v>
      </c>
      <c r="AT1011">
        <v>78600</v>
      </c>
      <c r="AU1011">
        <v>2279.4</v>
      </c>
      <c r="AV1011">
        <v>114520200</v>
      </c>
      <c r="AW1011">
        <v>3321085.8</v>
      </c>
    </row>
    <row r="1012" spans="1:49" hidden="1" x14ac:dyDescent="0.35">
      <c r="A1012">
        <v>5850510</v>
      </c>
      <c r="B1012">
        <v>1090005850501</v>
      </c>
      <c r="D1012">
        <v>20254637611</v>
      </c>
      <c r="E1012" t="s">
        <v>997</v>
      </c>
      <c r="F1012" t="s">
        <v>1</v>
      </c>
      <c r="G1012" t="s">
        <v>56</v>
      </c>
      <c r="H1012" t="s">
        <v>56</v>
      </c>
      <c r="I1012">
        <v>6381</v>
      </c>
      <c r="J1012">
        <v>21</v>
      </c>
      <c r="K1012" t="s">
        <v>33</v>
      </c>
      <c r="L1012">
        <v>82963</v>
      </c>
      <c r="M1012" t="s">
        <v>396</v>
      </c>
      <c r="N1012">
        <v>2</v>
      </c>
      <c r="O1012" t="s">
        <v>119</v>
      </c>
      <c r="P1012" t="s">
        <v>1528</v>
      </c>
      <c r="Q1012">
        <v>2682.5</v>
      </c>
      <c r="R1012">
        <v>92500</v>
      </c>
      <c r="S1012">
        <v>185</v>
      </c>
      <c r="T1012">
        <v>500</v>
      </c>
      <c r="U1012">
        <v>26</v>
      </c>
      <c r="V1012">
        <v>1457</v>
      </c>
      <c r="W1012" t="s">
        <v>121</v>
      </c>
      <c r="X1012" t="s">
        <v>1</v>
      </c>
      <c r="Y1012">
        <v>3908402.5</v>
      </c>
      <c r="Z1012">
        <v>134772500</v>
      </c>
      <c r="AA1012">
        <v>728500</v>
      </c>
      <c r="AB1012">
        <v>210</v>
      </c>
      <c r="AC1012" s="34">
        <v>46013</v>
      </c>
      <c r="AD1012" s="34">
        <v>46142</v>
      </c>
      <c r="AE1012" t="s">
        <v>161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 t="s">
        <v>122</v>
      </c>
      <c r="AT1012">
        <v>55500</v>
      </c>
      <c r="AU1012">
        <v>1609.5</v>
      </c>
      <c r="AV1012">
        <v>80863500</v>
      </c>
      <c r="AW1012">
        <v>2345041.5</v>
      </c>
    </row>
    <row r="1013" spans="1:49" hidden="1" x14ac:dyDescent="0.35">
      <c r="A1013">
        <v>5850610</v>
      </c>
      <c r="B1013">
        <v>1090005850601</v>
      </c>
      <c r="D1013">
        <v>20254637611</v>
      </c>
      <c r="E1013" t="s">
        <v>997</v>
      </c>
      <c r="F1013" t="s">
        <v>1</v>
      </c>
      <c r="G1013" t="s">
        <v>56</v>
      </c>
      <c r="H1013" t="s">
        <v>56</v>
      </c>
      <c r="I1013">
        <v>6381</v>
      </c>
      <c r="J1013">
        <v>21</v>
      </c>
      <c r="K1013" t="s">
        <v>33</v>
      </c>
      <c r="L1013">
        <v>82963</v>
      </c>
      <c r="M1013" t="s">
        <v>396</v>
      </c>
      <c r="N1013">
        <v>1</v>
      </c>
      <c r="O1013" t="s">
        <v>119</v>
      </c>
      <c r="P1013" t="s">
        <v>1529</v>
      </c>
      <c r="Q1013">
        <v>5130</v>
      </c>
      <c r="R1013">
        <v>142500</v>
      </c>
      <c r="S1013">
        <v>285</v>
      </c>
      <c r="T1013">
        <v>500</v>
      </c>
      <c r="U1013">
        <v>26</v>
      </c>
      <c r="V1013">
        <v>1457</v>
      </c>
      <c r="W1013" t="s">
        <v>121</v>
      </c>
      <c r="X1013" t="s">
        <v>1</v>
      </c>
      <c r="Y1013">
        <v>7474410</v>
      </c>
      <c r="Z1013">
        <v>207622500</v>
      </c>
      <c r="AA1013">
        <v>728500</v>
      </c>
      <c r="AB1013">
        <v>106</v>
      </c>
      <c r="AC1013" s="34">
        <v>46013</v>
      </c>
      <c r="AD1013" s="34">
        <v>46173</v>
      </c>
      <c r="AE1013" t="s">
        <v>161</v>
      </c>
      <c r="AF1013">
        <v>0</v>
      </c>
      <c r="AG1013">
        <v>5130</v>
      </c>
      <c r="AH1013">
        <v>0</v>
      </c>
      <c r="AI1013">
        <v>7474410</v>
      </c>
      <c r="AJ1013">
        <v>0</v>
      </c>
      <c r="AK1013">
        <v>0</v>
      </c>
      <c r="AL1013">
        <v>1876076.91</v>
      </c>
      <c r="AM1013">
        <v>0</v>
      </c>
      <c r="AN1013">
        <v>9350486.9100000001</v>
      </c>
      <c r="AO1013" t="s">
        <v>122</v>
      </c>
      <c r="AP1013">
        <v>10</v>
      </c>
      <c r="AQ1013">
        <v>513</v>
      </c>
      <c r="AR1013">
        <v>747441</v>
      </c>
      <c r="AT1013">
        <v>85500</v>
      </c>
      <c r="AU1013">
        <v>3078</v>
      </c>
      <c r="AV1013">
        <v>124573500</v>
      </c>
      <c r="AW1013">
        <v>4484646</v>
      </c>
    </row>
    <row r="1014" spans="1:49" hidden="1" x14ac:dyDescent="0.35">
      <c r="A1014">
        <v>5850710</v>
      </c>
      <c r="B1014">
        <v>1250005850701</v>
      </c>
      <c r="D1014">
        <v>20126648066</v>
      </c>
      <c r="E1014" t="s">
        <v>519</v>
      </c>
      <c r="F1014" t="s">
        <v>1</v>
      </c>
      <c r="G1014" t="s">
        <v>520</v>
      </c>
      <c r="H1014" t="s">
        <v>69</v>
      </c>
      <c r="I1014">
        <v>5917</v>
      </c>
      <c r="J1014">
        <v>3</v>
      </c>
      <c r="K1014" t="s">
        <v>32</v>
      </c>
      <c r="L1014">
        <v>6435</v>
      </c>
      <c r="M1014" t="s">
        <v>175</v>
      </c>
      <c r="N1014">
        <v>1</v>
      </c>
      <c r="O1014" t="s">
        <v>119</v>
      </c>
      <c r="P1014" t="s">
        <v>1530</v>
      </c>
      <c r="Q1014">
        <v>5709528</v>
      </c>
      <c r="R1014">
        <v>105732000</v>
      </c>
      <c r="S1014">
        <v>178</v>
      </c>
      <c r="T1014">
        <v>594000</v>
      </c>
      <c r="U1014">
        <v>1</v>
      </c>
      <c r="V1014">
        <v>1</v>
      </c>
      <c r="W1014" t="s">
        <v>127</v>
      </c>
      <c r="X1014">
        <v>29700</v>
      </c>
      <c r="Y1014">
        <v>5709528</v>
      </c>
      <c r="Z1014">
        <v>105732000</v>
      </c>
      <c r="AA1014">
        <v>594000</v>
      </c>
      <c r="AB1014">
        <v>105</v>
      </c>
      <c r="AC1014" s="34">
        <v>45978</v>
      </c>
      <c r="AD1014" s="34">
        <v>46173</v>
      </c>
      <c r="AF1014">
        <v>0</v>
      </c>
      <c r="AG1014">
        <v>10456776</v>
      </c>
      <c r="AH1014">
        <v>0</v>
      </c>
      <c r="AI1014">
        <v>10456776</v>
      </c>
      <c r="AJ1014">
        <v>0</v>
      </c>
      <c r="AK1014">
        <v>0</v>
      </c>
      <c r="AL1014">
        <v>2729218.54</v>
      </c>
      <c r="AM1014">
        <v>0</v>
      </c>
      <c r="AN1014">
        <v>13185994.539999999</v>
      </c>
      <c r="AO1014" t="s">
        <v>122</v>
      </c>
      <c r="AP1014">
        <v>15</v>
      </c>
      <c r="AQ1014">
        <v>1568516.4</v>
      </c>
      <c r="AR1014">
        <v>1568516.4</v>
      </c>
      <c r="AT1014">
        <v>63439200</v>
      </c>
      <c r="AU1014">
        <v>3425716.8</v>
      </c>
      <c r="AV1014">
        <v>63439200</v>
      </c>
      <c r="AW1014">
        <v>3425716.8</v>
      </c>
    </row>
    <row r="1015" spans="1:49" hidden="1" x14ac:dyDescent="0.35">
      <c r="A1015">
        <v>5850710</v>
      </c>
      <c r="B1015">
        <v>1250005850701</v>
      </c>
      <c r="D1015">
        <v>20126648066</v>
      </c>
      <c r="E1015" t="s">
        <v>519</v>
      </c>
      <c r="F1015" t="s">
        <v>1</v>
      </c>
      <c r="G1015" t="s">
        <v>520</v>
      </c>
      <c r="H1015" t="s">
        <v>69</v>
      </c>
      <c r="I1015">
        <v>5917</v>
      </c>
      <c r="J1015">
        <v>3</v>
      </c>
      <c r="K1015" t="s">
        <v>32</v>
      </c>
      <c r="L1015">
        <v>6435</v>
      </c>
      <c r="M1015" t="s">
        <v>175</v>
      </c>
      <c r="N1015">
        <v>2</v>
      </c>
      <c r="O1015" t="s">
        <v>119</v>
      </c>
      <c r="P1015" t="s">
        <v>1531</v>
      </c>
      <c r="Q1015">
        <v>4747248</v>
      </c>
      <c r="R1015">
        <v>87912000</v>
      </c>
      <c r="S1015">
        <v>148</v>
      </c>
      <c r="T1015">
        <v>594000</v>
      </c>
      <c r="U1015">
        <v>1</v>
      </c>
      <c r="V1015">
        <v>1</v>
      </c>
      <c r="W1015" t="s">
        <v>127</v>
      </c>
      <c r="X1015">
        <v>29700</v>
      </c>
      <c r="Y1015">
        <v>4747248</v>
      </c>
      <c r="Z1015">
        <v>87912000</v>
      </c>
      <c r="AA1015">
        <v>594000</v>
      </c>
      <c r="AB1015">
        <v>105</v>
      </c>
      <c r="AC1015" s="34">
        <v>45978</v>
      </c>
      <c r="AD1015" s="34">
        <v>46173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 t="s">
        <v>122</v>
      </c>
      <c r="AT1015">
        <v>52747200</v>
      </c>
      <c r="AU1015">
        <v>2848348.8</v>
      </c>
      <c r="AV1015">
        <v>52747200</v>
      </c>
      <c r="AW1015">
        <v>2848348.8</v>
      </c>
    </row>
    <row r="1016" spans="1:49" hidden="1" x14ac:dyDescent="0.35">
      <c r="A1016">
        <v>5850810</v>
      </c>
      <c r="B1016">
        <v>1150005850801</v>
      </c>
      <c r="D1016">
        <v>20160709880</v>
      </c>
      <c r="E1016" t="s">
        <v>1532</v>
      </c>
      <c r="F1016" t="s">
        <v>1</v>
      </c>
      <c r="G1016" t="s">
        <v>70</v>
      </c>
      <c r="H1016" t="s">
        <v>70</v>
      </c>
      <c r="I1016">
        <v>5850</v>
      </c>
      <c r="J1016">
        <v>3</v>
      </c>
      <c r="K1016" t="s">
        <v>32</v>
      </c>
      <c r="L1016">
        <v>12212</v>
      </c>
      <c r="M1016" t="s">
        <v>1533</v>
      </c>
      <c r="N1016">
        <v>1</v>
      </c>
      <c r="O1016" t="s">
        <v>119</v>
      </c>
      <c r="P1016" t="s">
        <v>1534</v>
      </c>
      <c r="Q1016">
        <v>2366496</v>
      </c>
      <c r="R1016">
        <v>57024000</v>
      </c>
      <c r="S1016">
        <v>128</v>
      </c>
      <c r="T1016">
        <v>445500</v>
      </c>
      <c r="U1016">
        <v>1</v>
      </c>
      <c r="V1016">
        <v>1</v>
      </c>
      <c r="W1016" t="s">
        <v>127</v>
      </c>
      <c r="X1016">
        <v>29700</v>
      </c>
      <c r="Y1016">
        <v>2366496</v>
      </c>
      <c r="Z1016">
        <v>57024000</v>
      </c>
      <c r="AA1016">
        <v>445500</v>
      </c>
      <c r="AB1016">
        <v>105</v>
      </c>
      <c r="AC1016" s="34">
        <v>46005</v>
      </c>
      <c r="AD1016" s="34">
        <v>46173</v>
      </c>
      <c r="AF1016">
        <v>1</v>
      </c>
      <c r="AG1016">
        <v>2366496</v>
      </c>
      <c r="AH1016">
        <v>0</v>
      </c>
      <c r="AI1016">
        <v>2366496</v>
      </c>
      <c r="AJ1016">
        <v>0</v>
      </c>
      <c r="AK1016">
        <v>0</v>
      </c>
      <c r="AL1016">
        <v>617655.46</v>
      </c>
      <c r="AM1016">
        <v>0</v>
      </c>
      <c r="AN1016">
        <v>2984151.46</v>
      </c>
      <c r="AO1016" t="s">
        <v>122</v>
      </c>
      <c r="AP1016">
        <v>15</v>
      </c>
      <c r="AQ1016">
        <v>354974.4</v>
      </c>
      <c r="AR1016">
        <v>354974.4</v>
      </c>
      <c r="AT1016">
        <v>34214400</v>
      </c>
      <c r="AU1016">
        <v>1419897.6</v>
      </c>
      <c r="AV1016">
        <v>34214400</v>
      </c>
      <c r="AW1016">
        <v>1419897.6</v>
      </c>
    </row>
    <row r="1017" spans="1:49" hidden="1" x14ac:dyDescent="0.35">
      <c r="A1017">
        <v>5850910</v>
      </c>
      <c r="B1017">
        <v>1150005850901</v>
      </c>
      <c r="D1017">
        <v>20160709880</v>
      </c>
      <c r="E1017" t="s">
        <v>1532</v>
      </c>
      <c r="F1017" t="s">
        <v>1</v>
      </c>
      <c r="G1017" t="s">
        <v>70</v>
      </c>
      <c r="H1017" t="s">
        <v>70</v>
      </c>
      <c r="I1017">
        <v>5850</v>
      </c>
      <c r="J1017">
        <v>3</v>
      </c>
      <c r="K1017" t="s">
        <v>32</v>
      </c>
      <c r="L1017">
        <v>12212</v>
      </c>
      <c r="M1017" t="s">
        <v>1533</v>
      </c>
      <c r="N1017">
        <v>1</v>
      </c>
      <c r="O1017" t="s">
        <v>119</v>
      </c>
      <c r="P1017" t="s">
        <v>1535</v>
      </c>
      <c r="Q1017">
        <v>726.25</v>
      </c>
      <c r="R1017">
        <v>17500</v>
      </c>
      <c r="S1017">
        <v>25</v>
      </c>
      <c r="T1017">
        <v>700</v>
      </c>
      <c r="U1017">
        <v>26</v>
      </c>
      <c r="V1017">
        <v>1475</v>
      </c>
      <c r="W1017" t="s">
        <v>121</v>
      </c>
      <c r="X1017" t="s">
        <v>1</v>
      </c>
      <c r="Y1017">
        <v>1071218.75</v>
      </c>
      <c r="Z1017">
        <v>25812500</v>
      </c>
      <c r="AA1017">
        <v>1032500</v>
      </c>
      <c r="AB1017">
        <v>106</v>
      </c>
      <c r="AC1017" s="34">
        <v>46005</v>
      </c>
      <c r="AD1017" s="34">
        <v>46173</v>
      </c>
      <c r="AF1017">
        <v>0</v>
      </c>
      <c r="AG1017">
        <v>726.25</v>
      </c>
      <c r="AH1017">
        <v>0</v>
      </c>
      <c r="AI1017">
        <v>1071218.75</v>
      </c>
      <c r="AJ1017">
        <v>0</v>
      </c>
      <c r="AK1017">
        <v>0</v>
      </c>
      <c r="AL1017">
        <v>279586.25</v>
      </c>
      <c r="AM1017">
        <v>0</v>
      </c>
      <c r="AN1017">
        <v>1350805</v>
      </c>
      <c r="AO1017" t="s">
        <v>122</v>
      </c>
      <c r="AP1017">
        <v>15</v>
      </c>
      <c r="AQ1017">
        <v>108.94</v>
      </c>
      <c r="AR1017">
        <v>160686.5</v>
      </c>
      <c r="AT1017">
        <v>10500</v>
      </c>
      <c r="AU1017">
        <v>435.75</v>
      </c>
      <c r="AV1017">
        <v>15487500</v>
      </c>
      <c r="AW1017">
        <v>642731.25</v>
      </c>
    </row>
    <row r="1018" spans="1:49" hidden="1" x14ac:dyDescent="0.35">
      <c r="A1018">
        <v>5851010</v>
      </c>
      <c r="B1018">
        <v>1170005851001</v>
      </c>
      <c r="D1018">
        <v>20202637818</v>
      </c>
      <c r="E1018" t="s">
        <v>1536</v>
      </c>
      <c r="F1018" t="s">
        <v>1</v>
      </c>
      <c r="G1018" t="s">
        <v>504</v>
      </c>
      <c r="H1018" t="s">
        <v>297</v>
      </c>
      <c r="I1018">
        <v>2107</v>
      </c>
      <c r="J1018">
        <v>12</v>
      </c>
      <c r="K1018" t="s">
        <v>34</v>
      </c>
      <c r="L1018">
        <v>10987</v>
      </c>
      <c r="M1018" t="s">
        <v>298</v>
      </c>
      <c r="N1018">
        <v>1</v>
      </c>
      <c r="O1018" t="s">
        <v>119</v>
      </c>
      <c r="P1018" t="s">
        <v>1537</v>
      </c>
      <c r="Q1018">
        <v>539946</v>
      </c>
      <c r="R1018">
        <v>18562500</v>
      </c>
      <c r="S1018">
        <v>25</v>
      </c>
      <c r="T1018">
        <v>742500</v>
      </c>
      <c r="U1018">
        <v>1</v>
      </c>
      <c r="V1018">
        <v>1</v>
      </c>
      <c r="W1018" t="s">
        <v>127</v>
      </c>
      <c r="X1018">
        <v>29700</v>
      </c>
      <c r="Y1018">
        <v>539946</v>
      </c>
      <c r="Z1018">
        <v>18562500</v>
      </c>
      <c r="AA1018">
        <v>742500</v>
      </c>
      <c r="AB1018">
        <v>105</v>
      </c>
      <c r="AC1018" s="34">
        <v>46027</v>
      </c>
      <c r="AD1018" s="34">
        <v>46173</v>
      </c>
      <c r="AF1018">
        <v>0</v>
      </c>
      <c r="AG1018">
        <v>539946</v>
      </c>
      <c r="AH1018">
        <v>0</v>
      </c>
      <c r="AI1018">
        <v>539946</v>
      </c>
      <c r="AJ1018">
        <v>0</v>
      </c>
      <c r="AK1018">
        <v>0</v>
      </c>
      <c r="AL1018">
        <v>138226.18</v>
      </c>
      <c r="AM1018">
        <v>0</v>
      </c>
      <c r="AN1018">
        <v>678172.18</v>
      </c>
      <c r="AO1018" t="s">
        <v>122</v>
      </c>
      <c r="AP1018">
        <v>15</v>
      </c>
      <c r="AQ1018">
        <v>80991.899999999994</v>
      </c>
      <c r="AR1018">
        <v>80991.899999999994</v>
      </c>
      <c r="AT1018">
        <v>11137500</v>
      </c>
      <c r="AU1018">
        <v>323967.59999999998</v>
      </c>
      <c r="AV1018">
        <v>11137500</v>
      </c>
      <c r="AW1018">
        <v>323967.59999999998</v>
      </c>
    </row>
    <row r="1019" spans="1:49" hidden="1" x14ac:dyDescent="0.35">
      <c r="A1019">
        <v>5851110</v>
      </c>
      <c r="B1019">
        <v>1170005851101</v>
      </c>
      <c r="D1019">
        <v>20162456165</v>
      </c>
      <c r="E1019" t="s">
        <v>333</v>
      </c>
      <c r="F1019" t="s">
        <v>1</v>
      </c>
      <c r="G1019" t="s">
        <v>877</v>
      </c>
      <c r="H1019" t="s">
        <v>297</v>
      </c>
      <c r="I1019">
        <v>2126</v>
      </c>
      <c r="J1019">
        <v>12</v>
      </c>
      <c r="K1019" t="s">
        <v>34</v>
      </c>
      <c r="L1019">
        <v>10987</v>
      </c>
      <c r="M1019" t="s">
        <v>298</v>
      </c>
      <c r="N1019">
        <v>1</v>
      </c>
      <c r="O1019" t="s">
        <v>119</v>
      </c>
      <c r="P1019" t="s">
        <v>1538</v>
      </c>
      <c r="Q1019">
        <v>1554795</v>
      </c>
      <c r="R1019">
        <v>53460000</v>
      </c>
      <c r="S1019">
        <v>120</v>
      </c>
      <c r="T1019">
        <v>445500</v>
      </c>
      <c r="U1019">
        <v>1</v>
      </c>
      <c r="V1019">
        <v>1</v>
      </c>
      <c r="W1019" t="s">
        <v>127</v>
      </c>
      <c r="X1019">
        <v>29700</v>
      </c>
      <c r="Y1019">
        <v>1554795</v>
      </c>
      <c r="Z1019">
        <v>53460000</v>
      </c>
      <c r="AA1019">
        <v>445500</v>
      </c>
      <c r="AB1019">
        <v>105</v>
      </c>
      <c r="AC1019" s="34">
        <v>46027</v>
      </c>
      <c r="AD1019" s="34">
        <v>46173</v>
      </c>
      <c r="AF1019">
        <v>0</v>
      </c>
      <c r="AG1019">
        <v>1554795</v>
      </c>
      <c r="AH1019">
        <v>0</v>
      </c>
      <c r="AI1019">
        <v>1554795</v>
      </c>
      <c r="AJ1019">
        <v>0</v>
      </c>
      <c r="AK1019">
        <v>0</v>
      </c>
      <c r="AL1019">
        <v>398027.53</v>
      </c>
      <c r="AM1019">
        <v>0</v>
      </c>
      <c r="AN1019">
        <v>1952822.53</v>
      </c>
      <c r="AO1019" t="s">
        <v>122</v>
      </c>
      <c r="AP1019">
        <v>15</v>
      </c>
      <c r="AQ1019">
        <v>233219.25</v>
      </c>
      <c r="AR1019">
        <v>233219.25</v>
      </c>
      <c r="AT1019">
        <v>32076000</v>
      </c>
      <c r="AU1019">
        <v>932877</v>
      </c>
      <c r="AV1019">
        <v>32076000</v>
      </c>
      <c r="AW1019">
        <v>932877</v>
      </c>
    </row>
    <row r="1020" spans="1:49" hidden="1" x14ac:dyDescent="0.35">
      <c r="A1020">
        <v>5851210</v>
      </c>
      <c r="B1020">
        <v>1170005851201</v>
      </c>
      <c r="D1020">
        <v>20272782874</v>
      </c>
      <c r="E1020" t="s">
        <v>305</v>
      </c>
      <c r="F1020" t="s">
        <v>1</v>
      </c>
      <c r="G1020" t="s">
        <v>504</v>
      </c>
      <c r="H1020" t="s">
        <v>297</v>
      </c>
      <c r="I1020">
        <v>2107</v>
      </c>
      <c r="J1020">
        <v>12</v>
      </c>
      <c r="K1020" t="s">
        <v>34</v>
      </c>
      <c r="L1020">
        <v>10987</v>
      </c>
      <c r="M1020" t="s">
        <v>298</v>
      </c>
      <c r="N1020">
        <v>1</v>
      </c>
      <c r="O1020" t="s">
        <v>119</v>
      </c>
      <c r="P1020" t="s">
        <v>1538</v>
      </c>
      <c r="Q1020">
        <v>1554795</v>
      </c>
      <c r="R1020">
        <v>53460000</v>
      </c>
      <c r="S1020">
        <v>120</v>
      </c>
      <c r="T1020">
        <v>445500</v>
      </c>
      <c r="U1020">
        <v>1</v>
      </c>
      <c r="V1020">
        <v>1</v>
      </c>
      <c r="W1020" t="s">
        <v>127</v>
      </c>
      <c r="X1020">
        <v>29700</v>
      </c>
      <c r="Y1020">
        <v>1554795</v>
      </c>
      <c r="Z1020">
        <v>53460000</v>
      </c>
      <c r="AA1020">
        <v>445500</v>
      </c>
      <c r="AB1020">
        <v>105</v>
      </c>
      <c r="AC1020" s="34">
        <v>46027</v>
      </c>
      <c r="AD1020" s="34">
        <v>46173</v>
      </c>
      <c r="AF1020">
        <v>0</v>
      </c>
      <c r="AG1020">
        <v>1554795</v>
      </c>
      <c r="AH1020">
        <v>0</v>
      </c>
      <c r="AI1020">
        <v>1554795</v>
      </c>
      <c r="AJ1020">
        <v>0</v>
      </c>
      <c r="AK1020">
        <v>0</v>
      </c>
      <c r="AL1020">
        <v>398027.53</v>
      </c>
      <c r="AM1020">
        <v>0</v>
      </c>
      <c r="AN1020">
        <v>1952822.53</v>
      </c>
      <c r="AO1020" t="s">
        <v>122</v>
      </c>
      <c r="AP1020">
        <v>15</v>
      </c>
      <c r="AQ1020">
        <v>233219.25</v>
      </c>
      <c r="AR1020">
        <v>233219.25</v>
      </c>
      <c r="AT1020">
        <v>32076000</v>
      </c>
      <c r="AU1020">
        <v>932877</v>
      </c>
      <c r="AV1020">
        <v>32076000</v>
      </c>
      <c r="AW1020">
        <v>932877</v>
      </c>
    </row>
    <row r="1021" spans="1:49" hidden="1" x14ac:dyDescent="0.35">
      <c r="A1021">
        <v>5851310</v>
      </c>
      <c r="B1021">
        <v>1170005851301</v>
      </c>
      <c r="D1021">
        <v>20251803510</v>
      </c>
      <c r="E1021" t="s">
        <v>295</v>
      </c>
      <c r="F1021" t="s">
        <v>1</v>
      </c>
      <c r="G1021" t="s">
        <v>578</v>
      </c>
      <c r="H1021" t="s">
        <v>297</v>
      </c>
      <c r="I1021">
        <v>2107</v>
      </c>
      <c r="J1021">
        <v>12</v>
      </c>
      <c r="K1021" t="s">
        <v>34</v>
      </c>
      <c r="L1021">
        <v>10987</v>
      </c>
      <c r="M1021" t="s">
        <v>298</v>
      </c>
      <c r="N1021">
        <v>1</v>
      </c>
      <c r="O1021" t="s">
        <v>119</v>
      </c>
      <c r="P1021" t="s">
        <v>1539</v>
      </c>
      <c r="Q1021">
        <v>466587</v>
      </c>
      <c r="R1021">
        <v>16038000</v>
      </c>
      <c r="S1021">
        <v>18</v>
      </c>
      <c r="T1021">
        <v>891000</v>
      </c>
      <c r="U1021">
        <v>1</v>
      </c>
      <c r="V1021">
        <v>1</v>
      </c>
      <c r="W1021" t="s">
        <v>127</v>
      </c>
      <c r="X1021">
        <v>29700</v>
      </c>
      <c r="Y1021">
        <v>466587</v>
      </c>
      <c r="Z1021">
        <v>16038000</v>
      </c>
      <c r="AA1021">
        <v>891000</v>
      </c>
      <c r="AB1021">
        <v>105</v>
      </c>
      <c r="AC1021" s="34">
        <v>46029</v>
      </c>
      <c r="AD1021" s="34">
        <v>46173</v>
      </c>
      <c r="AF1021">
        <v>0</v>
      </c>
      <c r="AG1021">
        <v>466587</v>
      </c>
      <c r="AH1021">
        <v>0</v>
      </c>
      <c r="AI1021">
        <v>466587</v>
      </c>
      <c r="AJ1021">
        <v>0</v>
      </c>
      <c r="AK1021">
        <v>0</v>
      </c>
      <c r="AL1021">
        <v>119446.28</v>
      </c>
      <c r="AM1021">
        <v>0</v>
      </c>
      <c r="AN1021">
        <v>586033.28</v>
      </c>
      <c r="AO1021" t="s">
        <v>122</v>
      </c>
      <c r="AP1021">
        <v>15</v>
      </c>
      <c r="AQ1021">
        <v>69988.05</v>
      </c>
      <c r="AR1021">
        <v>69988.05</v>
      </c>
      <c r="AT1021">
        <v>9622800</v>
      </c>
      <c r="AU1021">
        <v>279952.2</v>
      </c>
      <c r="AV1021">
        <v>9622800</v>
      </c>
      <c r="AW1021">
        <v>279952.2</v>
      </c>
    </row>
    <row r="1022" spans="1:49" hidden="1" x14ac:dyDescent="0.35">
      <c r="A1022">
        <v>5851410</v>
      </c>
      <c r="B1022">
        <v>1090005851401</v>
      </c>
      <c r="D1022">
        <v>20121850835</v>
      </c>
      <c r="E1022" t="s">
        <v>976</v>
      </c>
      <c r="F1022" t="s">
        <v>1</v>
      </c>
      <c r="G1022" t="s">
        <v>19</v>
      </c>
      <c r="H1022" t="s">
        <v>19</v>
      </c>
      <c r="I1022">
        <v>6430</v>
      </c>
      <c r="J1022">
        <v>1</v>
      </c>
      <c r="K1022" t="s">
        <v>16</v>
      </c>
      <c r="L1022">
        <v>6127</v>
      </c>
      <c r="M1022" t="s">
        <v>118</v>
      </c>
      <c r="N1022">
        <v>1</v>
      </c>
      <c r="O1022" t="s">
        <v>119</v>
      </c>
      <c r="P1022" t="s">
        <v>1540</v>
      </c>
      <c r="Q1022">
        <v>4395.3</v>
      </c>
      <c r="R1022">
        <v>147000</v>
      </c>
      <c r="S1022">
        <v>294</v>
      </c>
      <c r="T1022">
        <v>500</v>
      </c>
      <c r="U1022">
        <v>26</v>
      </c>
      <c r="V1022">
        <v>1467.5</v>
      </c>
      <c r="W1022" t="s">
        <v>121</v>
      </c>
      <c r="X1022" t="s">
        <v>1</v>
      </c>
      <c r="Y1022">
        <v>6450102.75</v>
      </c>
      <c r="Z1022">
        <v>215722500</v>
      </c>
      <c r="AA1022">
        <v>733750</v>
      </c>
      <c r="AB1022">
        <v>106</v>
      </c>
      <c r="AC1022" s="34">
        <v>46026</v>
      </c>
      <c r="AD1022" s="34">
        <v>46203</v>
      </c>
      <c r="AF1022">
        <v>0</v>
      </c>
      <c r="AG1022">
        <v>6114.55</v>
      </c>
      <c r="AH1022">
        <v>0</v>
      </c>
      <c r="AI1022">
        <v>8973102.1300000008</v>
      </c>
      <c r="AJ1022">
        <v>0</v>
      </c>
      <c r="AK1022">
        <v>0</v>
      </c>
      <c r="AL1022">
        <v>2252260.2999999998</v>
      </c>
      <c r="AM1022">
        <v>0</v>
      </c>
      <c r="AN1022">
        <v>11225362.43</v>
      </c>
      <c r="AO1022" t="s">
        <v>122</v>
      </c>
      <c r="AP1022">
        <v>12</v>
      </c>
      <c r="AQ1022">
        <v>733.75</v>
      </c>
      <c r="AR1022">
        <v>1076778.1299999999</v>
      </c>
      <c r="AT1022">
        <v>88200</v>
      </c>
      <c r="AU1022">
        <v>2637.18</v>
      </c>
      <c r="AV1022">
        <v>129433500</v>
      </c>
      <c r="AW1022">
        <v>3870061.65</v>
      </c>
    </row>
    <row r="1023" spans="1:49" hidden="1" x14ac:dyDescent="0.35">
      <c r="A1023">
        <v>5851410</v>
      </c>
      <c r="B1023">
        <v>1090005851401</v>
      </c>
      <c r="D1023">
        <v>20121850835</v>
      </c>
      <c r="E1023" t="s">
        <v>976</v>
      </c>
      <c r="F1023" t="s">
        <v>1</v>
      </c>
      <c r="G1023" t="s">
        <v>19</v>
      </c>
      <c r="H1023" t="s">
        <v>19</v>
      </c>
      <c r="I1023">
        <v>6430</v>
      </c>
      <c r="J1023">
        <v>1</v>
      </c>
      <c r="K1023" t="s">
        <v>16</v>
      </c>
      <c r="L1023">
        <v>6127</v>
      </c>
      <c r="M1023" t="s">
        <v>118</v>
      </c>
      <c r="N1023">
        <v>2</v>
      </c>
      <c r="O1023" t="s">
        <v>119</v>
      </c>
      <c r="P1023" t="s">
        <v>1541</v>
      </c>
      <c r="Q1023">
        <v>1719.25</v>
      </c>
      <c r="R1023">
        <v>57500</v>
      </c>
      <c r="S1023">
        <v>115</v>
      </c>
      <c r="T1023">
        <v>500</v>
      </c>
      <c r="U1023">
        <v>26</v>
      </c>
      <c r="V1023">
        <v>1467.5</v>
      </c>
      <c r="W1023" t="s">
        <v>121</v>
      </c>
      <c r="X1023" t="s">
        <v>1</v>
      </c>
      <c r="Y1023">
        <v>2522999.38</v>
      </c>
      <c r="Z1023">
        <v>84381250</v>
      </c>
      <c r="AA1023">
        <v>733750</v>
      </c>
      <c r="AB1023">
        <v>106</v>
      </c>
      <c r="AC1023" s="34">
        <v>46026</v>
      </c>
      <c r="AD1023" s="34">
        <v>46203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 t="s">
        <v>122</v>
      </c>
      <c r="AT1023">
        <v>34500</v>
      </c>
      <c r="AU1023">
        <v>1031.55</v>
      </c>
      <c r="AV1023">
        <v>50628750</v>
      </c>
      <c r="AW1023">
        <v>1513799.63</v>
      </c>
    </row>
    <row r="1024" spans="1:49" hidden="1" x14ac:dyDescent="0.35">
      <c r="A1024">
        <v>5851510</v>
      </c>
      <c r="B1024">
        <v>1090005851501</v>
      </c>
      <c r="D1024">
        <v>20121850835</v>
      </c>
      <c r="E1024" t="s">
        <v>976</v>
      </c>
      <c r="F1024" t="s">
        <v>1</v>
      </c>
      <c r="G1024" t="s">
        <v>1542</v>
      </c>
      <c r="H1024" t="s">
        <v>53</v>
      </c>
      <c r="I1024">
        <v>6307</v>
      </c>
      <c r="J1024">
        <v>21</v>
      </c>
      <c r="K1024" t="s">
        <v>33</v>
      </c>
      <c r="L1024">
        <v>6127</v>
      </c>
      <c r="M1024" t="s">
        <v>118</v>
      </c>
      <c r="N1024">
        <v>1</v>
      </c>
      <c r="O1024" t="s">
        <v>119</v>
      </c>
      <c r="P1024" t="s">
        <v>1543</v>
      </c>
      <c r="Q1024">
        <v>1862</v>
      </c>
      <c r="R1024">
        <v>70000</v>
      </c>
      <c r="S1024">
        <v>140</v>
      </c>
      <c r="T1024">
        <v>500</v>
      </c>
      <c r="U1024">
        <v>26</v>
      </c>
      <c r="V1024">
        <v>1467.5</v>
      </c>
      <c r="W1024" t="s">
        <v>121</v>
      </c>
      <c r="X1024" t="s">
        <v>1</v>
      </c>
      <c r="Y1024">
        <v>2732485</v>
      </c>
      <c r="Z1024">
        <v>102725000</v>
      </c>
      <c r="AA1024">
        <v>733750</v>
      </c>
      <c r="AB1024">
        <v>106</v>
      </c>
      <c r="AC1024" s="34">
        <v>46026</v>
      </c>
      <c r="AD1024" s="34">
        <v>46203</v>
      </c>
      <c r="AF1024">
        <v>0</v>
      </c>
      <c r="AG1024">
        <v>1862</v>
      </c>
      <c r="AH1024">
        <v>0</v>
      </c>
      <c r="AI1024">
        <v>2732485</v>
      </c>
      <c r="AJ1024">
        <v>0</v>
      </c>
      <c r="AK1024">
        <v>0</v>
      </c>
      <c r="AL1024">
        <v>685850.8</v>
      </c>
      <c r="AM1024">
        <v>0</v>
      </c>
      <c r="AN1024">
        <v>3418335.8</v>
      </c>
      <c r="AO1024" t="s">
        <v>122</v>
      </c>
      <c r="AP1024">
        <v>12</v>
      </c>
      <c r="AQ1024">
        <v>223.44</v>
      </c>
      <c r="AR1024">
        <v>327898.2</v>
      </c>
      <c r="AT1024">
        <v>42000</v>
      </c>
      <c r="AU1024">
        <v>1117.2</v>
      </c>
      <c r="AV1024">
        <v>61635000</v>
      </c>
      <c r="AW1024">
        <v>1639491</v>
      </c>
    </row>
    <row r="1025" spans="1:49" hidden="1" x14ac:dyDescent="0.35">
      <c r="A1025">
        <v>5851610</v>
      </c>
      <c r="B1025">
        <v>1090005851601</v>
      </c>
      <c r="D1025">
        <v>33715979549</v>
      </c>
      <c r="E1025" t="s">
        <v>1544</v>
      </c>
      <c r="F1025" t="s">
        <v>1</v>
      </c>
      <c r="G1025" t="s">
        <v>57</v>
      </c>
      <c r="H1025" t="s">
        <v>57</v>
      </c>
      <c r="I1025">
        <v>8200</v>
      </c>
      <c r="J1025">
        <v>21</v>
      </c>
      <c r="K1025" t="s">
        <v>33</v>
      </c>
      <c r="L1025">
        <v>6127</v>
      </c>
      <c r="M1025" t="s">
        <v>118</v>
      </c>
      <c r="N1025">
        <v>1</v>
      </c>
      <c r="O1025" t="s">
        <v>119</v>
      </c>
      <c r="P1025" t="s">
        <v>1545</v>
      </c>
      <c r="Q1025">
        <v>8973.5</v>
      </c>
      <c r="R1025">
        <v>327500</v>
      </c>
      <c r="S1025">
        <v>655</v>
      </c>
      <c r="T1025">
        <v>500</v>
      </c>
      <c r="U1025">
        <v>26</v>
      </c>
      <c r="V1025">
        <v>1467.5</v>
      </c>
      <c r="W1025" t="s">
        <v>121</v>
      </c>
      <c r="X1025" t="s">
        <v>1</v>
      </c>
      <c r="Y1025">
        <v>13168611.25</v>
      </c>
      <c r="Z1025">
        <v>480606250</v>
      </c>
      <c r="AA1025">
        <v>733750</v>
      </c>
      <c r="AB1025">
        <v>106</v>
      </c>
      <c r="AC1025" s="34">
        <v>46027</v>
      </c>
      <c r="AD1025" s="34">
        <v>46188</v>
      </c>
      <c r="AF1025">
        <v>0</v>
      </c>
      <c r="AG1025">
        <v>13754.8</v>
      </c>
      <c r="AH1025">
        <v>0</v>
      </c>
      <c r="AI1025">
        <v>20185169</v>
      </c>
      <c r="AJ1025">
        <v>0</v>
      </c>
      <c r="AK1025">
        <v>0</v>
      </c>
      <c r="AL1025">
        <v>5066470.38</v>
      </c>
      <c r="AM1025">
        <v>0</v>
      </c>
      <c r="AN1025">
        <v>25251639.379999999</v>
      </c>
      <c r="AO1025" t="s">
        <v>122</v>
      </c>
      <c r="AP1025">
        <v>12</v>
      </c>
      <c r="AQ1025">
        <v>1650.58</v>
      </c>
      <c r="AR1025">
        <v>2422226.15</v>
      </c>
      <c r="AT1025">
        <v>196500</v>
      </c>
      <c r="AU1025">
        <v>5384.1</v>
      </c>
      <c r="AV1025">
        <v>288363750</v>
      </c>
      <c r="AW1025">
        <v>7901166.75</v>
      </c>
    </row>
    <row r="1026" spans="1:49" hidden="1" x14ac:dyDescent="0.35">
      <c r="A1026">
        <v>5851610</v>
      </c>
      <c r="B1026">
        <v>1090005851601</v>
      </c>
      <c r="D1026">
        <v>33715979549</v>
      </c>
      <c r="E1026" t="s">
        <v>1544</v>
      </c>
      <c r="F1026" t="s">
        <v>1</v>
      </c>
      <c r="G1026" t="s">
        <v>57</v>
      </c>
      <c r="H1026" t="s">
        <v>57</v>
      </c>
      <c r="I1026">
        <v>8200</v>
      </c>
      <c r="J1026">
        <v>21</v>
      </c>
      <c r="K1026" t="s">
        <v>33</v>
      </c>
      <c r="L1026">
        <v>6127</v>
      </c>
      <c r="M1026" t="s">
        <v>118</v>
      </c>
      <c r="N1026">
        <v>2</v>
      </c>
      <c r="O1026" t="s">
        <v>119</v>
      </c>
      <c r="P1026" t="s">
        <v>1546</v>
      </c>
      <c r="Q1026">
        <v>3767.5</v>
      </c>
      <c r="R1026">
        <v>137500</v>
      </c>
      <c r="S1026">
        <v>275</v>
      </c>
      <c r="T1026">
        <v>500</v>
      </c>
      <c r="U1026">
        <v>26</v>
      </c>
      <c r="V1026">
        <v>1467.5</v>
      </c>
      <c r="W1026" t="s">
        <v>121</v>
      </c>
      <c r="X1026" t="s">
        <v>1</v>
      </c>
      <c r="Y1026">
        <v>5528806.25</v>
      </c>
      <c r="Z1026">
        <v>201781250</v>
      </c>
      <c r="AA1026">
        <v>733750</v>
      </c>
      <c r="AB1026">
        <v>106</v>
      </c>
      <c r="AC1026" s="34">
        <v>46027</v>
      </c>
      <c r="AD1026" s="34">
        <v>46188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 t="s">
        <v>122</v>
      </c>
      <c r="AT1026">
        <v>82500</v>
      </c>
      <c r="AU1026">
        <v>2260.5</v>
      </c>
      <c r="AV1026">
        <v>121068750</v>
      </c>
      <c r="AW1026">
        <v>3317283.75</v>
      </c>
    </row>
    <row r="1027" spans="1:49" hidden="1" x14ac:dyDescent="0.35">
      <c r="A1027">
        <v>5851610</v>
      </c>
      <c r="B1027">
        <v>1090005851601</v>
      </c>
      <c r="D1027">
        <v>33715979549</v>
      </c>
      <c r="E1027" t="s">
        <v>1544</v>
      </c>
      <c r="F1027" t="s">
        <v>1</v>
      </c>
      <c r="G1027" t="s">
        <v>57</v>
      </c>
      <c r="H1027" t="s">
        <v>57</v>
      </c>
      <c r="I1027">
        <v>8200</v>
      </c>
      <c r="J1027">
        <v>21</v>
      </c>
      <c r="K1027" t="s">
        <v>33</v>
      </c>
      <c r="L1027">
        <v>6127</v>
      </c>
      <c r="M1027" t="s">
        <v>118</v>
      </c>
      <c r="N1027">
        <v>3</v>
      </c>
      <c r="O1027" t="s">
        <v>119</v>
      </c>
      <c r="P1027" t="s">
        <v>1547</v>
      </c>
      <c r="Q1027">
        <v>1013.8</v>
      </c>
      <c r="R1027">
        <v>37000</v>
      </c>
      <c r="S1027">
        <v>74</v>
      </c>
      <c r="T1027">
        <v>500</v>
      </c>
      <c r="U1027">
        <v>26</v>
      </c>
      <c r="V1027">
        <v>1467.5</v>
      </c>
      <c r="W1027" t="s">
        <v>121</v>
      </c>
      <c r="X1027" t="s">
        <v>1</v>
      </c>
      <c r="Y1027">
        <v>1487751.5</v>
      </c>
      <c r="Z1027">
        <v>54297500</v>
      </c>
      <c r="AA1027">
        <v>733750</v>
      </c>
      <c r="AB1027">
        <v>106</v>
      </c>
      <c r="AC1027" s="34">
        <v>46027</v>
      </c>
      <c r="AD1027" s="34">
        <v>46188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 t="s">
        <v>122</v>
      </c>
      <c r="AT1027">
        <v>22200</v>
      </c>
      <c r="AU1027">
        <v>608.28</v>
      </c>
      <c r="AV1027">
        <v>32578500</v>
      </c>
      <c r="AW1027">
        <v>892650.9</v>
      </c>
    </row>
    <row r="1028" spans="1:49" hidden="1" x14ac:dyDescent="0.35">
      <c r="A1028">
        <v>5851710</v>
      </c>
      <c r="B1028">
        <v>1090005851701</v>
      </c>
      <c r="D1028">
        <v>33715979549</v>
      </c>
      <c r="E1028" t="s">
        <v>1544</v>
      </c>
      <c r="F1028" t="s">
        <v>1</v>
      </c>
      <c r="G1028" t="s">
        <v>57</v>
      </c>
      <c r="H1028" t="s">
        <v>57</v>
      </c>
      <c r="I1028">
        <v>8200</v>
      </c>
      <c r="J1028">
        <v>21</v>
      </c>
      <c r="K1028" t="s">
        <v>33</v>
      </c>
      <c r="L1028">
        <v>6127</v>
      </c>
      <c r="M1028" t="s">
        <v>118</v>
      </c>
      <c r="N1028">
        <v>1</v>
      </c>
      <c r="O1028" t="s">
        <v>119</v>
      </c>
      <c r="P1028" t="s">
        <v>1548</v>
      </c>
      <c r="Q1028">
        <v>6144.6</v>
      </c>
      <c r="R1028">
        <v>231000</v>
      </c>
      <c r="S1028">
        <v>462</v>
      </c>
      <c r="T1028">
        <v>500</v>
      </c>
      <c r="U1028">
        <v>26</v>
      </c>
      <c r="V1028">
        <v>1467.5</v>
      </c>
      <c r="W1028" t="s">
        <v>121</v>
      </c>
      <c r="X1028" t="s">
        <v>1</v>
      </c>
      <c r="Y1028">
        <v>9017200.5</v>
      </c>
      <c r="Z1028">
        <v>338992500</v>
      </c>
      <c r="AA1028">
        <v>733750</v>
      </c>
      <c r="AB1028">
        <v>106</v>
      </c>
      <c r="AC1028" s="34">
        <v>46027</v>
      </c>
      <c r="AD1028" s="34">
        <v>46203</v>
      </c>
      <c r="AF1028">
        <v>0</v>
      </c>
      <c r="AG1028">
        <v>9602.6</v>
      </c>
      <c r="AH1028">
        <v>0</v>
      </c>
      <c r="AI1028">
        <v>14091815.5</v>
      </c>
      <c r="AJ1028">
        <v>0</v>
      </c>
      <c r="AK1028">
        <v>0</v>
      </c>
      <c r="AL1028">
        <v>3537056.55</v>
      </c>
      <c r="AM1028">
        <v>0</v>
      </c>
      <c r="AN1028">
        <v>17628872.050000001</v>
      </c>
      <c r="AO1028" t="s">
        <v>122</v>
      </c>
      <c r="AP1028">
        <v>12</v>
      </c>
      <c r="AQ1028">
        <v>1152.31</v>
      </c>
      <c r="AR1028">
        <v>1691014.93</v>
      </c>
      <c r="AT1028">
        <v>138600</v>
      </c>
      <c r="AU1028">
        <v>3686.76</v>
      </c>
      <c r="AV1028">
        <v>203395500</v>
      </c>
      <c r="AW1028">
        <v>5410320.2999999998</v>
      </c>
    </row>
    <row r="1029" spans="1:49" hidden="1" x14ac:dyDescent="0.35">
      <c r="A1029">
        <v>5851710</v>
      </c>
      <c r="B1029">
        <v>1090005851701</v>
      </c>
      <c r="D1029">
        <v>33715979549</v>
      </c>
      <c r="E1029" t="s">
        <v>1544</v>
      </c>
      <c r="F1029" t="s">
        <v>1</v>
      </c>
      <c r="G1029" t="s">
        <v>57</v>
      </c>
      <c r="H1029" t="s">
        <v>57</v>
      </c>
      <c r="I1029">
        <v>8200</v>
      </c>
      <c r="J1029">
        <v>21</v>
      </c>
      <c r="K1029" t="s">
        <v>33</v>
      </c>
      <c r="L1029">
        <v>6127</v>
      </c>
      <c r="M1029" t="s">
        <v>118</v>
      </c>
      <c r="N1029">
        <v>2</v>
      </c>
      <c r="O1029" t="s">
        <v>119</v>
      </c>
      <c r="P1029" t="s">
        <v>1549</v>
      </c>
      <c r="Q1029">
        <v>1995</v>
      </c>
      <c r="R1029">
        <v>75000</v>
      </c>
      <c r="S1029">
        <v>150</v>
      </c>
      <c r="T1029">
        <v>500</v>
      </c>
      <c r="U1029">
        <v>26</v>
      </c>
      <c r="V1029">
        <v>1467.5</v>
      </c>
      <c r="W1029" t="s">
        <v>121</v>
      </c>
      <c r="X1029" t="s">
        <v>1</v>
      </c>
      <c r="Y1029">
        <v>2927662.5</v>
      </c>
      <c r="Z1029">
        <v>110062500</v>
      </c>
      <c r="AA1029">
        <v>733750</v>
      </c>
      <c r="AB1029">
        <v>106</v>
      </c>
      <c r="AC1029" s="34">
        <v>46027</v>
      </c>
      <c r="AD1029" s="34">
        <v>46203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 t="s">
        <v>122</v>
      </c>
      <c r="AT1029">
        <v>45000</v>
      </c>
      <c r="AU1029">
        <v>1197</v>
      </c>
      <c r="AV1029">
        <v>66037500</v>
      </c>
      <c r="AW1029">
        <v>1756597.5</v>
      </c>
    </row>
    <row r="1030" spans="1:49" hidden="1" x14ac:dyDescent="0.35">
      <c r="A1030">
        <v>5851710</v>
      </c>
      <c r="B1030">
        <v>1090005851701</v>
      </c>
      <c r="D1030">
        <v>33715979549</v>
      </c>
      <c r="E1030" t="s">
        <v>1544</v>
      </c>
      <c r="F1030" t="s">
        <v>1</v>
      </c>
      <c r="G1030" t="s">
        <v>57</v>
      </c>
      <c r="H1030" t="s">
        <v>57</v>
      </c>
      <c r="I1030">
        <v>8200</v>
      </c>
      <c r="J1030">
        <v>21</v>
      </c>
      <c r="K1030" t="s">
        <v>33</v>
      </c>
      <c r="L1030">
        <v>6127</v>
      </c>
      <c r="M1030" t="s">
        <v>118</v>
      </c>
      <c r="N1030">
        <v>3</v>
      </c>
      <c r="O1030" t="s">
        <v>119</v>
      </c>
      <c r="P1030" t="s">
        <v>1550</v>
      </c>
      <c r="Q1030">
        <v>1463</v>
      </c>
      <c r="R1030">
        <v>55000</v>
      </c>
      <c r="S1030">
        <v>110</v>
      </c>
      <c r="T1030">
        <v>500</v>
      </c>
      <c r="U1030">
        <v>26</v>
      </c>
      <c r="V1030">
        <v>1467.5</v>
      </c>
      <c r="W1030" t="s">
        <v>121</v>
      </c>
      <c r="X1030" t="s">
        <v>1</v>
      </c>
      <c r="Y1030">
        <v>2146952.5</v>
      </c>
      <c r="Z1030">
        <v>80712500</v>
      </c>
      <c r="AA1030">
        <v>733750</v>
      </c>
      <c r="AB1030">
        <v>106</v>
      </c>
      <c r="AC1030" s="34">
        <v>46027</v>
      </c>
      <c r="AD1030" s="34">
        <v>46203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 t="s">
        <v>122</v>
      </c>
      <c r="AT1030">
        <v>33000</v>
      </c>
      <c r="AU1030">
        <v>877.8</v>
      </c>
      <c r="AV1030">
        <v>48427500</v>
      </c>
      <c r="AW1030">
        <v>1288171.5</v>
      </c>
    </row>
    <row r="1031" spans="1:49" hidden="1" x14ac:dyDescent="0.35">
      <c r="A1031">
        <v>5851810</v>
      </c>
      <c r="B1031">
        <v>1150005851801</v>
      </c>
      <c r="D1031">
        <v>30716951193</v>
      </c>
      <c r="E1031" t="s">
        <v>265</v>
      </c>
      <c r="F1031" t="s">
        <v>1</v>
      </c>
      <c r="G1031" t="s">
        <v>266</v>
      </c>
      <c r="H1031" t="s">
        <v>266</v>
      </c>
      <c r="I1031">
        <v>5127</v>
      </c>
      <c r="J1031">
        <v>3</v>
      </c>
      <c r="K1031" t="s">
        <v>32</v>
      </c>
      <c r="L1031">
        <v>88026</v>
      </c>
      <c r="M1031" t="s">
        <v>267</v>
      </c>
      <c r="N1031">
        <v>1</v>
      </c>
      <c r="O1031" t="s">
        <v>119</v>
      </c>
      <c r="P1031" t="s">
        <v>1551</v>
      </c>
      <c r="Q1031">
        <v>3305610</v>
      </c>
      <c r="R1031">
        <v>89100000</v>
      </c>
      <c r="S1031">
        <v>150</v>
      </c>
      <c r="T1031">
        <v>594000</v>
      </c>
      <c r="U1031">
        <v>1</v>
      </c>
      <c r="V1031">
        <v>1</v>
      </c>
      <c r="W1031" t="s">
        <v>127</v>
      </c>
      <c r="X1031">
        <v>29700</v>
      </c>
      <c r="Y1031">
        <v>3305610</v>
      </c>
      <c r="Z1031">
        <v>89100000</v>
      </c>
      <c r="AA1031">
        <v>594000</v>
      </c>
      <c r="AB1031">
        <v>105</v>
      </c>
      <c r="AC1031" s="34">
        <v>45993</v>
      </c>
      <c r="AD1031" s="34">
        <v>46188</v>
      </c>
      <c r="AE1031" t="s">
        <v>161</v>
      </c>
      <c r="AF1031">
        <v>1</v>
      </c>
      <c r="AG1031">
        <v>3305610</v>
      </c>
      <c r="AH1031">
        <v>0</v>
      </c>
      <c r="AI1031">
        <v>3305610</v>
      </c>
      <c r="AJ1031">
        <v>0</v>
      </c>
      <c r="AK1031">
        <v>0</v>
      </c>
      <c r="AL1031">
        <v>763595.91</v>
      </c>
      <c r="AM1031">
        <v>0</v>
      </c>
      <c r="AN1031">
        <v>4069205.91</v>
      </c>
      <c r="AO1031" t="s">
        <v>122</v>
      </c>
      <c r="AP1031">
        <v>15</v>
      </c>
      <c r="AQ1031">
        <v>495841.5</v>
      </c>
      <c r="AR1031">
        <v>495841.5</v>
      </c>
      <c r="AT1031">
        <v>53460000</v>
      </c>
      <c r="AU1031">
        <v>1983366</v>
      </c>
      <c r="AV1031">
        <v>53460000</v>
      </c>
      <c r="AW1031">
        <v>1983366</v>
      </c>
    </row>
    <row r="1032" spans="1:49" hidden="1" x14ac:dyDescent="0.35">
      <c r="A1032">
        <v>5851910</v>
      </c>
      <c r="B1032">
        <v>1170005851901</v>
      </c>
      <c r="D1032">
        <v>20245701358</v>
      </c>
      <c r="E1032" t="s">
        <v>165</v>
      </c>
      <c r="F1032" t="s">
        <v>1</v>
      </c>
      <c r="G1032" t="s">
        <v>226</v>
      </c>
      <c r="H1032" t="s">
        <v>63</v>
      </c>
      <c r="I1032">
        <v>2535</v>
      </c>
      <c r="J1032">
        <v>12</v>
      </c>
      <c r="K1032" t="s">
        <v>34</v>
      </c>
      <c r="L1032">
        <v>83429</v>
      </c>
      <c r="M1032" t="s">
        <v>140</v>
      </c>
      <c r="N1032">
        <v>1</v>
      </c>
      <c r="O1032" t="s">
        <v>119</v>
      </c>
      <c r="P1032" t="s">
        <v>1552</v>
      </c>
      <c r="Q1032">
        <v>960572</v>
      </c>
      <c r="R1032">
        <v>53190000</v>
      </c>
      <c r="S1032">
        <v>90</v>
      </c>
      <c r="T1032">
        <v>591000</v>
      </c>
      <c r="U1032">
        <v>1</v>
      </c>
      <c r="V1032">
        <v>1</v>
      </c>
      <c r="W1032" t="s">
        <v>127</v>
      </c>
      <c r="X1032">
        <v>19700</v>
      </c>
      <c r="Y1032">
        <v>960572</v>
      </c>
      <c r="Z1032">
        <v>53190000</v>
      </c>
      <c r="AA1032">
        <v>591000</v>
      </c>
      <c r="AB1032">
        <v>105</v>
      </c>
      <c r="AC1032" s="34">
        <v>46029</v>
      </c>
      <c r="AD1032" s="34">
        <v>46203</v>
      </c>
      <c r="AF1032">
        <v>0</v>
      </c>
      <c r="AG1032">
        <v>960572</v>
      </c>
      <c r="AH1032">
        <v>0</v>
      </c>
      <c r="AI1032">
        <v>960572</v>
      </c>
      <c r="AJ1032">
        <v>0</v>
      </c>
      <c r="AK1032">
        <v>0</v>
      </c>
      <c r="AL1032">
        <v>245906.43</v>
      </c>
      <c r="AM1032">
        <v>0</v>
      </c>
      <c r="AN1032">
        <v>1206478.43</v>
      </c>
      <c r="AO1032" t="s">
        <v>122</v>
      </c>
      <c r="AP1032">
        <v>15</v>
      </c>
      <c r="AQ1032">
        <v>144085.79999999999</v>
      </c>
      <c r="AR1032">
        <v>144085.79999999999</v>
      </c>
      <c r="AT1032">
        <v>31914000</v>
      </c>
      <c r="AU1032">
        <v>576343.19999999995</v>
      </c>
      <c r="AV1032">
        <v>31914000</v>
      </c>
      <c r="AW1032">
        <v>576343.19999999995</v>
      </c>
    </row>
    <row r="1033" spans="1:49" hidden="1" x14ac:dyDescent="0.35">
      <c r="A1033">
        <v>5852010</v>
      </c>
      <c r="B1033">
        <v>1090005852001</v>
      </c>
      <c r="D1033">
        <v>23052678439</v>
      </c>
      <c r="E1033" t="s">
        <v>822</v>
      </c>
      <c r="F1033" t="s">
        <v>1</v>
      </c>
      <c r="G1033" t="s">
        <v>57</v>
      </c>
      <c r="H1033" t="s">
        <v>57</v>
      </c>
      <c r="I1033">
        <v>8200</v>
      </c>
      <c r="J1033">
        <v>21</v>
      </c>
      <c r="K1033" t="s">
        <v>33</v>
      </c>
      <c r="L1033">
        <v>6127</v>
      </c>
      <c r="M1033" t="s">
        <v>118</v>
      </c>
      <c r="N1033">
        <v>1</v>
      </c>
      <c r="O1033" t="s">
        <v>119</v>
      </c>
      <c r="P1033" t="s">
        <v>1553</v>
      </c>
      <c r="Q1033">
        <v>1276.8</v>
      </c>
      <c r="R1033">
        <v>48000</v>
      </c>
      <c r="S1033">
        <v>96</v>
      </c>
      <c r="T1033">
        <v>500</v>
      </c>
      <c r="U1033">
        <v>26</v>
      </c>
      <c r="V1033">
        <v>1467.5</v>
      </c>
      <c r="W1033" t="s">
        <v>121</v>
      </c>
      <c r="X1033" t="s">
        <v>1</v>
      </c>
      <c r="Y1033">
        <v>1873704</v>
      </c>
      <c r="Z1033">
        <v>70440000</v>
      </c>
      <c r="AA1033">
        <v>733750</v>
      </c>
      <c r="AB1033">
        <v>106</v>
      </c>
      <c r="AC1033" s="34">
        <v>46014</v>
      </c>
      <c r="AD1033" s="34">
        <v>46203</v>
      </c>
      <c r="AF1033">
        <v>1</v>
      </c>
      <c r="AG1033">
        <v>1276.8</v>
      </c>
      <c r="AH1033">
        <v>0</v>
      </c>
      <c r="AI1033">
        <v>1873704</v>
      </c>
      <c r="AJ1033">
        <v>0</v>
      </c>
      <c r="AK1033">
        <v>0</v>
      </c>
      <c r="AL1033">
        <v>470289.73</v>
      </c>
      <c r="AM1033">
        <v>0</v>
      </c>
      <c r="AN1033">
        <v>2343993.73</v>
      </c>
      <c r="AO1033" t="s">
        <v>122</v>
      </c>
      <c r="AP1033">
        <v>12</v>
      </c>
      <c r="AQ1033">
        <v>153.22</v>
      </c>
      <c r="AR1033">
        <v>224850.35</v>
      </c>
      <c r="AT1033">
        <v>28800</v>
      </c>
      <c r="AU1033">
        <v>766.08</v>
      </c>
      <c r="AV1033">
        <v>42264000</v>
      </c>
      <c r="AW1033">
        <v>1124222.3999999999</v>
      </c>
    </row>
    <row r="1034" spans="1:49" hidden="1" x14ac:dyDescent="0.35">
      <c r="A1034">
        <v>5852110</v>
      </c>
      <c r="B1034">
        <v>1090005852101</v>
      </c>
      <c r="D1034">
        <v>30717389405</v>
      </c>
      <c r="E1034" t="s">
        <v>572</v>
      </c>
      <c r="F1034" t="s">
        <v>1</v>
      </c>
      <c r="G1034" t="s">
        <v>370</v>
      </c>
      <c r="H1034" t="s">
        <v>58</v>
      </c>
      <c r="I1034">
        <v>6333</v>
      </c>
      <c r="J1034">
        <v>21</v>
      </c>
      <c r="K1034" t="s">
        <v>33</v>
      </c>
      <c r="L1034">
        <v>6127</v>
      </c>
      <c r="M1034" t="s">
        <v>118</v>
      </c>
      <c r="N1034">
        <v>1</v>
      </c>
      <c r="O1034" t="s">
        <v>119</v>
      </c>
      <c r="P1034" t="s">
        <v>1554</v>
      </c>
      <c r="Q1034">
        <v>551.95000000000005</v>
      </c>
      <c r="R1034">
        <v>20750</v>
      </c>
      <c r="S1034">
        <v>83</v>
      </c>
      <c r="T1034">
        <v>250</v>
      </c>
      <c r="U1034">
        <v>26</v>
      </c>
      <c r="V1034">
        <v>1467.5</v>
      </c>
      <c r="W1034" t="s">
        <v>121</v>
      </c>
      <c r="X1034" t="s">
        <v>1</v>
      </c>
      <c r="Y1034">
        <v>809986.63</v>
      </c>
      <c r="Z1034">
        <v>30450625</v>
      </c>
      <c r="AA1034">
        <v>366875</v>
      </c>
      <c r="AB1034">
        <v>106</v>
      </c>
      <c r="AC1034" s="34">
        <v>46008</v>
      </c>
      <c r="AD1034" s="34">
        <v>46203</v>
      </c>
      <c r="AF1034">
        <v>0</v>
      </c>
      <c r="AG1034">
        <v>1178.3800000000001</v>
      </c>
      <c r="AH1034">
        <v>0</v>
      </c>
      <c r="AI1034">
        <v>1729272.65</v>
      </c>
      <c r="AJ1034">
        <v>0</v>
      </c>
      <c r="AK1034">
        <v>0</v>
      </c>
      <c r="AL1034">
        <v>434042.48</v>
      </c>
      <c r="AM1034">
        <v>0</v>
      </c>
      <c r="AN1034">
        <v>2163315.13</v>
      </c>
      <c r="AO1034" t="s">
        <v>122</v>
      </c>
      <c r="AP1034">
        <v>12</v>
      </c>
      <c r="AQ1034">
        <v>141.41</v>
      </c>
      <c r="AR1034">
        <v>207519.18</v>
      </c>
      <c r="AT1034">
        <v>12450</v>
      </c>
      <c r="AU1034">
        <v>331.17</v>
      </c>
      <c r="AV1034">
        <v>18270375</v>
      </c>
      <c r="AW1034">
        <v>485991.98</v>
      </c>
    </row>
    <row r="1035" spans="1:49" hidden="1" x14ac:dyDescent="0.35">
      <c r="A1035">
        <v>5852110</v>
      </c>
      <c r="B1035">
        <v>1090005852101</v>
      </c>
      <c r="D1035">
        <v>30717389405</v>
      </c>
      <c r="E1035" t="s">
        <v>572</v>
      </c>
      <c r="F1035" t="s">
        <v>1</v>
      </c>
      <c r="G1035" t="s">
        <v>370</v>
      </c>
      <c r="H1035" t="s">
        <v>58</v>
      </c>
      <c r="I1035">
        <v>6333</v>
      </c>
      <c r="J1035">
        <v>21</v>
      </c>
      <c r="K1035" t="s">
        <v>33</v>
      </c>
      <c r="L1035">
        <v>6127</v>
      </c>
      <c r="M1035" t="s">
        <v>118</v>
      </c>
      <c r="N1035">
        <v>2</v>
      </c>
      <c r="O1035" t="s">
        <v>119</v>
      </c>
      <c r="P1035" t="s">
        <v>1555</v>
      </c>
      <c r="Q1035">
        <v>626.42999999999995</v>
      </c>
      <c r="R1035">
        <v>23550</v>
      </c>
      <c r="S1035">
        <v>157</v>
      </c>
      <c r="T1035">
        <v>150</v>
      </c>
      <c r="U1035">
        <v>26</v>
      </c>
      <c r="V1035">
        <v>1467.5</v>
      </c>
      <c r="W1035" t="s">
        <v>121</v>
      </c>
      <c r="X1035" t="s">
        <v>1</v>
      </c>
      <c r="Y1035">
        <v>919286.03</v>
      </c>
      <c r="Z1035">
        <v>34559625</v>
      </c>
      <c r="AA1035">
        <v>220125</v>
      </c>
      <c r="AB1035">
        <v>106</v>
      </c>
      <c r="AC1035" s="34">
        <v>46008</v>
      </c>
      <c r="AD1035" s="34">
        <v>46203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 t="s">
        <v>122</v>
      </c>
      <c r="AT1035">
        <v>14130</v>
      </c>
      <c r="AU1035">
        <v>375.86</v>
      </c>
      <c r="AV1035">
        <v>20735775</v>
      </c>
      <c r="AW1035">
        <v>551574.55000000005</v>
      </c>
    </row>
    <row r="1036" spans="1:49" hidden="1" x14ac:dyDescent="0.35">
      <c r="A1036">
        <v>5852210</v>
      </c>
      <c r="B1036">
        <v>1090005852201</v>
      </c>
      <c r="D1036">
        <v>20129386267</v>
      </c>
      <c r="E1036" t="s">
        <v>1556</v>
      </c>
      <c r="F1036" t="s">
        <v>1</v>
      </c>
      <c r="G1036" t="s">
        <v>57</v>
      </c>
      <c r="H1036" t="s">
        <v>57</v>
      </c>
      <c r="I1036">
        <v>8200</v>
      </c>
      <c r="J1036">
        <v>21</v>
      </c>
      <c r="K1036" t="s">
        <v>33</v>
      </c>
      <c r="L1036">
        <v>6127</v>
      </c>
      <c r="M1036" t="s">
        <v>118</v>
      </c>
      <c r="N1036">
        <v>1</v>
      </c>
      <c r="O1036" t="s">
        <v>119</v>
      </c>
      <c r="P1036" t="s">
        <v>1557</v>
      </c>
      <c r="Q1036">
        <v>2128</v>
      </c>
      <c r="R1036">
        <v>70000</v>
      </c>
      <c r="S1036">
        <v>175</v>
      </c>
      <c r="T1036">
        <v>400</v>
      </c>
      <c r="U1036">
        <v>26</v>
      </c>
      <c r="V1036">
        <v>1467.5</v>
      </c>
      <c r="W1036" t="s">
        <v>121</v>
      </c>
      <c r="X1036" t="s">
        <v>1</v>
      </c>
      <c r="Y1036">
        <v>3122840</v>
      </c>
      <c r="Z1036">
        <v>102725000</v>
      </c>
      <c r="AA1036">
        <v>587000</v>
      </c>
      <c r="AB1036">
        <v>106</v>
      </c>
      <c r="AC1036" s="34">
        <v>46014</v>
      </c>
      <c r="AD1036" s="34">
        <v>46112</v>
      </c>
      <c r="AF1036">
        <v>0</v>
      </c>
      <c r="AG1036">
        <v>2128</v>
      </c>
      <c r="AH1036">
        <v>0</v>
      </c>
      <c r="AI1036">
        <v>3122840</v>
      </c>
      <c r="AJ1036">
        <v>0</v>
      </c>
      <c r="AK1036">
        <v>0</v>
      </c>
      <c r="AL1036">
        <v>783835.78</v>
      </c>
      <c r="AM1036">
        <v>0</v>
      </c>
      <c r="AN1036">
        <v>3906675.78</v>
      </c>
      <c r="AO1036" t="s">
        <v>122</v>
      </c>
      <c r="AP1036">
        <v>12</v>
      </c>
      <c r="AQ1036">
        <v>255.36</v>
      </c>
      <c r="AR1036">
        <v>374740.8</v>
      </c>
      <c r="AT1036">
        <v>42000</v>
      </c>
      <c r="AU1036">
        <v>1276.8</v>
      </c>
      <c r="AV1036">
        <v>61635000</v>
      </c>
      <c r="AW1036">
        <v>1873704</v>
      </c>
    </row>
    <row r="1037" spans="1:49" hidden="1" x14ac:dyDescent="0.35">
      <c r="A1037">
        <v>5852310</v>
      </c>
      <c r="B1037">
        <v>1090005852301</v>
      </c>
      <c r="D1037">
        <v>20129386267</v>
      </c>
      <c r="E1037" t="s">
        <v>1556</v>
      </c>
      <c r="F1037" t="s">
        <v>1</v>
      </c>
      <c r="G1037" t="s">
        <v>57</v>
      </c>
      <c r="H1037" t="s">
        <v>57</v>
      </c>
      <c r="I1037">
        <v>8200</v>
      </c>
      <c r="J1037">
        <v>21</v>
      </c>
      <c r="K1037" t="s">
        <v>33</v>
      </c>
      <c r="L1037">
        <v>6127</v>
      </c>
      <c r="M1037" t="s">
        <v>118</v>
      </c>
      <c r="N1037">
        <v>1</v>
      </c>
      <c r="O1037" t="s">
        <v>119</v>
      </c>
      <c r="P1037" t="s">
        <v>1558</v>
      </c>
      <c r="Q1037">
        <v>876.8</v>
      </c>
      <c r="R1037">
        <v>32000</v>
      </c>
      <c r="S1037">
        <v>80</v>
      </c>
      <c r="T1037">
        <v>400</v>
      </c>
      <c r="U1037">
        <v>26</v>
      </c>
      <c r="V1037">
        <v>1460</v>
      </c>
      <c r="W1037" t="s">
        <v>121</v>
      </c>
      <c r="X1037" t="s">
        <v>1</v>
      </c>
      <c r="Y1037">
        <v>1280128</v>
      </c>
      <c r="Z1037">
        <v>46720000</v>
      </c>
      <c r="AA1037">
        <v>584000</v>
      </c>
      <c r="AB1037">
        <v>106</v>
      </c>
      <c r="AC1037" s="34">
        <v>46014</v>
      </c>
      <c r="AD1037" s="34">
        <v>46173</v>
      </c>
      <c r="AF1037">
        <v>0</v>
      </c>
      <c r="AG1037">
        <v>876.8</v>
      </c>
      <c r="AH1037">
        <v>0</v>
      </c>
      <c r="AI1037">
        <v>1280128</v>
      </c>
      <c r="AJ1037">
        <v>0</v>
      </c>
      <c r="AK1037">
        <v>0</v>
      </c>
      <c r="AL1037">
        <v>321302.2</v>
      </c>
      <c r="AM1037">
        <v>0</v>
      </c>
      <c r="AN1037">
        <v>1601430.2</v>
      </c>
      <c r="AO1037" t="s">
        <v>122</v>
      </c>
      <c r="AP1037">
        <v>12</v>
      </c>
      <c r="AQ1037">
        <v>105.22</v>
      </c>
      <c r="AR1037">
        <v>153621.20000000001</v>
      </c>
      <c r="AT1037">
        <v>19200</v>
      </c>
      <c r="AU1037">
        <v>526.08000000000004</v>
      </c>
      <c r="AV1037">
        <v>28032000</v>
      </c>
      <c r="AW1037">
        <v>768076.80000000005</v>
      </c>
    </row>
    <row r="1038" spans="1:49" hidden="1" x14ac:dyDescent="0.35">
      <c r="A1038">
        <v>5852410</v>
      </c>
      <c r="B1038">
        <v>1090005852401</v>
      </c>
      <c r="D1038">
        <v>20129386267</v>
      </c>
      <c r="E1038" t="s">
        <v>1556</v>
      </c>
      <c r="F1038" t="s">
        <v>1</v>
      </c>
      <c r="G1038" t="s">
        <v>57</v>
      </c>
      <c r="H1038" t="s">
        <v>57</v>
      </c>
      <c r="I1038">
        <v>8200</v>
      </c>
      <c r="J1038">
        <v>21</v>
      </c>
      <c r="K1038" t="s">
        <v>33</v>
      </c>
      <c r="L1038">
        <v>6127</v>
      </c>
      <c r="M1038" t="s">
        <v>118</v>
      </c>
      <c r="N1038">
        <v>1</v>
      </c>
      <c r="O1038" t="s">
        <v>119</v>
      </c>
      <c r="P1038" t="s">
        <v>1559</v>
      </c>
      <c r="Q1038">
        <v>2128</v>
      </c>
      <c r="R1038">
        <v>80000</v>
      </c>
      <c r="S1038">
        <v>200</v>
      </c>
      <c r="T1038">
        <v>400</v>
      </c>
      <c r="U1038">
        <v>26</v>
      </c>
      <c r="V1038">
        <v>1460</v>
      </c>
      <c r="W1038" t="s">
        <v>121</v>
      </c>
      <c r="X1038" t="s">
        <v>1</v>
      </c>
      <c r="Y1038">
        <v>3106880</v>
      </c>
      <c r="Z1038">
        <v>116800000</v>
      </c>
      <c r="AA1038">
        <v>584000</v>
      </c>
      <c r="AB1038">
        <v>106</v>
      </c>
      <c r="AC1038" s="34">
        <v>46014</v>
      </c>
      <c r="AD1038" s="34">
        <v>46203</v>
      </c>
      <c r="AF1038">
        <v>0</v>
      </c>
      <c r="AG1038">
        <v>2128</v>
      </c>
      <c r="AH1038">
        <v>0</v>
      </c>
      <c r="AI1038">
        <v>3106880</v>
      </c>
      <c r="AJ1038">
        <v>0</v>
      </c>
      <c r="AK1038">
        <v>0</v>
      </c>
      <c r="AL1038">
        <v>779829.8</v>
      </c>
      <c r="AM1038">
        <v>0</v>
      </c>
      <c r="AN1038">
        <v>3886709.8</v>
      </c>
      <c r="AO1038" t="s">
        <v>122</v>
      </c>
      <c r="AP1038">
        <v>12</v>
      </c>
      <c r="AQ1038">
        <v>255.36</v>
      </c>
      <c r="AR1038">
        <v>372825.59999999998</v>
      </c>
      <c r="AT1038">
        <v>48000</v>
      </c>
      <c r="AU1038">
        <v>1276.8</v>
      </c>
      <c r="AV1038">
        <v>70080000</v>
      </c>
      <c r="AW1038">
        <v>1864128</v>
      </c>
    </row>
    <row r="1039" spans="1:49" hidden="1" x14ac:dyDescent="0.35">
      <c r="A1039">
        <v>5852510</v>
      </c>
      <c r="B1039">
        <v>1090005852501</v>
      </c>
      <c r="D1039">
        <v>30715428845</v>
      </c>
      <c r="E1039" t="s">
        <v>567</v>
      </c>
      <c r="F1039" t="s">
        <v>1</v>
      </c>
      <c r="G1039" t="s">
        <v>57</v>
      </c>
      <c r="H1039" t="s">
        <v>57</v>
      </c>
      <c r="I1039">
        <v>8200</v>
      </c>
      <c r="J1039">
        <v>21</v>
      </c>
      <c r="K1039" t="s">
        <v>33</v>
      </c>
      <c r="L1039">
        <v>6127</v>
      </c>
      <c r="M1039" t="s">
        <v>118</v>
      </c>
      <c r="N1039">
        <v>1</v>
      </c>
      <c r="O1039" t="s">
        <v>119</v>
      </c>
      <c r="P1039" t="s">
        <v>1560</v>
      </c>
      <c r="Q1039">
        <v>1602.9</v>
      </c>
      <c r="R1039">
        <v>58500</v>
      </c>
      <c r="S1039">
        <v>130</v>
      </c>
      <c r="T1039">
        <v>450</v>
      </c>
      <c r="U1039">
        <v>26</v>
      </c>
      <c r="V1039">
        <v>1460</v>
      </c>
      <c r="W1039" t="s">
        <v>121</v>
      </c>
      <c r="X1039" t="s">
        <v>1</v>
      </c>
      <c r="Y1039">
        <v>2340234</v>
      </c>
      <c r="Z1039">
        <v>85410000</v>
      </c>
      <c r="AA1039">
        <v>657000</v>
      </c>
      <c r="AB1039">
        <v>106</v>
      </c>
      <c r="AC1039" s="34">
        <v>46025</v>
      </c>
      <c r="AD1039" s="34">
        <v>46188</v>
      </c>
      <c r="AF1039">
        <v>0</v>
      </c>
      <c r="AG1039">
        <v>1602.9</v>
      </c>
      <c r="AH1039">
        <v>0</v>
      </c>
      <c r="AI1039">
        <v>2340234</v>
      </c>
      <c r="AJ1039">
        <v>0</v>
      </c>
      <c r="AK1039">
        <v>0</v>
      </c>
      <c r="AL1039">
        <v>587401.80000000005</v>
      </c>
      <c r="AM1039">
        <v>0</v>
      </c>
      <c r="AN1039">
        <v>2927635.8</v>
      </c>
      <c r="AO1039" t="s">
        <v>122</v>
      </c>
      <c r="AP1039">
        <v>12</v>
      </c>
      <c r="AQ1039">
        <v>192.35</v>
      </c>
      <c r="AR1039">
        <v>280831</v>
      </c>
      <c r="AT1039">
        <v>35100</v>
      </c>
      <c r="AU1039">
        <v>961.74</v>
      </c>
      <c r="AV1039">
        <v>51246000</v>
      </c>
      <c r="AW1039">
        <v>1404140.4</v>
      </c>
    </row>
    <row r="1040" spans="1:49" hidden="1" x14ac:dyDescent="0.35">
      <c r="A1040">
        <v>5852610</v>
      </c>
      <c r="B1040">
        <v>1250005852601</v>
      </c>
      <c r="D1040">
        <v>30718928113</v>
      </c>
      <c r="E1040" t="s">
        <v>1561</v>
      </c>
      <c r="F1040" t="s">
        <v>1</v>
      </c>
      <c r="G1040" t="s">
        <v>703</v>
      </c>
      <c r="H1040" t="s">
        <v>47</v>
      </c>
      <c r="I1040">
        <v>2670</v>
      </c>
      <c r="J1040">
        <v>3</v>
      </c>
      <c r="K1040" t="s">
        <v>32</v>
      </c>
      <c r="L1040">
        <v>10067</v>
      </c>
      <c r="M1040" t="s">
        <v>704</v>
      </c>
      <c r="N1040">
        <v>1</v>
      </c>
      <c r="O1040" t="s">
        <v>119</v>
      </c>
      <c r="P1040" t="s">
        <v>1562</v>
      </c>
      <c r="Q1040">
        <v>1210619.52</v>
      </c>
      <c r="R1040">
        <v>31363200</v>
      </c>
      <c r="S1040">
        <v>88</v>
      </c>
      <c r="T1040">
        <v>356400</v>
      </c>
      <c r="U1040">
        <v>1</v>
      </c>
      <c r="V1040">
        <v>1</v>
      </c>
      <c r="W1040" t="s">
        <v>127</v>
      </c>
      <c r="X1040">
        <v>29700</v>
      </c>
      <c r="Y1040">
        <v>1210619.52</v>
      </c>
      <c r="Z1040">
        <v>31363200</v>
      </c>
      <c r="AA1040">
        <v>356400</v>
      </c>
      <c r="AB1040">
        <v>105</v>
      </c>
      <c r="AC1040" s="34">
        <v>46018</v>
      </c>
      <c r="AD1040" s="34">
        <v>46173</v>
      </c>
      <c r="AF1040">
        <v>0</v>
      </c>
      <c r="AG1040">
        <v>1210619.52</v>
      </c>
      <c r="AH1040">
        <v>0</v>
      </c>
      <c r="AI1040">
        <v>1210619.52</v>
      </c>
      <c r="AJ1040">
        <v>0</v>
      </c>
      <c r="AK1040">
        <v>0</v>
      </c>
      <c r="AL1040">
        <v>315971.71000000002</v>
      </c>
      <c r="AM1040">
        <v>0</v>
      </c>
      <c r="AN1040">
        <v>1526591.23</v>
      </c>
      <c r="AO1040" t="s">
        <v>122</v>
      </c>
      <c r="AP1040">
        <v>10</v>
      </c>
      <c r="AQ1040">
        <v>121061.95</v>
      </c>
      <c r="AR1040">
        <v>121061.95</v>
      </c>
      <c r="AT1040">
        <v>18817920</v>
      </c>
      <c r="AU1040">
        <v>726371.71</v>
      </c>
      <c r="AV1040">
        <v>18817920</v>
      </c>
      <c r="AW1040">
        <v>726371.71</v>
      </c>
    </row>
    <row r="1041" spans="1:49" hidden="1" x14ac:dyDescent="0.35">
      <c r="A1041">
        <v>5852710</v>
      </c>
      <c r="B1041">
        <v>1250005852701</v>
      </c>
      <c r="D1041">
        <v>30718928113</v>
      </c>
      <c r="E1041" t="s">
        <v>1561</v>
      </c>
      <c r="F1041" t="s">
        <v>1</v>
      </c>
      <c r="G1041" t="s">
        <v>703</v>
      </c>
      <c r="H1041" t="s">
        <v>47</v>
      </c>
      <c r="I1041">
        <v>2670</v>
      </c>
      <c r="J1041">
        <v>3</v>
      </c>
      <c r="K1041" t="s">
        <v>32</v>
      </c>
      <c r="L1041">
        <v>10067</v>
      </c>
      <c r="M1041" t="s">
        <v>704</v>
      </c>
      <c r="N1041">
        <v>1</v>
      </c>
      <c r="O1041" t="s">
        <v>119</v>
      </c>
      <c r="P1041" t="s">
        <v>1563</v>
      </c>
      <c r="Q1041">
        <v>2129176</v>
      </c>
      <c r="R1041">
        <v>55160000</v>
      </c>
      <c r="S1041">
        <v>80</v>
      </c>
      <c r="T1041">
        <v>689500</v>
      </c>
      <c r="U1041">
        <v>1</v>
      </c>
      <c r="V1041">
        <v>1</v>
      </c>
      <c r="W1041" t="s">
        <v>127</v>
      </c>
      <c r="X1041">
        <v>19700</v>
      </c>
      <c r="Y1041">
        <v>2129176</v>
      </c>
      <c r="Z1041">
        <v>55160000</v>
      </c>
      <c r="AA1041">
        <v>689500</v>
      </c>
      <c r="AB1041">
        <v>105</v>
      </c>
      <c r="AC1041" s="34">
        <v>46018</v>
      </c>
      <c r="AD1041" s="34">
        <v>46203</v>
      </c>
      <c r="AF1041">
        <v>0</v>
      </c>
      <c r="AG1041">
        <v>2129176</v>
      </c>
      <c r="AH1041">
        <v>0</v>
      </c>
      <c r="AI1041">
        <v>2129176</v>
      </c>
      <c r="AJ1041">
        <v>0</v>
      </c>
      <c r="AK1041">
        <v>0</v>
      </c>
      <c r="AL1041">
        <v>555714.93999999994</v>
      </c>
      <c r="AM1041">
        <v>0</v>
      </c>
      <c r="AN1041">
        <v>2684890.94</v>
      </c>
      <c r="AO1041" t="s">
        <v>122</v>
      </c>
      <c r="AP1041">
        <v>10</v>
      </c>
      <c r="AQ1041">
        <v>212917.6</v>
      </c>
      <c r="AR1041">
        <v>212917.6</v>
      </c>
      <c r="AT1041">
        <v>33096000</v>
      </c>
      <c r="AU1041">
        <v>1277505.6000000001</v>
      </c>
      <c r="AV1041">
        <v>33096000</v>
      </c>
      <c r="AW1041">
        <v>1277505.6000000001</v>
      </c>
    </row>
    <row r="1042" spans="1:49" hidden="1" x14ac:dyDescent="0.35">
      <c r="A1042">
        <v>5852810</v>
      </c>
      <c r="B1042">
        <v>1250005852801</v>
      </c>
      <c r="D1042">
        <v>20164916589</v>
      </c>
      <c r="E1042" t="s">
        <v>1564</v>
      </c>
      <c r="F1042" t="s">
        <v>1</v>
      </c>
      <c r="G1042" t="s">
        <v>49</v>
      </c>
      <c r="H1042" t="s">
        <v>49</v>
      </c>
      <c r="I1042">
        <v>5800</v>
      </c>
      <c r="J1042">
        <v>3</v>
      </c>
      <c r="K1042" t="s">
        <v>32</v>
      </c>
      <c r="L1042">
        <v>8274</v>
      </c>
      <c r="M1042" t="s">
        <v>416</v>
      </c>
      <c r="N1042">
        <v>1</v>
      </c>
      <c r="O1042" t="s">
        <v>119</v>
      </c>
      <c r="P1042" t="s">
        <v>1565</v>
      </c>
      <c r="Q1042">
        <v>2560021.2000000002</v>
      </c>
      <c r="R1042">
        <v>39204000</v>
      </c>
      <c r="S1042">
        <v>66</v>
      </c>
      <c r="T1042">
        <v>594000</v>
      </c>
      <c r="U1042">
        <v>1</v>
      </c>
      <c r="V1042">
        <v>1</v>
      </c>
      <c r="W1042" t="s">
        <v>127</v>
      </c>
      <c r="X1042">
        <v>29700</v>
      </c>
      <c r="Y1042">
        <v>2560021.2000000002</v>
      </c>
      <c r="Z1042">
        <v>39204000</v>
      </c>
      <c r="AA1042">
        <v>594000</v>
      </c>
      <c r="AB1042">
        <v>105</v>
      </c>
      <c r="AC1042" s="34">
        <v>45978</v>
      </c>
      <c r="AD1042" s="34">
        <v>46173</v>
      </c>
      <c r="AF1042">
        <v>0</v>
      </c>
      <c r="AG1042">
        <v>17842572</v>
      </c>
      <c r="AH1042">
        <v>0</v>
      </c>
      <c r="AI1042">
        <v>17842572</v>
      </c>
      <c r="AJ1042">
        <v>0</v>
      </c>
      <c r="AK1042">
        <v>0</v>
      </c>
      <c r="AL1042">
        <v>4656911.29</v>
      </c>
      <c r="AM1042">
        <v>0</v>
      </c>
      <c r="AN1042">
        <v>22499483.289999999</v>
      </c>
      <c r="AO1042" t="s">
        <v>122</v>
      </c>
      <c r="AP1042">
        <v>15</v>
      </c>
      <c r="AQ1042">
        <v>2676385.7999999998</v>
      </c>
      <c r="AR1042">
        <v>2676385.7999999998</v>
      </c>
      <c r="AT1042">
        <v>23522400</v>
      </c>
      <c r="AU1042">
        <v>1536012.72</v>
      </c>
      <c r="AV1042">
        <v>23522400</v>
      </c>
      <c r="AW1042">
        <v>1536012.72</v>
      </c>
    </row>
    <row r="1043" spans="1:49" hidden="1" x14ac:dyDescent="0.35">
      <c r="A1043">
        <v>5852810</v>
      </c>
      <c r="B1043">
        <v>1250005852801</v>
      </c>
      <c r="D1043">
        <v>20164916589</v>
      </c>
      <c r="E1043" t="s">
        <v>1564</v>
      </c>
      <c r="F1043" t="s">
        <v>1</v>
      </c>
      <c r="G1043" t="s">
        <v>49</v>
      </c>
      <c r="H1043" t="s">
        <v>49</v>
      </c>
      <c r="I1043">
        <v>5800</v>
      </c>
      <c r="J1043">
        <v>3</v>
      </c>
      <c r="K1043" t="s">
        <v>32</v>
      </c>
      <c r="L1043">
        <v>8274</v>
      </c>
      <c r="M1043" t="s">
        <v>416</v>
      </c>
      <c r="N1043">
        <v>2</v>
      </c>
      <c r="O1043" t="s">
        <v>119</v>
      </c>
      <c r="P1043" t="s">
        <v>1566</v>
      </c>
      <c r="Q1043">
        <v>15282550.800000001</v>
      </c>
      <c r="R1043">
        <v>234036000</v>
      </c>
      <c r="S1043">
        <v>394</v>
      </c>
      <c r="T1043">
        <v>594000</v>
      </c>
      <c r="U1043">
        <v>1</v>
      </c>
      <c r="V1043">
        <v>1</v>
      </c>
      <c r="W1043" t="s">
        <v>127</v>
      </c>
      <c r="X1043">
        <v>29700</v>
      </c>
      <c r="Y1043">
        <v>15282550.800000001</v>
      </c>
      <c r="Z1043">
        <v>234036000</v>
      </c>
      <c r="AA1043">
        <v>594000</v>
      </c>
      <c r="AB1043">
        <v>105</v>
      </c>
      <c r="AC1043" s="34">
        <v>45978</v>
      </c>
      <c r="AD1043" s="34">
        <v>46173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 t="s">
        <v>122</v>
      </c>
      <c r="AT1043">
        <v>140421600</v>
      </c>
      <c r="AU1043">
        <v>9169530.4800000004</v>
      </c>
      <c r="AV1043">
        <v>140421600</v>
      </c>
      <c r="AW1043">
        <v>9169530.4800000004</v>
      </c>
    </row>
    <row r="1044" spans="1:49" hidden="1" x14ac:dyDescent="0.35">
      <c r="A1044">
        <v>5853010</v>
      </c>
      <c r="B1044">
        <v>1170005853001</v>
      </c>
      <c r="D1044">
        <v>20133267906</v>
      </c>
      <c r="E1044" t="s">
        <v>1567</v>
      </c>
      <c r="F1044" t="s">
        <v>1</v>
      </c>
      <c r="G1044" t="s">
        <v>296</v>
      </c>
      <c r="H1044" t="s">
        <v>297</v>
      </c>
      <c r="I1044">
        <v>2107</v>
      </c>
      <c r="J1044">
        <v>12</v>
      </c>
      <c r="K1044" t="s">
        <v>34</v>
      </c>
      <c r="L1044">
        <v>10987</v>
      </c>
      <c r="M1044" t="s">
        <v>298</v>
      </c>
      <c r="N1044">
        <v>1</v>
      </c>
      <c r="O1044" t="s">
        <v>119</v>
      </c>
      <c r="P1044" t="s">
        <v>1568</v>
      </c>
      <c r="Q1044">
        <v>621918</v>
      </c>
      <c r="R1044">
        <v>21384000</v>
      </c>
      <c r="S1044">
        <v>24</v>
      </c>
      <c r="T1044">
        <v>891000</v>
      </c>
      <c r="U1044">
        <v>1</v>
      </c>
      <c r="V1044">
        <v>1</v>
      </c>
      <c r="W1044" t="s">
        <v>127</v>
      </c>
      <c r="X1044">
        <v>29700</v>
      </c>
      <c r="Y1044">
        <v>621918</v>
      </c>
      <c r="Z1044">
        <v>21384000</v>
      </c>
      <c r="AA1044">
        <v>891000</v>
      </c>
      <c r="AB1044">
        <v>105</v>
      </c>
      <c r="AC1044" s="34">
        <v>46032</v>
      </c>
      <c r="AD1044" s="34">
        <v>46173</v>
      </c>
      <c r="AF1044">
        <v>0</v>
      </c>
      <c r="AG1044">
        <v>621918</v>
      </c>
      <c r="AH1044">
        <v>0</v>
      </c>
      <c r="AI1044">
        <v>621918</v>
      </c>
      <c r="AJ1044">
        <v>0</v>
      </c>
      <c r="AK1044">
        <v>0</v>
      </c>
      <c r="AL1044">
        <v>140553.47</v>
      </c>
      <c r="AM1044">
        <v>0</v>
      </c>
      <c r="AN1044">
        <v>762471.47</v>
      </c>
      <c r="AO1044" t="s">
        <v>122</v>
      </c>
      <c r="AP1044">
        <v>15</v>
      </c>
      <c r="AQ1044">
        <v>93287.7</v>
      </c>
      <c r="AR1044">
        <v>93287.7</v>
      </c>
      <c r="AT1044">
        <v>12830400</v>
      </c>
      <c r="AU1044">
        <v>373150.8</v>
      </c>
      <c r="AV1044">
        <v>12830400</v>
      </c>
      <c r="AW1044">
        <v>373150.8</v>
      </c>
    </row>
    <row r="1045" spans="1:49" hidden="1" x14ac:dyDescent="0.35">
      <c r="A1045">
        <v>5853110</v>
      </c>
      <c r="B1045">
        <v>1090005853101</v>
      </c>
      <c r="D1045">
        <v>20117223273</v>
      </c>
      <c r="E1045" t="s">
        <v>1035</v>
      </c>
      <c r="F1045" t="s">
        <v>1</v>
      </c>
      <c r="G1045" t="s">
        <v>680</v>
      </c>
      <c r="H1045" t="s">
        <v>55</v>
      </c>
      <c r="I1045">
        <v>6220</v>
      </c>
      <c r="J1045">
        <v>21</v>
      </c>
      <c r="K1045" t="s">
        <v>33</v>
      </c>
      <c r="L1045">
        <v>6127</v>
      </c>
      <c r="M1045" t="s">
        <v>118</v>
      </c>
      <c r="N1045">
        <v>1</v>
      </c>
      <c r="O1045" t="s">
        <v>119</v>
      </c>
      <c r="P1045" t="s">
        <v>1569</v>
      </c>
      <c r="Q1045">
        <v>2044</v>
      </c>
      <c r="R1045">
        <v>56000</v>
      </c>
      <c r="S1045">
        <v>80</v>
      </c>
      <c r="T1045">
        <v>700</v>
      </c>
      <c r="U1045">
        <v>26</v>
      </c>
      <c r="V1045">
        <v>1465</v>
      </c>
      <c r="W1045" t="s">
        <v>121</v>
      </c>
      <c r="X1045" t="s">
        <v>1</v>
      </c>
      <c r="Y1045">
        <v>2994460</v>
      </c>
      <c r="Z1045">
        <v>82040000</v>
      </c>
      <c r="AA1045">
        <v>1025500</v>
      </c>
      <c r="AB1045">
        <v>106</v>
      </c>
      <c r="AC1045" s="34">
        <v>45984</v>
      </c>
      <c r="AD1045" s="34">
        <v>46173</v>
      </c>
      <c r="AF1045">
        <v>0</v>
      </c>
      <c r="AG1045">
        <v>20376.13</v>
      </c>
      <c r="AH1045">
        <v>0</v>
      </c>
      <c r="AI1045">
        <v>29851030.449999999</v>
      </c>
      <c r="AJ1045">
        <v>0</v>
      </c>
      <c r="AK1045">
        <v>0</v>
      </c>
      <c r="AL1045">
        <v>7492610.6500000004</v>
      </c>
      <c r="AM1045">
        <v>0</v>
      </c>
      <c r="AN1045">
        <v>37343641.100000001</v>
      </c>
      <c r="AO1045" t="s">
        <v>122</v>
      </c>
      <c r="AP1045">
        <v>12</v>
      </c>
      <c r="AQ1045">
        <v>2445.14</v>
      </c>
      <c r="AR1045">
        <v>3582130.1</v>
      </c>
      <c r="AT1045">
        <v>33600</v>
      </c>
      <c r="AU1045">
        <v>1226.4000000000001</v>
      </c>
      <c r="AV1045">
        <v>49224000</v>
      </c>
      <c r="AW1045">
        <v>1796676</v>
      </c>
    </row>
    <row r="1046" spans="1:49" hidden="1" x14ac:dyDescent="0.35">
      <c r="A1046">
        <v>5853110</v>
      </c>
      <c r="B1046">
        <v>1090005853101</v>
      </c>
      <c r="D1046">
        <v>20117223273</v>
      </c>
      <c r="E1046" t="s">
        <v>1035</v>
      </c>
      <c r="F1046" t="s">
        <v>1</v>
      </c>
      <c r="G1046" t="s">
        <v>680</v>
      </c>
      <c r="H1046" t="s">
        <v>55</v>
      </c>
      <c r="I1046">
        <v>6220</v>
      </c>
      <c r="J1046">
        <v>21</v>
      </c>
      <c r="K1046" t="s">
        <v>33</v>
      </c>
      <c r="L1046">
        <v>6127</v>
      </c>
      <c r="M1046" t="s">
        <v>118</v>
      </c>
      <c r="N1046">
        <v>2</v>
      </c>
      <c r="O1046" t="s">
        <v>119</v>
      </c>
      <c r="P1046" t="s">
        <v>1570</v>
      </c>
      <c r="Q1046">
        <v>6898.5</v>
      </c>
      <c r="R1046">
        <v>189000</v>
      </c>
      <c r="S1046">
        <v>270</v>
      </c>
      <c r="T1046">
        <v>700</v>
      </c>
      <c r="U1046">
        <v>26</v>
      </c>
      <c r="V1046">
        <v>1465</v>
      </c>
      <c r="W1046" t="s">
        <v>121</v>
      </c>
      <c r="X1046" t="s">
        <v>1</v>
      </c>
      <c r="Y1046">
        <v>10106302.5</v>
      </c>
      <c r="Z1046">
        <v>276885000</v>
      </c>
      <c r="AA1046">
        <v>1025500</v>
      </c>
      <c r="AB1046">
        <v>106</v>
      </c>
      <c r="AC1046" s="34">
        <v>45984</v>
      </c>
      <c r="AD1046" s="34">
        <v>46173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 t="s">
        <v>122</v>
      </c>
      <c r="AT1046">
        <v>113400</v>
      </c>
      <c r="AU1046">
        <v>4139.1000000000004</v>
      </c>
      <c r="AV1046">
        <v>166131000</v>
      </c>
      <c r="AW1046">
        <v>6063781.5</v>
      </c>
    </row>
    <row r="1047" spans="1:49" hidden="1" x14ac:dyDescent="0.35">
      <c r="A1047">
        <v>5853110</v>
      </c>
      <c r="B1047">
        <v>1090005853101</v>
      </c>
      <c r="D1047">
        <v>20117223273</v>
      </c>
      <c r="E1047" t="s">
        <v>1035</v>
      </c>
      <c r="F1047" t="s">
        <v>1</v>
      </c>
      <c r="G1047" t="s">
        <v>680</v>
      </c>
      <c r="H1047" t="s">
        <v>55</v>
      </c>
      <c r="I1047">
        <v>6220</v>
      </c>
      <c r="J1047">
        <v>21</v>
      </c>
      <c r="K1047" t="s">
        <v>33</v>
      </c>
      <c r="L1047">
        <v>6127</v>
      </c>
      <c r="M1047" t="s">
        <v>118</v>
      </c>
      <c r="N1047">
        <v>3</v>
      </c>
      <c r="O1047" t="s">
        <v>119</v>
      </c>
      <c r="P1047" t="s">
        <v>1571</v>
      </c>
      <c r="Q1047">
        <v>1660.75</v>
      </c>
      <c r="R1047">
        <v>45500</v>
      </c>
      <c r="S1047">
        <v>65</v>
      </c>
      <c r="T1047">
        <v>700</v>
      </c>
      <c r="U1047">
        <v>26</v>
      </c>
      <c r="V1047">
        <v>1465</v>
      </c>
      <c r="W1047" t="s">
        <v>121</v>
      </c>
      <c r="X1047" t="s">
        <v>1</v>
      </c>
      <c r="Y1047">
        <v>2432998.75</v>
      </c>
      <c r="Z1047">
        <v>66657500</v>
      </c>
      <c r="AA1047">
        <v>1025500</v>
      </c>
      <c r="AB1047">
        <v>106</v>
      </c>
      <c r="AC1047" s="34">
        <v>45984</v>
      </c>
      <c r="AD1047" s="34">
        <v>46173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 t="s">
        <v>122</v>
      </c>
      <c r="AT1047">
        <v>27300</v>
      </c>
      <c r="AU1047">
        <v>996.45</v>
      </c>
      <c r="AV1047">
        <v>39994500</v>
      </c>
      <c r="AW1047">
        <v>1459799.25</v>
      </c>
    </row>
    <row r="1048" spans="1:49" hidden="1" x14ac:dyDescent="0.35">
      <c r="A1048">
        <v>5853110</v>
      </c>
      <c r="B1048">
        <v>1090005853101</v>
      </c>
      <c r="D1048">
        <v>20117223273</v>
      </c>
      <c r="E1048" t="s">
        <v>1035</v>
      </c>
      <c r="F1048" t="s">
        <v>1</v>
      </c>
      <c r="G1048" t="s">
        <v>680</v>
      </c>
      <c r="H1048" t="s">
        <v>55</v>
      </c>
      <c r="I1048">
        <v>6220</v>
      </c>
      <c r="J1048">
        <v>21</v>
      </c>
      <c r="K1048" t="s">
        <v>33</v>
      </c>
      <c r="L1048">
        <v>6127</v>
      </c>
      <c r="M1048" t="s">
        <v>118</v>
      </c>
      <c r="N1048">
        <v>4</v>
      </c>
      <c r="O1048" t="s">
        <v>119</v>
      </c>
      <c r="P1048" t="s">
        <v>1161</v>
      </c>
      <c r="Q1048">
        <v>1724.63</v>
      </c>
      <c r="R1048">
        <v>47250</v>
      </c>
      <c r="S1048">
        <v>135</v>
      </c>
      <c r="T1048">
        <v>350</v>
      </c>
      <c r="U1048">
        <v>26</v>
      </c>
      <c r="V1048">
        <v>1465</v>
      </c>
      <c r="W1048" t="s">
        <v>121</v>
      </c>
      <c r="X1048" t="s">
        <v>1</v>
      </c>
      <c r="Y1048">
        <v>2526582.9500000002</v>
      </c>
      <c r="Z1048">
        <v>69221250</v>
      </c>
      <c r="AA1048">
        <v>512750</v>
      </c>
      <c r="AB1048">
        <v>106</v>
      </c>
      <c r="AC1048" s="34">
        <v>45984</v>
      </c>
      <c r="AD1048" s="34">
        <v>46173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 t="s">
        <v>122</v>
      </c>
      <c r="AT1048">
        <v>28350</v>
      </c>
      <c r="AU1048">
        <v>1034.78</v>
      </c>
      <c r="AV1048">
        <v>41532750</v>
      </c>
      <c r="AW1048">
        <v>1515952.7</v>
      </c>
    </row>
    <row r="1049" spans="1:49" hidden="1" x14ac:dyDescent="0.35">
      <c r="A1049">
        <v>5853110</v>
      </c>
      <c r="B1049">
        <v>1090005853101</v>
      </c>
      <c r="D1049">
        <v>20117223273</v>
      </c>
      <c r="E1049" t="s">
        <v>1035</v>
      </c>
      <c r="F1049" t="s">
        <v>1</v>
      </c>
      <c r="G1049" t="s">
        <v>680</v>
      </c>
      <c r="H1049" t="s">
        <v>55</v>
      </c>
      <c r="I1049">
        <v>6220</v>
      </c>
      <c r="J1049">
        <v>21</v>
      </c>
      <c r="K1049" t="s">
        <v>33</v>
      </c>
      <c r="L1049">
        <v>6127</v>
      </c>
      <c r="M1049" t="s">
        <v>118</v>
      </c>
      <c r="N1049">
        <v>5</v>
      </c>
      <c r="O1049" t="s">
        <v>119</v>
      </c>
      <c r="P1049" t="s">
        <v>1162</v>
      </c>
      <c r="Q1049">
        <v>4215.75</v>
      </c>
      <c r="R1049">
        <v>115500</v>
      </c>
      <c r="S1049">
        <v>330</v>
      </c>
      <c r="T1049">
        <v>350</v>
      </c>
      <c r="U1049">
        <v>26</v>
      </c>
      <c r="V1049">
        <v>1465</v>
      </c>
      <c r="W1049" t="s">
        <v>121</v>
      </c>
      <c r="X1049" t="s">
        <v>1</v>
      </c>
      <c r="Y1049">
        <v>6176073.75</v>
      </c>
      <c r="Z1049">
        <v>169207500</v>
      </c>
      <c r="AA1049">
        <v>512750</v>
      </c>
      <c r="AB1049">
        <v>106</v>
      </c>
      <c r="AC1049" s="34">
        <v>45984</v>
      </c>
      <c r="AD1049" s="34">
        <v>46173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 t="s">
        <v>122</v>
      </c>
      <c r="AT1049">
        <v>69300</v>
      </c>
      <c r="AU1049">
        <v>2529.4499999999998</v>
      </c>
      <c r="AV1049">
        <v>101524500</v>
      </c>
      <c r="AW1049">
        <v>3705644.25</v>
      </c>
    </row>
    <row r="1050" spans="1:49" hidden="1" x14ac:dyDescent="0.35">
      <c r="A1050">
        <v>5853110</v>
      </c>
      <c r="B1050">
        <v>1090005853101</v>
      </c>
      <c r="D1050">
        <v>20117223273</v>
      </c>
      <c r="E1050" t="s">
        <v>1035</v>
      </c>
      <c r="F1050" t="s">
        <v>1</v>
      </c>
      <c r="G1050" t="s">
        <v>680</v>
      </c>
      <c r="H1050" t="s">
        <v>55</v>
      </c>
      <c r="I1050">
        <v>6220</v>
      </c>
      <c r="J1050">
        <v>21</v>
      </c>
      <c r="K1050" t="s">
        <v>33</v>
      </c>
      <c r="L1050">
        <v>6127</v>
      </c>
      <c r="M1050" t="s">
        <v>118</v>
      </c>
      <c r="N1050">
        <v>6</v>
      </c>
      <c r="O1050" t="s">
        <v>119</v>
      </c>
      <c r="P1050" t="s">
        <v>1572</v>
      </c>
      <c r="Q1050">
        <v>3832.5</v>
      </c>
      <c r="R1050">
        <v>105000</v>
      </c>
      <c r="S1050">
        <v>150</v>
      </c>
      <c r="T1050">
        <v>700</v>
      </c>
      <c r="U1050">
        <v>26</v>
      </c>
      <c r="V1050">
        <v>1465</v>
      </c>
      <c r="W1050" t="s">
        <v>121</v>
      </c>
      <c r="X1050" t="s">
        <v>1</v>
      </c>
      <c r="Y1050">
        <v>5614612.5</v>
      </c>
      <c r="Z1050">
        <v>153825000</v>
      </c>
      <c r="AA1050">
        <v>1025500</v>
      </c>
      <c r="AB1050">
        <v>106</v>
      </c>
      <c r="AC1050" s="34">
        <v>45984</v>
      </c>
      <c r="AD1050" s="34">
        <v>46173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 t="s">
        <v>122</v>
      </c>
      <c r="AT1050">
        <v>63000</v>
      </c>
      <c r="AU1050">
        <v>2299.5</v>
      </c>
      <c r="AV1050">
        <v>92295000</v>
      </c>
      <c r="AW1050">
        <v>3368767.5</v>
      </c>
    </row>
    <row r="1051" spans="1:49" hidden="1" x14ac:dyDescent="0.35">
      <c r="A1051">
        <v>5853210</v>
      </c>
      <c r="B1051">
        <v>1090005853201</v>
      </c>
      <c r="D1051">
        <v>20117223273</v>
      </c>
      <c r="E1051" t="s">
        <v>1035</v>
      </c>
      <c r="F1051" t="s">
        <v>1</v>
      </c>
      <c r="G1051" t="s">
        <v>57</v>
      </c>
      <c r="H1051" t="s">
        <v>57</v>
      </c>
      <c r="I1051">
        <v>8200</v>
      </c>
      <c r="J1051">
        <v>21</v>
      </c>
      <c r="K1051" t="s">
        <v>33</v>
      </c>
      <c r="L1051">
        <v>6127</v>
      </c>
      <c r="M1051" t="s">
        <v>118</v>
      </c>
      <c r="N1051">
        <v>1</v>
      </c>
      <c r="O1051" t="s">
        <v>119</v>
      </c>
      <c r="P1051" t="s">
        <v>1573</v>
      </c>
      <c r="Q1051">
        <v>3663.38</v>
      </c>
      <c r="R1051">
        <v>133700</v>
      </c>
      <c r="S1051">
        <v>191</v>
      </c>
      <c r="T1051">
        <v>700</v>
      </c>
      <c r="U1051">
        <v>26</v>
      </c>
      <c r="V1051">
        <v>1465</v>
      </c>
      <c r="W1051" t="s">
        <v>121</v>
      </c>
      <c r="X1051" t="s">
        <v>1</v>
      </c>
      <c r="Y1051">
        <v>5366851.7</v>
      </c>
      <c r="Z1051">
        <v>195870500</v>
      </c>
      <c r="AA1051">
        <v>1025500</v>
      </c>
      <c r="AB1051">
        <v>106</v>
      </c>
      <c r="AC1051" s="34">
        <v>45984</v>
      </c>
      <c r="AD1051" s="34">
        <v>46173</v>
      </c>
      <c r="AF1051">
        <v>0</v>
      </c>
      <c r="AG1051">
        <v>4718.28</v>
      </c>
      <c r="AH1051">
        <v>0</v>
      </c>
      <c r="AI1051">
        <v>6912280.2000000002</v>
      </c>
      <c r="AJ1051">
        <v>0</v>
      </c>
      <c r="AK1051">
        <v>0</v>
      </c>
      <c r="AL1051">
        <v>1734984.85</v>
      </c>
      <c r="AM1051">
        <v>0</v>
      </c>
      <c r="AN1051">
        <v>8647265.0500000007</v>
      </c>
      <c r="AO1051" t="s">
        <v>122</v>
      </c>
      <c r="AP1051">
        <v>12</v>
      </c>
      <c r="AQ1051">
        <v>566.19000000000005</v>
      </c>
      <c r="AR1051">
        <v>829468.35</v>
      </c>
      <c r="AT1051">
        <v>80220</v>
      </c>
      <c r="AU1051">
        <v>2198.0300000000002</v>
      </c>
      <c r="AV1051">
        <v>117522300</v>
      </c>
      <c r="AW1051">
        <v>3220113.95</v>
      </c>
    </row>
    <row r="1052" spans="1:49" hidden="1" x14ac:dyDescent="0.35">
      <c r="A1052">
        <v>5853210</v>
      </c>
      <c r="B1052">
        <v>1090005853201</v>
      </c>
      <c r="D1052">
        <v>20117223273</v>
      </c>
      <c r="E1052" t="s">
        <v>1035</v>
      </c>
      <c r="F1052" t="s">
        <v>1</v>
      </c>
      <c r="G1052" t="s">
        <v>57</v>
      </c>
      <c r="H1052" t="s">
        <v>57</v>
      </c>
      <c r="I1052">
        <v>8200</v>
      </c>
      <c r="J1052">
        <v>21</v>
      </c>
      <c r="K1052" t="s">
        <v>33</v>
      </c>
      <c r="L1052">
        <v>6127</v>
      </c>
      <c r="M1052" t="s">
        <v>118</v>
      </c>
      <c r="N1052">
        <v>2</v>
      </c>
      <c r="O1052" t="s">
        <v>119</v>
      </c>
      <c r="P1052" t="s">
        <v>1574</v>
      </c>
      <c r="Q1052">
        <v>1054.9000000000001</v>
      </c>
      <c r="R1052">
        <v>38500</v>
      </c>
      <c r="S1052">
        <v>55</v>
      </c>
      <c r="T1052">
        <v>700</v>
      </c>
      <c r="U1052">
        <v>26</v>
      </c>
      <c r="V1052">
        <v>1465</v>
      </c>
      <c r="W1052" t="s">
        <v>121</v>
      </c>
      <c r="X1052" t="s">
        <v>1</v>
      </c>
      <c r="Y1052">
        <v>1545428.5</v>
      </c>
      <c r="Z1052">
        <v>56402500</v>
      </c>
      <c r="AA1052">
        <v>1025500</v>
      </c>
      <c r="AB1052">
        <v>106</v>
      </c>
      <c r="AC1052" s="34">
        <v>45984</v>
      </c>
      <c r="AD1052" s="34">
        <v>46173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 t="s">
        <v>122</v>
      </c>
      <c r="AT1052">
        <v>23100</v>
      </c>
      <c r="AU1052">
        <v>632.94000000000005</v>
      </c>
      <c r="AV1052">
        <v>33841500</v>
      </c>
      <c r="AW1052">
        <v>927257.1</v>
      </c>
    </row>
    <row r="1053" spans="1:49" hidden="1" x14ac:dyDescent="0.35">
      <c r="A1053">
        <v>5853310</v>
      </c>
      <c r="B1053">
        <v>1250005853301</v>
      </c>
      <c r="D1053">
        <v>23101701239</v>
      </c>
      <c r="E1053" t="s">
        <v>780</v>
      </c>
      <c r="F1053" t="s">
        <v>1</v>
      </c>
      <c r="G1053" t="s">
        <v>159</v>
      </c>
      <c r="H1053" t="s">
        <v>48</v>
      </c>
      <c r="I1053">
        <v>6120</v>
      </c>
      <c r="J1053">
        <v>3</v>
      </c>
      <c r="K1053" t="s">
        <v>32</v>
      </c>
      <c r="L1053">
        <v>4401</v>
      </c>
      <c r="M1053" t="s">
        <v>132</v>
      </c>
      <c r="N1053">
        <v>1</v>
      </c>
      <c r="O1053" t="s">
        <v>119</v>
      </c>
      <c r="P1053" t="s">
        <v>1575</v>
      </c>
      <c r="Q1053">
        <v>1117.2</v>
      </c>
      <c r="R1053">
        <v>29400</v>
      </c>
      <c r="S1053">
        <v>49</v>
      </c>
      <c r="T1053">
        <v>600</v>
      </c>
      <c r="U1053">
        <v>26</v>
      </c>
      <c r="V1053">
        <v>1465</v>
      </c>
      <c r="W1053" t="s">
        <v>121</v>
      </c>
      <c r="X1053" t="s">
        <v>1</v>
      </c>
      <c r="Y1053">
        <v>1636698</v>
      </c>
      <c r="Z1053">
        <v>43071000</v>
      </c>
      <c r="AA1053">
        <v>879000</v>
      </c>
      <c r="AB1053">
        <v>106</v>
      </c>
      <c r="AC1053" s="34">
        <v>46029</v>
      </c>
      <c r="AD1053" s="34">
        <v>46203</v>
      </c>
      <c r="AF1053">
        <v>0</v>
      </c>
      <c r="AG1053">
        <v>2120.4</v>
      </c>
      <c r="AH1053">
        <v>0</v>
      </c>
      <c r="AI1053">
        <v>3106386</v>
      </c>
      <c r="AJ1053">
        <v>0</v>
      </c>
      <c r="AK1053">
        <v>0</v>
      </c>
      <c r="AL1053">
        <v>810745.65</v>
      </c>
      <c r="AM1053">
        <v>0</v>
      </c>
      <c r="AN1053">
        <v>3917131.65</v>
      </c>
      <c r="AO1053" t="s">
        <v>122</v>
      </c>
      <c r="AP1053">
        <v>15</v>
      </c>
      <c r="AQ1053">
        <v>318.06</v>
      </c>
      <c r="AR1053">
        <v>465957.9</v>
      </c>
      <c r="AT1053">
        <v>17640</v>
      </c>
      <c r="AU1053">
        <v>670.32</v>
      </c>
      <c r="AV1053">
        <v>25842600</v>
      </c>
      <c r="AW1053">
        <v>982018.8</v>
      </c>
    </row>
    <row r="1054" spans="1:49" hidden="1" x14ac:dyDescent="0.35">
      <c r="A1054">
        <v>5853310</v>
      </c>
      <c r="B1054">
        <v>1250005853301</v>
      </c>
      <c r="D1054">
        <v>23101701239</v>
      </c>
      <c r="E1054" t="s">
        <v>780</v>
      </c>
      <c r="F1054" t="s">
        <v>1</v>
      </c>
      <c r="G1054" t="s">
        <v>432</v>
      </c>
      <c r="H1054" t="s">
        <v>48</v>
      </c>
      <c r="I1054">
        <v>6128</v>
      </c>
      <c r="J1054">
        <v>3</v>
      </c>
      <c r="K1054" t="s">
        <v>32</v>
      </c>
      <c r="L1054">
        <v>4401</v>
      </c>
      <c r="M1054" t="s">
        <v>132</v>
      </c>
      <c r="N1054">
        <v>2</v>
      </c>
      <c r="O1054" t="s">
        <v>119</v>
      </c>
      <c r="P1054" t="s">
        <v>1576</v>
      </c>
      <c r="Q1054">
        <v>1003.2</v>
      </c>
      <c r="R1054">
        <v>26400</v>
      </c>
      <c r="S1054">
        <v>44</v>
      </c>
      <c r="T1054">
        <v>600</v>
      </c>
      <c r="U1054">
        <v>26</v>
      </c>
      <c r="V1054">
        <v>1465</v>
      </c>
      <c r="W1054" t="s">
        <v>121</v>
      </c>
      <c r="X1054" t="s">
        <v>1</v>
      </c>
      <c r="Y1054">
        <v>1469688</v>
      </c>
      <c r="Z1054">
        <v>38676000</v>
      </c>
      <c r="AA1054">
        <v>879000</v>
      </c>
      <c r="AB1054">
        <v>106</v>
      </c>
      <c r="AC1054" s="34">
        <v>46029</v>
      </c>
      <c r="AD1054" s="34">
        <v>46203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 t="s">
        <v>122</v>
      </c>
      <c r="AT1054">
        <v>15840</v>
      </c>
      <c r="AU1054">
        <v>601.91999999999996</v>
      </c>
      <c r="AV1054">
        <v>23205600</v>
      </c>
      <c r="AW1054">
        <v>881812.8</v>
      </c>
    </row>
    <row r="1055" spans="1:49" hidden="1" x14ac:dyDescent="0.35">
      <c r="A1055">
        <v>5853410</v>
      </c>
      <c r="B1055">
        <v>1250005853401</v>
      </c>
      <c r="D1055">
        <v>23101701239</v>
      </c>
      <c r="E1055" t="s">
        <v>780</v>
      </c>
      <c r="F1055" t="s">
        <v>1</v>
      </c>
      <c r="G1055" t="s">
        <v>159</v>
      </c>
      <c r="H1055" t="s">
        <v>48</v>
      </c>
      <c r="I1055">
        <v>6120</v>
      </c>
      <c r="J1055">
        <v>3</v>
      </c>
      <c r="K1055" t="s">
        <v>32</v>
      </c>
      <c r="L1055">
        <v>4401</v>
      </c>
      <c r="M1055" t="s">
        <v>132</v>
      </c>
      <c r="N1055">
        <v>1</v>
      </c>
      <c r="O1055" t="s">
        <v>119</v>
      </c>
      <c r="P1055" t="s">
        <v>1577</v>
      </c>
      <c r="Q1055">
        <v>1176</v>
      </c>
      <c r="R1055">
        <v>29400</v>
      </c>
      <c r="S1055">
        <v>49</v>
      </c>
      <c r="T1055">
        <v>600</v>
      </c>
      <c r="U1055">
        <v>26</v>
      </c>
      <c r="V1055">
        <v>1465</v>
      </c>
      <c r="W1055" t="s">
        <v>121</v>
      </c>
      <c r="X1055" t="s">
        <v>1</v>
      </c>
      <c r="Y1055">
        <v>1722840</v>
      </c>
      <c r="Z1055">
        <v>43071000</v>
      </c>
      <c r="AA1055">
        <v>879000</v>
      </c>
      <c r="AB1055">
        <v>106</v>
      </c>
      <c r="AC1055" s="34">
        <v>46029</v>
      </c>
      <c r="AD1055" s="34">
        <v>46188</v>
      </c>
      <c r="AF1055">
        <v>0</v>
      </c>
      <c r="AG1055">
        <v>5736</v>
      </c>
      <c r="AH1055">
        <v>0</v>
      </c>
      <c r="AI1055">
        <v>8403240</v>
      </c>
      <c r="AJ1055">
        <v>0</v>
      </c>
      <c r="AK1055">
        <v>0</v>
      </c>
      <c r="AL1055">
        <v>2193251.5</v>
      </c>
      <c r="AM1055">
        <v>0</v>
      </c>
      <c r="AN1055">
        <v>10596491.5</v>
      </c>
      <c r="AO1055" t="s">
        <v>122</v>
      </c>
      <c r="AP1055">
        <v>15</v>
      </c>
      <c r="AQ1055">
        <v>860.4</v>
      </c>
      <c r="AR1055">
        <v>1260486</v>
      </c>
      <c r="AT1055">
        <v>17640</v>
      </c>
      <c r="AU1055">
        <v>705.6</v>
      </c>
      <c r="AV1055">
        <v>25842600</v>
      </c>
      <c r="AW1055">
        <v>1033704</v>
      </c>
    </row>
    <row r="1056" spans="1:49" hidden="1" x14ac:dyDescent="0.35">
      <c r="A1056">
        <v>5853410</v>
      </c>
      <c r="B1056">
        <v>1250005853401</v>
      </c>
      <c r="D1056">
        <v>23101701239</v>
      </c>
      <c r="E1056" t="s">
        <v>780</v>
      </c>
      <c r="F1056" t="s">
        <v>1</v>
      </c>
      <c r="G1056" t="s">
        <v>159</v>
      </c>
      <c r="H1056" t="s">
        <v>48</v>
      </c>
      <c r="I1056">
        <v>6120</v>
      </c>
      <c r="J1056">
        <v>3</v>
      </c>
      <c r="K1056" t="s">
        <v>32</v>
      </c>
      <c r="L1056">
        <v>4401</v>
      </c>
      <c r="M1056" t="s">
        <v>132</v>
      </c>
      <c r="N1056">
        <v>2</v>
      </c>
      <c r="O1056" t="s">
        <v>119</v>
      </c>
      <c r="P1056" t="s">
        <v>1578</v>
      </c>
      <c r="Q1056">
        <v>1920</v>
      </c>
      <c r="R1056">
        <v>48000</v>
      </c>
      <c r="S1056">
        <v>80</v>
      </c>
      <c r="T1056">
        <v>600</v>
      </c>
      <c r="U1056">
        <v>26</v>
      </c>
      <c r="V1056">
        <v>1465</v>
      </c>
      <c r="W1056" t="s">
        <v>121</v>
      </c>
      <c r="X1056" t="s">
        <v>1</v>
      </c>
      <c r="Y1056">
        <v>2812800</v>
      </c>
      <c r="Z1056">
        <v>70320000</v>
      </c>
      <c r="AA1056">
        <v>879000</v>
      </c>
      <c r="AB1056">
        <v>106</v>
      </c>
      <c r="AC1056" s="34">
        <v>46029</v>
      </c>
      <c r="AD1056" s="34">
        <v>46188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 t="s">
        <v>122</v>
      </c>
      <c r="AT1056">
        <v>28800</v>
      </c>
      <c r="AU1056">
        <v>1152</v>
      </c>
      <c r="AV1056">
        <v>42192000</v>
      </c>
      <c r="AW1056">
        <v>1687680</v>
      </c>
    </row>
    <row r="1057" spans="1:49" hidden="1" x14ac:dyDescent="0.35">
      <c r="A1057">
        <v>5853410</v>
      </c>
      <c r="B1057">
        <v>1250005853401</v>
      </c>
      <c r="D1057">
        <v>23101701239</v>
      </c>
      <c r="E1057" t="s">
        <v>780</v>
      </c>
      <c r="F1057" t="s">
        <v>1</v>
      </c>
      <c r="G1057" t="s">
        <v>432</v>
      </c>
      <c r="H1057" t="s">
        <v>48</v>
      </c>
      <c r="I1057">
        <v>6128</v>
      </c>
      <c r="J1057">
        <v>3</v>
      </c>
      <c r="K1057" t="s">
        <v>32</v>
      </c>
      <c r="L1057">
        <v>4401</v>
      </c>
      <c r="M1057" t="s">
        <v>132</v>
      </c>
      <c r="N1057">
        <v>3</v>
      </c>
      <c r="O1057" t="s">
        <v>119</v>
      </c>
      <c r="P1057" t="s">
        <v>1579</v>
      </c>
      <c r="Q1057">
        <v>1440</v>
      </c>
      <c r="R1057">
        <v>36000</v>
      </c>
      <c r="S1057">
        <v>60</v>
      </c>
      <c r="T1057">
        <v>600</v>
      </c>
      <c r="U1057">
        <v>26</v>
      </c>
      <c r="V1057">
        <v>1465</v>
      </c>
      <c r="W1057" t="s">
        <v>121</v>
      </c>
      <c r="X1057" t="s">
        <v>1</v>
      </c>
      <c r="Y1057">
        <v>2109600</v>
      </c>
      <c r="Z1057">
        <v>52740000</v>
      </c>
      <c r="AA1057">
        <v>879000</v>
      </c>
      <c r="AB1057">
        <v>106</v>
      </c>
      <c r="AC1057" s="34">
        <v>46029</v>
      </c>
      <c r="AD1057" s="34">
        <v>46188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 t="s">
        <v>122</v>
      </c>
      <c r="AT1057">
        <v>21600</v>
      </c>
      <c r="AU1057">
        <v>864</v>
      </c>
      <c r="AV1057">
        <v>31644000</v>
      </c>
      <c r="AW1057">
        <v>1265760</v>
      </c>
    </row>
    <row r="1058" spans="1:49" hidden="1" x14ac:dyDescent="0.35">
      <c r="A1058">
        <v>5853410</v>
      </c>
      <c r="B1058">
        <v>1250005853401</v>
      </c>
      <c r="D1058">
        <v>23101701239</v>
      </c>
      <c r="E1058" t="s">
        <v>780</v>
      </c>
      <c r="F1058" t="s">
        <v>1</v>
      </c>
      <c r="G1058" t="s">
        <v>432</v>
      </c>
      <c r="H1058" t="s">
        <v>48</v>
      </c>
      <c r="I1058">
        <v>6128</v>
      </c>
      <c r="J1058">
        <v>3</v>
      </c>
      <c r="K1058" t="s">
        <v>32</v>
      </c>
      <c r="L1058">
        <v>4401</v>
      </c>
      <c r="M1058" t="s">
        <v>132</v>
      </c>
      <c r="N1058">
        <v>4</v>
      </c>
      <c r="O1058" t="s">
        <v>119</v>
      </c>
      <c r="P1058" t="s">
        <v>1580</v>
      </c>
      <c r="Q1058">
        <v>1200</v>
      </c>
      <c r="R1058">
        <v>30000</v>
      </c>
      <c r="S1058">
        <v>50</v>
      </c>
      <c r="T1058">
        <v>600</v>
      </c>
      <c r="U1058">
        <v>26</v>
      </c>
      <c r="V1058">
        <v>1465</v>
      </c>
      <c r="W1058" t="s">
        <v>121</v>
      </c>
      <c r="X1058" t="s">
        <v>1</v>
      </c>
      <c r="Y1058">
        <v>1758000</v>
      </c>
      <c r="Z1058">
        <v>43950000</v>
      </c>
      <c r="AA1058">
        <v>879000</v>
      </c>
      <c r="AB1058">
        <v>106</v>
      </c>
      <c r="AC1058" s="34">
        <v>46029</v>
      </c>
      <c r="AD1058" s="34">
        <v>46188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 t="s">
        <v>122</v>
      </c>
      <c r="AT1058">
        <v>18000</v>
      </c>
      <c r="AU1058">
        <v>720</v>
      </c>
      <c r="AV1058">
        <v>26370000</v>
      </c>
      <c r="AW1058">
        <v>1054800</v>
      </c>
    </row>
    <row r="1059" spans="1:49" hidden="1" x14ac:dyDescent="0.35">
      <c r="A1059">
        <v>5853510</v>
      </c>
      <c r="B1059">
        <v>1250005853501</v>
      </c>
      <c r="D1059">
        <v>20108895439</v>
      </c>
      <c r="E1059" t="s">
        <v>269</v>
      </c>
      <c r="F1059" t="s">
        <v>1</v>
      </c>
      <c r="G1059" t="s">
        <v>1581</v>
      </c>
      <c r="H1059" t="s">
        <v>23</v>
      </c>
      <c r="I1059">
        <v>6105</v>
      </c>
      <c r="J1059">
        <v>1</v>
      </c>
      <c r="K1059" t="s">
        <v>16</v>
      </c>
      <c r="L1059">
        <v>4401</v>
      </c>
      <c r="M1059" t="s">
        <v>132</v>
      </c>
      <c r="N1059">
        <v>1</v>
      </c>
      <c r="O1059" t="s">
        <v>119</v>
      </c>
      <c r="P1059" t="s">
        <v>1582</v>
      </c>
      <c r="Q1059">
        <v>2400</v>
      </c>
      <c r="R1059">
        <v>60000</v>
      </c>
      <c r="S1059">
        <v>120</v>
      </c>
      <c r="T1059">
        <v>500</v>
      </c>
      <c r="U1059">
        <v>26</v>
      </c>
      <c r="V1059">
        <v>1465</v>
      </c>
      <c r="W1059" t="s">
        <v>121</v>
      </c>
      <c r="X1059" t="s">
        <v>1</v>
      </c>
      <c r="Y1059">
        <v>3516000</v>
      </c>
      <c r="Z1059">
        <v>87900000</v>
      </c>
      <c r="AA1059">
        <v>732500</v>
      </c>
      <c r="AB1059">
        <v>106</v>
      </c>
      <c r="AC1059" s="34">
        <v>46029</v>
      </c>
      <c r="AD1059" s="34">
        <v>46173</v>
      </c>
      <c r="AF1059">
        <v>0</v>
      </c>
      <c r="AG1059">
        <v>2400</v>
      </c>
      <c r="AH1059">
        <v>0</v>
      </c>
      <c r="AI1059">
        <v>3516000</v>
      </c>
      <c r="AJ1059">
        <v>0</v>
      </c>
      <c r="AK1059">
        <v>0</v>
      </c>
      <c r="AL1059">
        <v>882516</v>
      </c>
      <c r="AM1059">
        <v>0</v>
      </c>
      <c r="AN1059">
        <v>4398516</v>
      </c>
      <c r="AO1059" t="s">
        <v>122</v>
      </c>
      <c r="AP1059">
        <v>15</v>
      </c>
      <c r="AQ1059">
        <v>360</v>
      </c>
      <c r="AR1059">
        <v>527400</v>
      </c>
      <c r="AT1059">
        <v>36000</v>
      </c>
      <c r="AU1059">
        <v>1440</v>
      </c>
      <c r="AV1059">
        <v>52740000</v>
      </c>
      <c r="AW1059">
        <v>2109600</v>
      </c>
    </row>
    <row r="1060" spans="1:49" hidden="1" x14ac:dyDescent="0.35">
      <c r="A1060">
        <v>5853610</v>
      </c>
      <c r="B1060">
        <v>1250005853601</v>
      </c>
      <c r="D1060">
        <v>20108895439</v>
      </c>
      <c r="E1060" t="s">
        <v>269</v>
      </c>
      <c r="F1060" t="s">
        <v>1</v>
      </c>
      <c r="G1060" t="s">
        <v>1581</v>
      </c>
      <c r="H1060" t="s">
        <v>23</v>
      </c>
      <c r="I1060">
        <v>6105</v>
      </c>
      <c r="J1060">
        <v>1</v>
      </c>
      <c r="K1060" t="s">
        <v>16</v>
      </c>
      <c r="L1060">
        <v>4401</v>
      </c>
      <c r="M1060" t="s">
        <v>132</v>
      </c>
      <c r="N1060">
        <v>1</v>
      </c>
      <c r="O1060" t="s">
        <v>119</v>
      </c>
      <c r="P1060" t="s">
        <v>1583</v>
      </c>
      <c r="Q1060">
        <v>1824</v>
      </c>
      <c r="R1060">
        <v>45600</v>
      </c>
      <c r="S1060">
        <v>114</v>
      </c>
      <c r="T1060">
        <v>400</v>
      </c>
      <c r="U1060">
        <v>26</v>
      </c>
      <c r="V1060">
        <v>1465</v>
      </c>
      <c r="W1060" t="s">
        <v>121</v>
      </c>
      <c r="X1060" t="s">
        <v>1</v>
      </c>
      <c r="Y1060">
        <v>2672160</v>
      </c>
      <c r="Z1060">
        <v>66804000</v>
      </c>
      <c r="AA1060">
        <v>586000</v>
      </c>
      <c r="AB1060">
        <v>106</v>
      </c>
      <c r="AC1060" s="34">
        <v>46029</v>
      </c>
      <c r="AD1060" s="34">
        <v>46188</v>
      </c>
      <c r="AF1060">
        <v>0</v>
      </c>
      <c r="AG1060">
        <v>1824</v>
      </c>
      <c r="AH1060">
        <v>0</v>
      </c>
      <c r="AI1060">
        <v>2672160</v>
      </c>
      <c r="AJ1060">
        <v>0</v>
      </c>
      <c r="AK1060">
        <v>0</v>
      </c>
      <c r="AL1060">
        <v>670706.30000000005</v>
      </c>
      <c r="AM1060">
        <v>0</v>
      </c>
      <c r="AN1060">
        <v>3342866.3</v>
      </c>
      <c r="AO1060" t="s">
        <v>122</v>
      </c>
      <c r="AP1060">
        <v>15</v>
      </c>
      <c r="AQ1060">
        <v>273.60000000000002</v>
      </c>
      <c r="AR1060">
        <v>400824</v>
      </c>
      <c r="AT1060">
        <v>27360</v>
      </c>
      <c r="AU1060">
        <v>1094.4000000000001</v>
      </c>
      <c r="AV1060">
        <v>40082400</v>
      </c>
      <c r="AW1060">
        <v>1603296</v>
      </c>
    </row>
    <row r="1061" spans="1:49" hidden="1" x14ac:dyDescent="0.35">
      <c r="A1061">
        <v>5853710</v>
      </c>
      <c r="B1061">
        <v>5010005853701</v>
      </c>
      <c r="D1061">
        <v>20209151333</v>
      </c>
      <c r="E1061" t="s">
        <v>1211</v>
      </c>
      <c r="F1061" t="s">
        <v>1</v>
      </c>
      <c r="G1061" t="s">
        <v>1263</v>
      </c>
      <c r="H1061" t="s">
        <v>68</v>
      </c>
      <c r="I1061">
        <v>6270</v>
      </c>
      <c r="J1061">
        <v>3</v>
      </c>
      <c r="K1061" t="s">
        <v>32</v>
      </c>
      <c r="L1061">
        <v>11014</v>
      </c>
      <c r="M1061" t="s">
        <v>232</v>
      </c>
      <c r="N1061">
        <v>1</v>
      </c>
      <c r="O1061" t="s">
        <v>119</v>
      </c>
      <c r="P1061" t="s">
        <v>1584</v>
      </c>
      <c r="Q1061">
        <v>4543.1099999999997</v>
      </c>
      <c r="R1061">
        <v>114725</v>
      </c>
      <c r="S1061">
        <v>353</v>
      </c>
      <c r="T1061">
        <v>325</v>
      </c>
      <c r="U1061">
        <v>26</v>
      </c>
      <c r="V1061">
        <v>1465</v>
      </c>
      <c r="W1061" t="s">
        <v>121</v>
      </c>
      <c r="X1061" t="s">
        <v>1</v>
      </c>
      <c r="Y1061">
        <v>6655656.1500000004</v>
      </c>
      <c r="Z1061">
        <v>168072125</v>
      </c>
      <c r="AA1061">
        <v>476125</v>
      </c>
      <c r="AB1061">
        <v>210</v>
      </c>
      <c r="AC1061" s="34">
        <v>46015</v>
      </c>
      <c r="AD1061" s="34">
        <v>46142</v>
      </c>
      <c r="AF1061">
        <v>1</v>
      </c>
      <c r="AG1061">
        <v>4543.1099999999997</v>
      </c>
      <c r="AH1061">
        <v>0</v>
      </c>
      <c r="AI1061">
        <v>6655656.1500000004</v>
      </c>
      <c r="AJ1061">
        <v>0</v>
      </c>
      <c r="AK1061">
        <v>0</v>
      </c>
      <c r="AL1061">
        <v>1737123.75</v>
      </c>
      <c r="AM1061">
        <v>0</v>
      </c>
      <c r="AN1061">
        <v>8392779.9000000004</v>
      </c>
      <c r="AO1061" t="s">
        <v>122</v>
      </c>
      <c r="AP1061">
        <v>15</v>
      </c>
      <c r="AQ1061">
        <v>681.47</v>
      </c>
      <c r="AR1061">
        <v>998353.55</v>
      </c>
      <c r="AT1061">
        <v>68835</v>
      </c>
      <c r="AU1061">
        <v>2725.87</v>
      </c>
      <c r="AV1061">
        <v>100843275</v>
      </c>
      <c r="AW1061">
        <v>3993399.55</v>
      </c>
    </row>
    <row r="1062" spans="1:49" x14ac:dyDescent="0.35">
      <c r="A1062">
        <v>5853810</v>
      </c>
      <c r="B1062">
        <v>5010005853801</v>
      </c>
      <c r="D1062">
        <v>20209151333</v>
      </c>
      <c r="E1062" t="s">
        <v>1211</v>
      </c>
      <c r="F1062" t="s">
        <v>1</v>
      </c>
      <c r="G1062" t="s">
        <v>1263</v>
      </c>
      <c r="H1062" t="s">
        <v>68</v>
      </c>
      <c r="I1062">
        <v>6270</v>
      </c>
      <c r="J1062">
        <v>3</v>
      </c>
      <c r="K1062" t="s">
        <v>32</v>
      </c>
      <c r="L1062">
        <v>11014</v>
      </c>
      <c r="M1062" t="s">
        <v>232</v>
      </c>
      <c r="N1062">
        <v>1</v>
      </c>
      <c r="O1062" t="s">
        <v>119</v>
      </c>
      <c r="P1062" t="s">
        <v>1585</v>
      </c>
      <c r="Q1062">
        <v>2141.4</v>
      </c>
      <c r="R1062" s="60">
        <v>51600</v>
      </c>
      <c r="S1062">
        <v>344</v>
      </c>
      <c r="T1062">
        <v>150</v>
      </c>
      <c r="U1062">
        <v>26</v>
      </c>
      <c r="V1062">
        <v>1465</v>
      </c>
      <c r="W1062" t="s">
        <v>121</v>
      </c>
      <c r="X1062" t="s">
        <v>1</v>
      </c>
      <c r="Y1062" s="60">
        <v>3137151</v>
      </c>
      <c r="Z1062" s="60">
        <v>75594000</v>
      </c>
      <c r="AA1062">
        <v>219750</v>
      </c>
      <c r="AB1062">
        <v>106</v>
      </c>
      <c r="AC1062" s="34">
        <v>46015</v>
      </c>
      <c r="AD1062" s="34">
        <v>46173</v>
      </c>
      <c r="AF1062">
        <v>1</v>
      </c>
      <c r="AG1062">
        <v>2141.4</v>
      </c>
      <c r="AH1062">
        <v>0</v>
      </c>
      <c r="AI1062">
        <v>3137151</v>
      </c>
      <c r="AJ1062">
        <v>0</v>
      </c>
      <c r="AK1062">
        <v>0</v>
      </c>
      <c r="AL1062">
        <v>818788.5</v>
      </c>
      <c r="AM1062">
        <v>0</v>
      </c>
      <c r="AN1062">
        <v>3955939.5</v>
      </c>
      <c r="AO1062" t="s">
        <v>122</v>
      </c>
      <c r="AP1062">
        <v>15</v>
      </c>
      <c r="AQ1062">
        <v>321.20999999999998</v>
      </c>
      <c r="AR1062">
        <v>470572.65</v>
      </c>
      <c r="AT1062">
        <v>30960</v>
      </c>
      <c r="AU1062">
        <v>1284.8399999999999</v>
      </c>
      <c r="AV1062">
        <v>45356400</v>
      </c>
      <c r="AW1062">
        <v>1882290.6</v>
      </c>
    </row>
    <row r="1063" spans="1:49" hidden="1" x14ac:dyDescent="0.35">
      <c r="A1063">
        <v>5853910</v>
      </c>
      <c r="B1063">
        <v>1090005853901</v>
      </c>
      <c r="D1063">
        <v>20271081864</v>
      </c>
      <c r="E1063" t="s">
        <v>1586</v>
      </c>
      <c r="F1063" t="s">
        <v>1</v>
      </c>
      <c r="G1063" t="s">
        <v>395</v>
      </c>
      <c r="H1063" t="s">
        <v>56</v>
      </c>
      <c r="I1063">
        <v>6380</v>
      </c>
      <c r="J1063">
        <v>21</v>
      </c>
      <c r="K1063" t="s">
        <v>33</v>
      </c>
      <c r="L1063">
        <v>82963</v>
      </c>
      <c r="M1063" t="s">
        <v>396</v>
      </c>
      <c r="N1063">
        <v>1</v>
      </c>
      <c r="O1063" t="s">
        <v>119</v>
      </c>
      <c r="P1063" t="s">
        <v>1587</v>
      </c>
      <c r="Q1063">
        <v>2178000</v>
      </c>
      <c r="R1063">
        <v>66000000</v>
      </c>
      <c r="S1063">
        <v>165</v>
      </c>
      <c r="T1063">
        <v>400000</v>
      </c>
      <c r="U1063">
        <v>1</v>
      </c>
      <c r="V1063">
        <v>1</v>
      </c>
      <c r="W1063" t="s">
        <v>121</v>
      </c>
      <c r="X1063" t="s">
        <v>1</v>
      </c>
      <c r="Y1063">
        <v>2178000</v>
      </c>
      <c r="Z1063">
        <v>66000000</v>
      </c>
      <c r="AA1063">
        <v>400000</v>
      </c>
      <c r="AB1063">
        <v>105</v>
      </c>
      <c r="AC1063" s="34">
        <v>45986</v>
      </c>
      <c r="AD1063" s="34">
        <v>46112</v>
      </c>
      <c r="AE1063" t="s">
        <v>161</v>
      </c>
      <c r="AF1063">
        <v>0</v>
      </c>
      <c r="AG1063">
        <v>2178000</v>
      </c>
      <c r="AH1063">
        <v>0</v>
      </c>
      <c r="AI1063">
        <v>2178000</v>
      </c>
      <c r="AJ1063">
        <v>0</v>
      </c>
      <c r="AK1063">
        <v>0</v>
      </c>
      <c r="AL1063">
        <v>546678</v>
      </c>
      <c r="AM1063">
        <v>0</v>
      </c>
      <c r="AN1063">
        <v>2724678</v>
      </c>
      <c r="AO1063" t="s">
        <v>122</v>
      </c>
      <c r="AP1063">
        <v>15</v>
      </c>
      <c r="AQ1063">
        <v>326700</v>
      </c>
      <c r="AR1063">
        <v>326700</v>
      </c>
      <c r="AT1063">
        <v>39600000</v>
      </c>
      <c r="AU1063">
        <v>1306800</v>
      </c>
      <c r="AV1063">
        <v>39600000</v>
      </c>
      <c r="AW1063">
        <v>1306800</v>
      </c>
    </row>
    <row r="1064" spans="1:49" hidden="1" x14ac:dyDescent="0.35">
      <c r="A1064">
        <v>5854010</v>
      </c>
      <c r="B1064">
        <v>1090005854001</v>
      </c>
      <c r="D1064">
        <v>20271081864</v>
      </c>
      <c r="E1064" t="s">
        <v>1586</v>
      </c>
      <c r="F1064" t="s">
        <v>1</v>
      </c>
      <c r="G1064" t="s">
        <v>395</v>
      </c>
      <c r="H1064" t="s">
        <v>56</v>
      </c>
      <c r="I1064">
        <v>6380</v>
      </c>
      <c r="J1064">
        <v>21</v>
      </c>
      <c r="K1064" t="s">
        <v>33</v>
      </c>
      <c r="L1064">
        <v>82963</v>
      </c>
      <c r="M1064" t="s">
        <v>396</v>
      </c>
      <c r="N1064">
        <v>1</v>
      </c>
      <c r="O1064" t="s">
        <v>119</v>
      </c>
      <c r="P1064" t="s">
        <v>998</v>
      </c>
      <c r="Q1064">
        <v>1848000</v>
      </c>
      <c r="R1064">
        <v>56000000</v>
      </c>
      <c r="S1064">
        <v>112</v>
      </c>
      <c r="T1064">
        <v>500000</v>
      </c>
      <c r="U1064">
        <v>1</v>
      </c>
      <c r="V1064">
        <v>1</v>
      </c>
      <c r="W1064" t="s">
        <v>121</v>
      </c>
      <c r="X1064" t="s">
        <v>1</v>
      </c>
      <c r="Y1064">
        <v>1848000</v>
      </c>
      <c r="Z1064">
        <v>56000000</v>
      </c>
      <c r="AA1064">
        <v>500000</v>
      </c>
      <c r="AB1064">
        <v>105</v>
      </c>
      <c r="AC1064" s="34">
        <v>45986</v>
      </c>
      <c r="AD1064" s="34">
        <v>46112</v>
      </c>
      <c r="AE1064" t="s">
        <v>161</v>
      </c>
      <c r="AF1064">
        <v>0</v>
      </c>
      <c r="AG1064">
        <v>1848000</v>
      </c>
      <c r="AH1064">
        <v>0</v>
      </c>
      <c r="AI1064">
        <v>1848000</v>
      </c>
      <c r="AJ1064">
        <v>0</v>
      </c>
      <c r="AK1064">
        <v>0</v>
      </c>
      <c r="AL1064">
        <v>463848</v>
      </c>
      <c r="AM1064">
        <v>0</v>
      </c>
      <c r="AN1064">
        <v>2311848</v>
      </c>
      <c r="AO1064" t="s">
        <v>122</v>
      </c>
      <c r="AP1064">
        <v>15</v>
      </c>
      <c r="AQ1064">
        <v>277200</v>
      </c>
      <c r="AR1064">
        <v>277200</v>
      </c>
      <c r="AT1064">
        <v>33600000</v>
      </c>
      <c r="AU1064">
        <v>1108800</v>
      </c>
      <c r="AV1064">
        <v>33600000</v>
      </c>
      <c r="AW1064">
        <v>1108800</v>
      </c>
    </row>
    <row r="1065" spans="1:49" hidden="1" x14ac:dyDescent="0.35">
      <c r="A1065">
        <v>5854110</v>
      </c>
      <c r="B1065">
        <v>1170005854101</v>
      </c>
      <c r="D1065">
        <v>27059199043</v>
      </c>
      <c r="E1065" t="s">
        <v>688</v>
      </c>
      <c r="F1065" t="s">
        <v>1</v>
      </c>
      <c r="G1065" t="s">
        <v>226</v>
      </c>
      <c r="H1065" t="s">
        <v>63</v>
      </c>
      <c r="I1065">
        <v>2535</v>
      </c>
      <c r="J1065">
        <v>12</v>
      </c>
      <c r="K1065" t="s">
        <v>34</v>
      </c>
      <c r="L1065">
        <v>83429</v>
      </c>
      <c r="M1065" t="s">
        <v>140</v>
      </c>
      <c r="N1065">
        <v>1</v>
      </c>
      <c r="O1065" t="s">
        <v>119</v>
      </c>
      <c r="P1065" t="s">
        <v>1588</v>
      </c>
      <c r="Q1065">
        <v>2580039</v>
      </c>
      <c r="R1065">
        <v>124740000</v>
      </c>
      <c r="S1065">
        <v>168</v>
      </c>
      <c r="T1065">
        <v>742500</v>
      </c>
      <c r="U1065">
        <v>1</v>
      </c>
      <c r="V1065">
        <v>1</v>
      </c>
      <c r="W1065" t="s">
        <v>127</v>
      </c>
      <c r="X1065">
        <v>29700</v>
      </c>
      <c r="Y1065">
        <v>2580039</v>
      </c>
      <c r="Z1065">
        <v>124740000</v>
      </c>
      <c r="AA1065">
        <v>742500</v>
      </c>
      <c r="AB1065">
        <v>105</v>
      </c>
      <c r="AC1065" s="34">
        <v>46035</v>
      </c>
      <c r="AD1065" s="34">
        <v>46188</v>
      </c>
      <c r="AF1065">
        <v>0</v>
      </c>
      <c r="AG1065">
        <v>2580039</v>
      </c>
      <c r="AH1065">
        <v>0</v>
      </c>
      <c r="AI1065">
        <v>2580039</v>
      </c>
      <c r="AJ1065">
        <v>0</v>
      </c>
      <c r="AK1065">
        <v>0</v>
      </c>
      <c r="AL1065">
        <v>660489.99</v>
      </c>
      <c r="AM1065">
        <v>0</v>
      </c>
      <c r="AN1065">
        <v>3240528.99</v>
      </c>
      <c r="AO1065" t="s">
        <v>122</v>
      </c>
      <c r="AP1065">
        <v>15</v>
      </c>
      <c r="AQ1065">
        <v>387005.85</v>
      </c>
      <c r="AR1065">
        <v>387005.85</v>
      </c>
      <c r="AT1065">
        <v>74844000</v>
      </c>
      <c r="AU1065">
        <v>1548023.4</v>
      </c>
      <c r="AV1065">
        <v>74844000</v>
      </c>
      <c r="AW1065">
        <v>1548023.4</v>
      </c>
    </row>
    <row r="1066" spans="1:49" hidden="1" x14ac:dyDescent="0.35">
      <c r="A1066">
        <v>5854210</v>
      </c>
      <c r="B1066">
        <v>1170005854201</v>
      </c>
      <c r="D1066">
        <v>27059199043</v>
      </c>
      <c r="E1066" t="s">
        <v>688</v>
      </c>
      <c r="F1066" t="s">
        <v>1</v>
      </c>
      <c r="G1066" t="s">
        <v>226</v>
      </c>
      <c r="H1066" t="s">
        <v>63</v>
      </c>
      <c r="I1066">
        <v>2535</v>
      </c>
      <c r="J1066">
        <v>12</v>
      </c>
      <c r="K1066" t="s">
        <v>34</v>
      </c>
      <c r="L1066">
        <v>83429</v>
      </c>
      <c r="M1066" t="s">
        <v>140</v>
      </c>
      <c r="N1066">
        <v>1</v>
      </c>
      <c r="O1066" t="s">
        <v>119</v>
      </c>
      <c r="P1066" t="s">
        <v>1589</v>
      </c>
      <c r="Q1066">
        <v>3317490</v>
      </c>
      <c r="R1066">
        <v>160380000</v>
      </c>
      <c r="S1066">
        <v>216</v>
      </c>
      <c r="T1066">
        <v>742500</v>
      </c>
      <c r="U1066">
        <v>1</v>
      </c>
      <c r="V1066">
        <v>1</v>
      </c>
      <c r="W1066" t="s">
        <v>127</v>
      </c>
      <c r="X1066">
        <v>29700</v>
      </c>
      <c r="Y1066">
        <v>3317490</v>
      </c>
      <c r="Z1066">
        <v>160380000</v>
      </c>
      <c r="AA1066">
        <v>742500</v>
      </c>
      <c r="AB1066">
        <v>105</v>
      </c>
      <c r="AC1066" s="34">
        <v>46035</v>
      </c>
      <c r="AD1066" s="34">
        <v>46173</v>
      </c>
      <c r="AF1066">
        <v>0</v>
      </c>
      <c r="AG1066">
        <v>3317490</v>
      </c>
      <c r="AH1066">
        <v>0</v>
      </c>
      <c r="AI1066">
        <v>3317490</v>
      </c>
      <c r="AJ1066">
        <v>0</v>
      </c>
      <c r="AK1066">
        <v>0</v>
      </c>
      <c r="AL1066">
        <v>849277.43999999994</v>
      </c>
      <c r="AM1066">
        <v>0</v>
      </c>
      <c r="AN1066">
        <v>4166767.44</v>
      </c>
      <c r="AO1066" t="s">
        <v>122</v>
      </c>
      <c r="AP1066">
        <v>15</v>
      </c>
      <c r="AQ1066">
        <v>497623.5</v>
      </c>
      <c r="AR1066">
        <v>497623.5</v>
      </c>
      <c r="AT1066">
        <v>96228000</v>
      </c>
      <c r="AU1066">
        <v>1990494</v>
      </c>
      <c r="AV1066">
        <v>96228000</v>
      </c>
      <c r="AW1066">
        <v>1990494</v>
      </c>
    </row>
    <row r="1067" spans="1:49" hidden="1" x14ac:dyDescent="0.35">
      <c r="A1067">
        <v>5854310</v>
      </c>
      <c r="B1067">
        <v>5010005854301</v>
      </c>
      <c r="D1067">
        <v>20293879533</v>
      </c>
      <c r="E1067" t="s">
        <v>645</v>
      </c>
      <c r="F1067" t="s">
        <v>1</v>
      </c>
      <c r="G1067" t="s">
        <v>65</v>
      </c>
      <c r="H1067" t="s">
        <v>65</v>
      </c>
      <c r="I1067">
        <v>6455</v>
      </c>
      <c r="J1067">
        <v>1</v>
      </c>
      <c r="K1067" t="s">
        <v>16</v>
      </c>
      <c r="L1067">
        <v>11014</v>
      </c>
      <c r="M1067" t="s">
        <v>232</v>
      </c>
      <c r="N1067">
        <v>1</v>
      </c>
      <c r="O1067" t="s">
        <v>119</v>
      </c>
      <c r="P1067" t="s">
        <v>1590</v>
      </c>
      <c r="Q1067">
        <v>2646270</v>
      </c>
      <c r="R1067">
        <v>133650000</v>
      </c>
      <c r="S1067">
        <v>150</v>
      </c>
      <c r="T1067">
        <v>891000</v>
      </c>
      <c r="U1067">
        <v>1</v>
      </c>
      <c r="V1067">
        <v>1</v>
      </c>
      <c r="W1067" t="s">
        <v>127</v>
      </c>
      <c r="X1067">
        <v>29700</v>
      </c>
      <c r="Y1067">
        <v>2646270</v>
      </c>
      <c r="Z1067">
        <v>133650000</v>
      </c>
      <c r="AA1067">
        <v>891000</v>
      </c>
      <c r="AB1067">
        <v>105</v>
      </c>
      <c r="AC1067" s="34">
        <v>46015</v>
      </c>
      <c r="AD1067" s="34">
        <v>46173</v>
      </c>
      <c r="AF1067">
        <v>0</v>
      </c>
      <c r="AG1067">
        <v>2646270</v>
      </c>
      <c r="AH1067">
        <v>0</v>
      </c>
      <c r="AI1067">
        <v>2646270</v>
      </c>
      <c r="AJ1067">
        <v>0</v>
      </c>
      <c r="AK1067">
        <v>0</v>
      </c>
      <c r="AL1067">
        <v>706554.09</v>
      </c>
      <c r="AM1067">
        <v>0</v>
      </c>
      <c r="AN1067">
        <v>3352824.09</v>
      </c>
      <c r="AO1067" t="s">
        <v>122</v>
      </c>
      <c r="AP1067">
        <v>15</v>
      </c>
      <c r="AQ1067">
        <v>396940.5</v>
      </c>
      <c r="AR1067">
        <v>396940.5</v>
      </c>
      <c r="AT1067">
        <v>80190000</v>
      </c>
      <c r="AU1067">
        <v>1587762</v>
      </c>
      <c r="AV1067">
        <v>80190000</v>
      </c>
      <c r="AW1067">
        <v>1587762</v>
      </c>
    </row>
    <row r="1068" spans="1:49" hidden="1" x14ac:dyDescent="0.35">
      <c r="A1068">
        <v>5854410</v>
      </c>
      <c r="B1068">
        <v>5010005854401</v>
      </c>
      <c r="D1068">
        <v>20293879533</v>
      </c>
      <c r="E1068" t="s">
        <v>645</v>
      </c>
      <c r="F1068" t="s">
        <v>1</v>
      </c>
      <c r="G1068" t="s">
        <v>65</v>
      </c>
      <c r="H1068" t="s">
        <v>65</v>
      </c>
      <c r="I1068">
        <v>6455</v>
      </c>
      <c r="J1068">
        <v>1</v>
      </c>
      <c r="K1068" t="s">
        <v>16</v>
      </c>
      <c r="L1068">
        <v>11014</v>
      </c>
      <c r="M1068" t="s">
        <v>232</v>
      </c>
      <c r="N1068">
        <v>1</v>
      </c>
      <c r="O1068" t="s">
        <v>119</v>
      </c>
      <c r="P1068" t="s">
        <v>1591</v>
      </c>
      <c r="Q1068">
        <v>1764180</v>
      </c>
      <c r="R1068">
        <v>89100000</v>
      </c>
      <c r="S1068">
        <v>150</v>
      </c>
      <c r="T1068">
        <v>594000</v>
      </c>
      <c r="U1068">
        <v>1</v>
      </c>
      <c r="V1068">
        <v>1</v>
      </c>
      <c r="W1068" t="s">
        <v>127</v>
      </c>
      <c r="X1068">
        <v>29700</v>
      </c>
      <c r="Y1068">
        <v>1764180</v>
      </c>
      <c r="Z1068">
        <v>89100000</v>
      </c>
      <c r="AA1068">
        <v>594000</v>
      </c>
      <c r="AB1068">
        <v>105</v>
      </c>
      <c r="AC1068" s="34">
        <v>46015</v>
      </c>
      <c r="AD1068" s="34">
        <v>46188</v>
      </c>
      <c r="AF1068">
        <v>0</v>
      </c>
      <c r="AG1068">
        <v>1764180</v>
      </c>
      <c r="AH1068">
        <v>0</v>
      </c>
      <c r="AI1068">
        <v>1764180</v>
      </c>
      <c r="AJ1068">
        <v>0</v>
      </c>
      <c r="AK1068">
        <v>0</v>
      </c>
      <c r="AL1068">
        <v>471036.06</v>
      </c>
      <c r="AM1068">
        <v>0</v>
      </c>
      <c r="AN1068">
        <v>2235216.06</v>
      </c>
      <c r="AO1068" t="s">
        <v>122</v>
      </c>
      <c r="AP1068">
        <v>15</v>
      </c>
      <c r="AQ1068">
        <v>264627</v>
      </c>
      <c r="AR1068">
        <v>264627</v>
      </c>
      <c r="AT1068">
        <v>53460000</v>
      </c>
      <c r="AU1068">
        <v>1058508</v>
      </c>
      <c r="AV1068">
        <v>53460000</v>
      </c>
      <c r="AW1068">
        <v>1058508</v>
      </c>
    </row>
    <row r="1069" spans="1:49" hidden="1" x14ac:dyDescent="0.35">
      <c r="A1069">
        <v>5854510</v>
      </c>
      <c r="B1069">
        <v>5010005854501</v>
      </c>
      <c r="D1069">
        <v>20409151427</v>
      </c>
      <c r="E1069" t="s">
        <v>231</v>
      </c>
      <c r="F1069" t="s">
        <v>1</v>
      </c>
      <c r="G1069" t="s">
        <v>65</v>
      </c>
      <c r="H1069" t="s">
        <v>65</v>
      </c>
      <c r="I1069">
        <v>6455</v>
      </c>
      <c r="J1069">
        <v>1</v>
      </c>
      <c r="K1069" t="s">
        <v>16</v>
      </c>
      <c r="L1069">
        <v>11014</v>
      </c>
      <c r="M1069" t="s">
        <v>232</v>
      </c>
      <c r="N1069">
        <v>1</v>
      </c>
      <c r="O1069" t="s">
        <v>119</v>
      </c>
      <c r="P1069" t="s">
        <v>1592</v>
      </c>
      <c r="Q1069">
        <v>3243240</v>
      </c>
      <c r="R1069">
        <v>155925000</v>
      </c>
      <c r="S1069">
        <v>150</v>
      </c>
      <c r="T1069">
        <v>1039500</v>
      </c>
      <c r="U1069">
        <v>1</v>
      </c>
      <c r="V1069">
        <v>1</v>
      </c>
      <c r="W1069" t="s">
        <v>127</v>
      </c>
      <c r="X1069">
        <v>29700</v>
      </c>
      <c r="Y1069">
        <v>3243240</v>
      </c>
      <c r="Z1069">
        <v>155925000</v>
      </c>
      <c r="AA1069">
        <v>1039500</v>
      </c>
      <c r="AB1069">
        <v>105</v>
      </c>
      <c r="AC1069" s="34">
        <v>46034</v>
      </c>
      <c r="AD1069" s="34">
        <v>46173</v>
      </c>
      <c r="AF1069">
        <v>0</v>
      </c>
      <c r="AG1069">
        <v>4982531.4000000004</v>
      </c>
      <c r="AH1069">
        <v>0</v>
      </c>
      <c r="AI1069">
        <v>4982531.4000000004</v>
      </c>
      <c r="AJ1069">
        <v>0</v>
      </c>
      <c r="AK1069">
        <v>0</v>
      </c>
      <c r="AL1069">
        <v>1250615.3799999999</v>
      </c>
      <c r="AM1069">
        <v>0</v>
      </c>
      <c r="AN1069">
        <v>6233146.7800000003</v>
      </c>
      <c r="AO1069" t="s">
        <v>122</v>
      </c>
      <c r="AP1069">
        <v>15</v>
      </c>
      <c r="AQ1069">
        <v>747379.71</v>
      </c>
      <c r="AR1069">
        <v>747379.71</v>
      </c>
      <c r="AT1069">
        <v>93555000</v>
      </c>
      <c r="AU1069">
        <v>1945944</v>
      </c>
      <c r="AV1069">
        <v>93555000</v>
      </c>
      <c r="AW1069">
        <v>1945944</v>
      </c>
    </row>
    <row r="1070" spans="1:49" hidden="1" x14ac:dyDescent="0.35">
      <c r="A1070">
        <v>5854510</v>
      </c>
      <c r="B1070">
        <v>5010005854501</v>
      </c>
      <c r="D1070">
        <v>20409151427</v>
      </c>
      <c r="E1070" t="s">
        <v>231</v>
      </c>
      <c r="F1070" t="s">
        <v>1</v>
      </c>
      <c r="G1070" t="s">
        <v>24</v>
      </c>
      <c r="H1070" t="s">
        <v>24</v>
      </c>
      <c r="I1070">
        <v>6070</v>
      </c>
      <c r="J1070">
        <v>1</v>
      </c>
      <c r="K1070" t="s">
        <v>16</v>
      </c>
      <c r="L1070">
        <v>11014</v>
      </c>
      <c r="M1070" t="s">
        <v>232</v>
      </c>
      <c r="N1070">
        <v>2</v>
      </c>
      <c r="O1070" t="s">
        <v>119</v>
      </c>
      <c r="P1070" t="s">
        <v>1593</v>
      </c>
      <c r="Q1070">
        <v>762161.4</v>
      </c>
      <c r="R1070">
        <v>40540500</v>
      </c>
      <c r="S1070">
        <v>39</v>
      </c>
      <c r="T1070">
        <v>1039500</v>
      </c>
      <c r="U1070">
        <v>1</v>
      </c>
      <c r="V1070">
        <v>1</v>
      </c>
      <c r="W1070" t="s">
        <v>127</v>
      </c>
      <c r="X1070">
        <v>29700</v>
      </c>
      <c r="Y1070">
        <v>762161.4</v>
      </c>
      <c r="Z1070">
        <v>40540500</v>
      </c>
      <c r="AA1070">
        <v>1039500</v>
      </c>
      <c r="AB1070">
        <v>105</v>
      </c>
      <c r="AC1070" s="34">
        <v>46034</v>
      </c>
      <c r="AD1070" s="34">
        <v>46173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 t="s">
        <v>122</v>
      </c>
      <c r="AT1070">
        <v>24324300</v>
      </c>
      <c r="AU1070">
        <v>457296.84</v>
      </c>
      <c r="AV1070">
        <v>24324300</v>
      </c>
      <c r="AW1070">
        <v>457296.84</v>
      </c>
    </row>
    <row r="1071" spans="1:49" hidden="1" x14ac:dyDescent="0.35">
      <c r="A1071">
        <v>5854510</v>
      </c>
      <c r="B1071">
        <v>5010005854501</v>
      </c>
      <c r="D1071">
        <v>20409151427</v>
      </c>
      <c r="E1071" t="s">
        <v>231</v>
      </c>
      <c r="F1071" t="s">
        <v>1</v>
      </c>
      <c r="G1071" t="s">
        <v>24</v>
      </c>
      <c r="H1071" t="s">
        <v>24</v>
      </c>
      <c r="I1071">
        <v>6070</v>
      </c>
      <c r="J1071">
        <v>1</v>
      </c>
      <c r="K1071" t="s">
        <v>16</v>
      </c>
      <c r="L1071">
        <v>11014</v>
      </c>
      <c r="M1071" t="s">
        <v>232</v>
      </c>
      <c r="N1071">
        <v>3</v>
      </c>
      <c r="O1071" t="s">
        <v>119</v>
      </c>
      <c r="P1071" t="s">
        <v>1594</v>
      </c>
      <c r="Q1071">
        <v>977130</v>
      </c>
      <c r="R1071">
        <v>51975000</v>
      </c>
      <c r="S1071">
        <v>50</v>
      </c>
      <c r="T1071">
        <v>1039500</v>
      </c>
      <c r="U1071">
        <v>1</v>
      </c>
      <c r="V1071">
        <v>1</v>
      </c>
      <c r="W1071" t="s">
        <v>127</v>
      </c>
      <c r="X1071">
        <v>29700</v>
      </c>
      <c r="Y1071">
        <v>977130</v>
      </c>
      <c r="Z1071">
        <v>51975000</v>
      </c>
      <c r="AA1071">
        <v>1039500</v>
      </c>
      <c r="AB1071">
        <v>105</v>
      </c>
      <c r="AC1071" s="34">
        <v>46034</v>
      </c>
      <c r="AD1071" s="34">
        <v>46173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 t="s">
        <v>122</v>
      </c>
      <c r="AT1071">
        <v>31185000</v>
      </c>
      <c r="AU1071">
        <v>586278</v>
      </c>
      <c r="AV1071">
        <v>31185000</v>
      </c>
      <c r="AW1071">
        <v>586278</v>
      </c>
    </row>
    <row r="1072" spans="1:49" hidden="1" x14ac:dyDescent="0.35">
      <c r="A1072">
        <v>5854610</v>
      </c>
      <c r="B1072">
        <v>1250005854601</v>
      </c>
      <c r="D1072">
        <v>30708858907</v>
      </c>
      <c r="E1072" t="s">
        <v>284</v>
      </c>
      <c r="F1072" t="s">
        <v>1</v>
      </c>
      <c r="G1072" t="s">
        <v>282</v>
      </c>
      <c r="H1072" t="s">
        <v>48</v>
      </c>
      <c r="I1072">
        <v>6125</v>
      </c>
      <c r="J1072">
        <v>3</v>
      </c>
      <c r="K1072" t="s">
        <v>32</v>
      </c>
      <c r="L1072">
        <v>4401</v>
      </c>
      <c r="M1072" t="s">
        <v>132</v>
      </c>
      <c r="N1072">
        <v>1</v>
      </c>
      <c r="O1072" t="s">
        <v>119</v>
      </c>
      <c r="P1072" t="s">
        <v>1595</v>
      </c>
      <c r="Q1072">
        <v>843.15</v>
      </c>
      <c r="R1072">
        <v>25550</v>
      </c>
      <c r="S1072">
        <v>73</v>
      </c>
      <c r="T1072">
        <v>350</v>
      </c>
      <c r="U1072">
        <v>26</v>
      </c>
      <c r="V1072">
        <v>1467.5</v>
      </c>
      <c r="W1072" t="s">
        <v>121</v>
      </c>
      <c r="X1072" t="s">
        <v>1</v>
      </c>
      <c r="Y1072">
        <v>1237322.6299999999</v>
      </c>
      <c r="Z1072">
        <v>37494625</v>
      </c>
      <c r="AA1072">
        <v>513625</v>
      </c>
      <c r="AB1072">
        <v>106</v>
      </c>
      <c r="AC1072" s="34">
        <v>46036</v>
      </c>
      <c r="AD1072" s="34">
        <v>46188</v>
      </c>
      <c r="AF1072">
        <v>0</v>
      </c>
      <c r="AG1072">
        <v>843.15</v>
      </c>
      <c r="AH1072">
        <v>0</v>
      </c>
      <c r="AI1072">
        <v>1237322.6299999999</v>
      </c>
      <c r="AJ1072">
        <v>0</v>
      </c>
      <c r="AK1072">
        <v>0</v>
      </c>
      <c r="AL1072">
        <v>322938.05</v>
      </c>
      <c r="AM1072">
        <v>0</v>
      </c>
      <c r="AN1072">
        <v>1560260.68</v>
      </c>
      <c r="AO1072" t="s">
        <v>122</v>
      </c>
      <c r="AP1072">
        <v>15</v>
      </c>
      <c r="AQ1072">
        <v>126.47</v>
      </c>
      <c r="AR1072">
        <v>185594.73</v>
      </c>
      <c r="AT1072">
        <v>15330</v>
      </c>
      <c r="AU1072">
        <v>505.89</v>
      </c>
      <c r="AV1072">
        <v>22496775</v>
      </c>
      <c r="AW1072">
        <v>742393.58</v>
      </c>
    </row>
    <row r="1073" spans="1:49" hidden="1" x14ac:dyDescent="0.35">
      <c r="A1073">
        <v>5854710</v>
      </c>
      <c r="B1073">
        <v>1090005854701</v>
      </c>
      <c r="D1073">
        <v>27141299757</v>
      </c>
      <c r="E1073" t="s">
        <v>1253</v>
      </c>
      <c r="F1073" t="s">
        <v>1</v>
      </c>
      <c r="G1073" t="s">
        <v>370</v>
      </c>
      <c r="H1073" t="s">
        <v>58</v>
      </c>
      <c r="I1073">
        <v>6333</v>
      </c>
      <c r="J1073">
        <v>21</v>
      </c>
      <c r="K1073" t="s">
        <v>33</v>
      </c>
      <c r="L1073">
        <v>6864</v>
      </c>
      <c r="M1073" t="s">
        <v>371</v>
      </c>
      <c r="N1073">
        <v>1</v>
      </c>
      <c r="O1073" t="s">
        <v>119</v>
      </c>
      <c r="P1073" t="s">
        <v>1596</v>
      </c>
      <c r="Q1073">
        <v>2986.2</v>
      </c>
      <c r="R1073">
        <v>94500</v>
      </c>
      <c r="S1073">
        <v>135</v>
      </c>
      <c r="T1073">
        <v>700</v>
      </c>
      <c r="U1073">
        <v>26</v>
      </c>
      <c r="V1073">
        <v>1467.5</v>
      </c>
      <c r="W1073" t="s">
        <v>121</v>
      </c>
      <c r="X1073" t="s">
        <v>1</v>
      </c>
      <c r="Y1073">
        <v>4382248.5</v>
      </c>
      <c r="Z1073">
        <v>138678750</v>
      </c>
      <c r="AA1073">
        <v>1027250</v>
      </c>
      <c r="AB1073">
        <v>106</v>
      </c>
      <c r="AC1073" s="34">
        <v>46035</v>
      </c>
      <c r="AD1073" s="34">
        <v>46203</v>
      </c>
      <c r="AF1073">
        <v>0</v>
      </c>
      <c r="AG1073">
        <v>2986.2</v>
      </c>
      <c r="AH1073">
        <v>0</v>
      </c>
      <c r="AI1073">
        <v>4382248.5</v>
      </c>
      <c r="AJ1073">
        <v>0</v>
      </c>
      <c r="AK1073">
        <v>0</v>
      </c>
      <c r="AL1073">
        <v>1099949.95</v>
      </c>
      <c r="AM1073">
        <v>0</v>
      </c>
      <c r="AN1073">
        <v>5482198.4500000002</v>
      </c>
      <c r="AO1073" t="s">
        <v>122</v>
      </c>
      <c r="AP1073">
        <v>15</v>
      </c>
      <c r="AQ1073">
        <v>447.93</v>
      </c>
      <c r="AR1073">
        <v>657337.28</v>
      </c>
      <c r="AT1073">
        <v>56700</v>
      </c>
      <c r="AU1073">
        <v>1791.72</v>
      </c>
      <c r="AV1073">
        <v>83207250</v>
      </c>
      <c r="AW1073">
        <v>2629349.1</v>
      </c>
    </row>
    <row r="1074" spans="1:49" hidden="1" x14ac:dyDescent="0.35">
      <c r="A1074">
        <v>5854810</v>
      </c>
      <c r="B1074">
        <v>1090005854801</v>
      </c>
      <c r="D1074">
        <v>27141299757</v>
      </c>
      <c r="E1074" t="s">
        <v>1253</v>
      </c>
      <c r="F1074" t="s">
        <v>1</v>
      </c>
      <c r="G1074" t="s">
        <v>370</v>
      </c>
      <c r="H1074" t="s">
        <v>58</v>
      </c>
      <c r="I1074">
        <v>6333</v>
      </c>
      <c r="J1074">
        <v>21</v>
      </c>
      <c r="K1074" t="s">
        <v>33</v>
      </c>
      <c r="L1074">
        <v>6864</v>
      </c>
      <c r="M1074" t="s">
        <v>371</v>
      </c>
      <c r="N1074">
        <v>1</v>
      </c>
      <c r="O1074" t="s">
        <v>119</v>
      </c>
      <c r="P1074" t="s">
        <v>1597</v>
      </c>
      <c r="Q1074">
        <v>1422</v>
      </c>
      <c r="R1074">
        <v>45000</v>
      </c>
      <c r="S1074">
        <v>75</v>
      </c>
      <c r="T1074">
        <v>600</v>
      </c>
      <c r="U1074">
        <v>26</v>
      </c>
      <c r="V1074">
        <v>1467.5</v>
      </c>
      <c r="W1074" t="s">
        <v>121</v>
      </c>
      <c r="X1074" t="s">
        <v>1</v>
      </c>
      <c r="Y1074">
        <v>2086785</v>
      </c>
      <c r="Z1074">
        <v>66037500</v>
      </c>
      <c r="AA1074">
        <v>880500</v>
      </c>
      <c r="AB1074">
        <v>106</v>
      </c>
      <c r="AC1074" s="34">
        <v>46022</v>
      </c>
      <c r="AD1074" s="34">
        <v>46188</v>
      </c>
      <c r="AF1074">
        <v>0</v>
      </c>
      <c r="AG1074">
        <v>1422</v>
      </c>
      <c r="AH1074">
        <v>0</v>
      </c>
      <c r="AI1074">
        <v>2086785</v>
      </c>
      <c r="AJ1074">
        <v>0</v>
      </c>
      <c r="AK1074">
        <v>0</v>
      </c>
      <c r="AL1074">
        <v>523780.1</v>
      </c>
      <c r="AM1074">
        <v>0</v>
      </c>
      <c r="AN1074">
        <v>2610565.1</v>
      </c>
      <c r="AO1074" t="s">
        <v>122</v>
      </c>
      <c r="AP1074">
        <v>15</v>
      </c>
      <c r="AQ1074">
        <v>213.3</v>
      </c>
      <c r="AR1074">
        <v>313017.75</v>
      </c>
      <c r="AT1074">
        <v>27000</v>
      </c>
      <c r="AU1074">
        <v>853.2</v>
      </c>
      <c r="AV1074">
        <v>39622500</v>
      </c>
      <c r="AW1074">
        <v>1252071</v>
      </c>
    </row>
    <row r="1075" spans="1:49" hidden="1" x14ac:dyDescent="0.35">
      <c r="A1075">
        <v>5854910</v>
      </c>
      <c r="B1075">
        <v>1090005854901</v>
      </c>
      <c r="D1075">
        <v>27222977849</v>
      </c>
      <c r="E1075" t="s">
        <v>1138</v>
      </c>
      <c r="F1075" t="s">
        <v>1</v>
      </c>
      <c r="G1075" t="s">
        <v>370</v>
      </c>
      <c r="H1075" t="s">
        <v>58</v>
      </c>
      <c r="I1075">
        <v>6333</v>
      </c>
      <c r="J1075">
        <v>21</v>
      </c>
      <c r="K1075" t="s">
        <v>33</v>
      </c>
      <c r="L1075">
        <v>6864</v>
      </c>
      <c r="M1075" t="s">
        <v>371</v>
      </c>
      <c r="N1075">
        <v>1</v>
      </c>
      <c r="O1075" t="s">
        <v>119</v>
      </c>
      <c r="P1075" t="s">
        <v>1598</v>
      </c>
      <c r="Q1075">
        <v>914.16</v>
      </c>
      <c r="R1075">
        <v>31200</v>
      </c>
      <c r="S1075">
        <v>65</v>
      </c>
      <c r="T1075">
        <v>480</v>
      </c>
      <c r="U1075">
        <v>26</v>
      </c>
      <c r="V1075">
        <v>1467.5</v>
      </c>
      <c r="W1075" t="s">
        <v>121</v>
      </c>
      <c r="X1075" t="s">
        <v>1</v>
      </c>
      <c r="Y1075">
        <v>1341529.8</v>
      </c>
      <c r="Z1075">
        <v>45786000</v>
      </c>
      <c r="AA1075">
        <v>704400</v>
      </c>
      <c r="AB1075">
        <v>106</v>
      </c>
      <c r="AC1075" s="34">
        <v>46025</v>
      </c>
      <c r="AD1075" s="34">
        <v>46188</v>
      </c>
      <c r="AF1075">
        <v>0</v>
      </c>
      <c r="AG1075">
        <v>914.16</v>
      </c>
      <c r="AH1075">
        <v>0</v>
      </c>
      <c r="AI1075">
        <v>1341529.8</v>
      </c>
      <c r="AJ1075">
        <v>0</v>
      </c>
      <c r="AK1075">
        <v>0</v>
      </c>
      <c r="AL1075">
        <v>336703.2</v>
      </c>
      <c r="AM1075">
        <v>0</v>
      </c>
      <c r="AN1075">
        <v>1678233</v>
      </c>
      <c r="AO1075" t="s">
        <v>122</v>
      </c>
      <c r="AP1075">
        <v>15</v>
      </c>
      <c r="AQ1075">
        <v>137.12</v>
      </c>
      <c r="AR1075">
        <v>201223.6</v>
      </c>
      <c r="AT1075">
        <v>18720</v>
      </c>
      <c r="AU1075">
        <v>548.5</v>
      </c>
      <c r="AV1075">
        <v>27471600</v>
      </c>
      <c r="AW1075">
        <v>804923.75</v>
      </c>
    </row>
    <row r="1076" spans="1:49" hidden="1" x14ac:dyDescent="0.35">
      <c r="A1076">
        <v>5855010</v>
      </c>
      <c r="B1076">
        <v>1090005855001</v>
      </c>
      <c r="D1076">
        <v>30708777109</v>
      </c>
      <c r="E1076" t="s">
        <v>369</v>
      </c>
      <c r="F1076" t="s">
        <v>1</v>
      </c>
      <c r="G1076" t="s">
        <v>370</v>
      </c>
      <c r="H1076" t="s">
        <v>58</v>
      </c>
      <c r="I1076">
        <v>6333</v>
      </c>
      <c r="J1076">
        <v>21</v>
      </c>
      <c r="K1076" t="s">
        <v>33</v>
      </c>
      <c r="L1076">
        <v>6864</v>
      </c>
      <c r="M1076" t="s">
        <v>371</v>
      </c>
      <c r="N1076">
        <v>1</v>
      </c>
      <c r="O1076" t="s">
        <v>119</v>
      </c>
      <c r="P1076" t="s">
        <v>1599</v>
      </c>
      <c r="Q1076">
        <v>1804650</v>
      </c>
      <c r="R1076">
        <v>79500000</v>
      </c>
      <c r="S1076">
        <v>158</v>
      </c>
      <c r="T1076">
        <v>503164.56</v>
      </c>
      <c r="U1076">
        <v>1</v>
      </c>
      <c r="V1076">
        <v>1</v>
      </c>
      <c r="W1076" t="s">
        <v>121</v>
      </c>
      <c r="X1076" t="s">
        <v>1</v>
      </c>
      <c r="Y1076">
        <v>1804650</v>
      </c>
      <c r="Z1076">
        <v>79500000</v>
      </c>
      <c r="AA1076">
        <v>503164.56</v>
      </c>
      <c r="AB1076">
        <v>105</v>
      </c>
      <c r="AC1076" s="34">
        <v>46036</v>
      </c>
      <c r="AD1076" s="34">
        <v>46203</v>
      </c>
      <c r="AE1076" t="s">
        <v>161</v>
      </c>
      <c r="AF1076">
        <v>0</v>
      </c>
      <c r="AG1076">
        <v>3541200</v>
      </c>
      <c r="AH1076">
        <v>0</v>
      </c>
      <c r="AI1076">
        <v>3541200</v>
      </c>
      <c r="AJ1076">
        <v>0</v>
      </c>
      <c r="AK1076">
        <v>0</v>
      </c>
      <c r="AL1076">
        <v>888841.2</v>
      </c>
      <c r="AM1076">
        <v>0</v>
      </c>
      <c r="AN1076">
        <v>4430041.2</v>
      </c>
      <c r="AO1076" t="s">
        <v>122</v>
      </c>
      <c r="AP1076">
        <v>15</v>
      </c>
      <c r="AQ1076">
        <v>531180</v>
      </c>
      <c r="AR1076">
        <v>531180</v>
      </c>
      <c r="AT1076">
        <v>47700000</v>
      </c>
      <c r="AU1076">
        <v>1082790</v>
      </c>
      <c r="AV1076">
        <v>47700000</v>
      </c>
      <c r="AW1076">
        <v>1082790</v>
      </c>
    </row>
    <row r="1077" spans="1:49" hidden="1" x14ac:dyDescent="0.35">
      <c r="A1077">
        <v>5855010</v>
      </c>
      <c r="B1077">
        <v>1090005855001</v>
      </c>
      <c r="D1077">
        <v>30708777109</v>
      </c>
      <c r="E1077" t="s">
        <v>369</v>
      </c>
      <c r="F1077" t="s">
        <v>1</v>
      </c>
      <c r="G1077" t="s">
        <v>370</v>
      </c>
      <c r="H1077" t="s">
        <v>58</v>
      </c>
      <c r="I1077">
        <v>6333</v>
      </c>
      <c r="J1077">
        <v>21</v>
      </c>
      <c r="K1077" t="s">
        <v>33</v>
      </c>
      <c r="L1077">
        <v>6864</v>
      </c>
      <c r="M1077" t="s">
        <v>371</v>
      </c>
      <c r="N1077">
        <v>2</v>
      </c>
      <c r="O1077" t="s">
        <v>119</v>
      </c>
      <c r="P1077" t="s">
        <v>1600</v>
      </c>
      <c r="Q1077">
        <v>828550</v>
      </c>
      <c r="R1077">
        <v>36500000</v>
      </c>
      <c r="S1077">
        <v>73</v>
      </c>
      <c r="T1077">
        <v>500000</v>
      </c>
      <c r="U1077">
        <v>1</v>
      </c>
      <c r="V1077">
        <v>1</v>
      </c>
      <c r="W1077" t="s">
        <v>121</v>
      </c>
      <c r="X1077" t="s">
        <v>1</v>
      </c>
      <c r="Y1077">
        <v>828550</v>
      </c>
      <c r="Z1077">
        <v>36500000</v>
      </c>
      <c r="AA1077">
        <v>500000</v>
      </c>
      <c r="AB1077">
        <v>105</v>
      </c>
      <c r="AC1077" s="34">
        <v>46036</v>
      </c>
      <c r="AD1077" s="34">
        <v>46203</v>
      </c>
      <c r="AE1077" t="s">
        <v>161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 t="s">
        <v>122</v>
      </c>
      <c r="AT1077">
        <v>21900000</v>
      </c>
      <c r="AU1077">
        <v>497130</v>
      </c>
      <c r="AV1077">
        <v>21900000</v>
      </c>
      <c r="AW1077">
        <v>497130</v>
      </c>
    </row>
    <row r="1078" spans="1:49" hidden="1" x14ac:dyDescent="0.35">
      <c r="A1078">
        <v>5855010</v>
      </c>
      <c r="B1078">
        <v>1090005855001</v>
      </c>
      <c r="D1078">
        <v>30708777109</v>
      </c>
      <c r="E1078" t="s">
        <v>369</v>
      </c>
      <c r="F1078" t="s">
        <v>1</v>
      </c>
      <c r="G1078" t="s">
        <v>370</v>
      </c>
      <c r="H1078" t="s">
        <v>58</v>
      </c>
      <c r="I1078">
        <v>6333</v>
      </c>
      <c r="J1078">
        <v>21</v>
      </c>
      <c r="K1078" t="s">
        <v>33</v>
      </c>
      <c r="L1078">
        <v>6864</v>
      </c>
      <c r="M1078" t="s">
        <v>371</v>
      </c>
      <c r="N1078">
        <v>3</v>
      </c>
      <c r="O1078" t="s">
        <v>119</v>
      </c>
      <c r="P1078" t="s">
        <v>1601</v>
      </c>
      <c r="Q1078">
        <v>908000</v>
      </c>
      <c r="R1078">
        <v>40000000</v>
      </c>
      <c r="S1078">
        <v>80</v>
      </c>
      <c r="T1078">
        <v>500000</v>
      </c>
      <c r="U1078">
        <v>1</v>
      </c>
      <c r="V1078">
        <v>1</v>
      </c>
      <c r="W1078" t="s">
        <v>121</v>
      </c>
      <c r="X1078" t="s">
        <v>1</v>
      </c>
      <c r="Y1078">
        <v>908000</v>
      </c>
      <c r="Z1078">
        <v>40000000</v>
      </c>
      <c r="AA1078">
        <v>500000</v>
      </c>
      <c r="AB1078">
        <v>105</v>
      </c>
      <c r="AC1078" s="34">
        <v>46036</v>
      </c>
      <c r="AD1078" s="34">
        <v>46203</v>
      </c>
      <c r="AE1078" t="s">
        <v>161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 t="s">
        <v>122</v>
      </c>
      <c r="AT1078">
        <v>24000000</v>
      </c>
      <c r="AU1078">
        <v>544800</v>
      </c>
      <c r="AV1078">
        <v>24000000</v>
      </c>
      <c r="AW1078">
        <v>544800</v>
      </c>
    </row>
    <row r="1079" spans="1:49" hidden="1" x14ac:dyDescent="0.35">
      <c r="A1079">
        <v>5855110</v>
      </c>
      <c r="B1079">
        <v>1090005855101</v>
      </c>
      <c r="D1079">
        <v>20073631808</v>
      </c>
      <c r="E1079" t="s">
        <v>949</v>
      </c>
      <c r="F1079" t="s">
        <v>1</v>
      </c>
      <c r="G1079" t="s">
        <v>370</v>
      </c>
      <c r="H1079" t="s">
        <v>58</v>
      </c>
      <c r="I1079">
        <v>6333</v>
      </c>
      <c r="J1079">
        <v>21</v>
      </c>
      <c r="K1079" t="s">
        <v>33</v>
      </c>
      <c r="L1079">
        <v>6864</v>
      </c>
      <c r="M1079" t="s">
        <v>371</v>
      </c>
      <c r="N1079">
        <v>1</v>
      </c>
      <c r="O1079" t="s">
        <v>119</v>
      </c>
      <c r="P1079" t="s">
        <v>1602</v>
      </c>
      <c r="Q1079">
        <v>1752660</v>
      </c>
      <c r="R1079">
        <v>54600000</v>
      </c>
      <c r="S1079">
        <v>78</v>
      </c>
      <c r="T1079">
        <v>700000</v>
      </c>
      <c r="U1079">
        <v>1</v>
      </c>
      <c r="V1079">
        <v>1</v>
      </c>
      <c r="W1079" t="s">
        <v>121</v>
      </c>
      <c r="X1079" t="s">
        <v>1</v>
      </c>
      <c r="Y1079">
        <v>1752660</v>
      </c>
      <c r="Z1079">
        <v>54600000</v>
      </c>
      <c r="AA1079">
        <v>700000</v>
      </c>
      <c r="AB1079">
        <v>105</v>
      </c>
      <c r="AC1079" s="34">
        <v>46027</v>
      </c>
      <c r="AD1079" s="34">
        <v>46188</v>
      </c>
      <c r="AF1079">
        <v>0</v>
      </c>
      <c r="AG1079">
        <v>1752660</v>
      </c>
      <c r="AH1079">
        <v>0</v>
      </c>
      <c r="AI1079">
        <v>1752660</v>
      </c>
      <c r="AJ1079">
        <v>0</v>
      </c>
      <c r="AK1079">
        <v>0</v>
      </c>
      <c r="AL1079">
        <v>439917.66</v>
      </c>
      <c r="AM1079">
        <v>0</v>
      </c>
      <c r="AN1079">
        <v>2192577.66</v>
      </c>
      <c r="AO1079" t="s">
        <v>122</v>
      </c>
      <c r="AP1079">
        <v>15</v>
      </c>
      <c r="AQ1079">
        <v>262899</v>
      </c>
      <c r="AR1079">
        <v>262899</v>
      </c>
      <c r="AT1079">
        <v>32760000</v>
      </c>
      <c r="AU1079">
        <v>1051596</v>
      </c>
      <c r="AV1079">
        <v>32760000</v>
      </c>
      <c r="AW1079">
        <v>1051596</v>
      </c>
    </row>
    <row r="1080" spans="1:49" hidden="1" x14ac:dyDescent="0.35">
      <c r="A1080">
        <v>5855210</v>
      </c>
      <c r="B1080">
        <v>1090005855201</v>
      </c>
      <c r="D1080">
        <v>27046115282</v>
      </c>
      <c r="E1080" t="s">
        <v>1136</v>
      </c>
      <c r="F1080" t="s">
        <v>1</v>
      </c>
      <c r="G1080" t="s">
        <v>370</v>
      </c>
      <c r="H1080" t="s">
        <v>58</v>
      </c>
      <c r="I1080">
        <v>6333</v>
      </c>
      <c r="J1080">
        <v>21</v>
      </c>
      <c r="K1080" t="s">
        <v>33</v>
      </c>
      <c r="L1080">
        <v>6864</v>
      </c>
      <c r="M1080" t="s">
        <v>371</v>
      </c>
      <c r="N1080">
        <v>1</v>
      </c>
      <c r="O1080" t="s">
        <v>119</v>
      </c>
      <c r="P1080" t="s">
        <v>1603</v>
      </c>
      <c r="Q1080">
        <v>1307.95</v>
      </c>
      <c r="R1080">
        <v>44640</v>
      </c>
      <c r="S1080">
        <v>93</v>
      </c>
      <c r="T1080">
        <v>480</v>
      </c>
      <c r="U1080">
        <v>26</v>
      </c>
      <c r="V1080">
        <v>1453</v>
      </c>
      <c r="W1080" t="s">
        <v>121</v>
      </c>
      <c r="X1080" t="s">
        <v>1</v>
      </c>
      <c r="Y1080">
        <v>1900451.35</v>
      </c>
      <c r="Z1080">
        <v>64861920</v>
      </c>
      <c r="AA1080">
        <v>697440</v>
      </c>
      <c r="AB1080">
        <v>106</v>
      </c>
      <c r="AC1080" s="34">
        <v>46025</v>
      </c>
      <c r="AD1080" s="34">
        <v>46188</v>
      </c>
      <c r="AF1080">
        <v>0</v>
      </c>
      <c r="AG1080">
        <v>1307.95</v>
      </c>
      <c r="AH1080">
        <v>0</v>
      </c>
      <c r="AI1080">
        <v>1900451.35</v>
      </c>
      <c r="AJ1080">
        <v>0</v>
      </c>
      <c r="AK1080">
        <v>0</v>
      </c>
      <c r="AL1080">
        <v>477019.9</v>
      </c>
      <c r="AM1080">
        <v>0</v>
      </c>
      <c r="AN1080">
        <v>2377471.25</v>
      </c>
      <c r="AO1080" t="s">
        <v>122</v>
      </c>
      <c r="AP1080">
        <v>15</v>
      </c>
      <c r="AQ1080">
        <v>196.19</v>
      </c>
      <c r="AR1080">
        <v>285064.07</v>
      </c>
      <c r="AT1080">
        <v>26784</v>
      </c>
      <c r="AU1080">
        <v>784.77</v>
      </c>
      <c r="AV1080">
        <v>38917152</v>
      </c>
      <c r="AW1080">
        <v>1140270.81</v>
      </c>
    </row>
    <row r="1081" spans="1:49" hidden="1" x14ac:dyDescent="0.35">
      <c r="A1081">
        <v>5855310</v>
      </c>
      <c r="B1081">
        <v>1090005855301</v>
      </c>
      <c r="D1081">
        <v>27046115282</v>
      </c>
      <c r="E1081" t="s">
        <v>1136</v>
      </c>
      <c r="F1081" t="s">
        <v>1</v>
      </c>
      <c r="G1081" t="s">
        <v>370</v>
      </c>
      <c r="H1081" t="s">
        <v>58</v>
      </c>
      <c r="I1081">
        <v>6333</v>
      </c>
      <c r="J1081">
        <v>21</v>
      </c>
      <c r="K1081" t="s">
        <v>33</v>
      </c>
      <c r="L1081">
        <v>6864</v>
      </c>
      <c r="M1081" t="s">
        <v>371</v>
      </c>
      <c r="N1081">
        <v>1</v>
      </c>
      <c r="O1081" t="s">
        <v>119</v>
      </c>
      <c r="P1081" t="s">
        <v>1604</v>
      </c>
      <c r="Q1081">
        <v>1767.26</v>
      </c>
      <c r="R1081">
        <v>63800</v>
      </c>
      <c r="S1081">
        <v>116</v>
      </c>
      <c r="T1081">
        <v>550</v>
      </c>
      <c r="U1081">
        <v>26</v>
      </c>
      <c r="V1081">
        <v>1453</v>
      </c>
      <c r="W1081" t="s">
        <v>121</v>
      </c>
      <c r="X1081" t="s">
        <v>1</v>
      </c>
      <c r="Y1081">
        <v>2567828.7799999998</v>
      </c>
      <c r="Z1081">
        <v>92701400</v>
      </c>
      <c r="AA1081">
        <v>799150</v>
      </c>
      <c r="AB1081">
        <v>106</v>
      </c>
      <c r="AC1081" s="34">
        <v>46025</v>
      </c>
      <c r="AD1081" s="34">
        <v>46203</v>
      </c>
      <c r="AF1081">
        <v>0</v>
      </c>
      <c r="AG1081">
        <v>1767.26</v>
      </c>
      <c r="AH1081">
        <v>0</v>
      </c>
      <c r="AI1081">
        <v>2567828.7799999998</v>
      </c>
      <c r="AJ1081">
        <v>0</v>
      </c>
      <c r="AK1081">
        <v>0</v>
      </c>
      <c r="AL1081">
        <v>644521.74</v>
      </c>
      <c r="AM1081">
        <v>0</v>
      </c>
      <c r="AN1081">
        <v>3212350.52</v>
      </c>
      <c r="AO1081" t="s">
        <v>122</v>
      </c>
      <c r="AP1081">
        <v>15</v>
      </c>
      <c r="AQ1081">
        <v>265.08999999999997</v>
      </c>
      <c r="AR1081">
        <v>385175.77</v>
      </c>
      <c r="AT1081">
        <v>38280</v>
      </c>
      <c r="AU1081">
        <v>1060.3599999999999</v>
      </c>
      <c r="AV1081">
        <v>55620840</v>
      </c>
      <c r="AW1081">
        <v>1540703.08</v>
      </c>
    </row>
    <row r="1082" spans="1:49" hidden="1" x14ac:dyDescent="0.35">
      <c r="A1082">
        <v>5855410</v>
      </c>
      <c r="B1082">
        <v>5010005855401</v>
      </c>
      <c r="D1082">
        <v>30711898235</v>
      </c>
      <c r="E1082" t="s">
        <v>1605</v>
      </c>
      <c r="F1082" t="s">
        <v>1</v>
      </c>
      <c r="G1082" t="s">
        <v>680</v>
      </c>
      <c r="H1082" t="s">
        <v>55</v>
      </c>
      <c r="I1082">
        <v>6220</v>
      </c>
      <c r="J1082">
        <v>21</v>
      </c>
      <c r="K1082" t="s">
        <v>33</v>
      </c>
      <c r="L1082">
        <v>13212</v>
      </c>
      <c r="M1082" t="s">
        <v>429</v>
      </c>
      <c r="N1082">
        <v>1</v>
      </c>
      <c r="O1082" t="s">
        <v>119</v>
      </c>
      <c r="P1082" t="s">
        <v>1606</v>
      </c>
      <c r="Q1082">
        <v>1849593.6</v>
      </c>
      <c r="R1082">
        <v>56736000</v>
      </c>
      <c r="S1082">
        <v>144</v>
      </c>
      <c r="T1082">
        <v>394000</v>
      </c>
      <c r="U1082">
        <v>1</v>
      </c>
      <c r="V1082">
        <v>1</v>
      </c>
      <c r="W1082" t="s">
        <v>127</v>
      </c>
      <c r="X1082">
        <v>19700</v>
      </c>
      <c r="Y1082" s="60">
        <v>1849593.6</v>
      </c>
      <c r="Z1082" s="78">
        <v>56736000</v>
      </c>
      <c r="AA1082">
        <v>394000</v>
      </c>
      <c r="AB1082">
        <v>210</v>
      </c>
      <c r="AC1082" s="34">
        <v>46012</v>
      </c>
      <c r="AD1082" s="34">
        <v>46203</v>
      </c>
      <c r="AE1082" t="s">
        <v>355</v>
      </c>
      <c r="AF1082">
        <v>1</v>
      </c>
      <c r="AG1082">
        <v>8625014.5999999996</v>
      </c>
      <c r="AH1082">
        <v>0</v>
      </c>
      <c r="AI1082">
        <v>8625014.5999999996</v>
      </c>
      <c r="AJ1082">
        <v>0</v>
      </c>
      <c r="AK1082">
        <v>0</v>
      </c>
      <c r="AL1082">
        <v>2164878.67</v>
      </c>
      <c r="AM1082">
        <v>0</v>
      </c>
      <c r="AN1082">
        <v>10789893.27</v>
      </c>
      <c r="AO1082" t="s">
        <v>122</v>
      </c>
      <c r="AP1082">
        <v>15</v>
      </c>
      <c r="AQ1082">
        <v>1293752.19</v>
      </c>
      <c r="AR1082">
        <v>1293752.19</v>
      </c>
      <c r="AT1082">
        <v>34041600</v>
      </c>
      <c r="AU1082">
        <v>1109756.1599999999</v>
      </c>
      <c r="AV1082">
        <v>34041600</v>
      </c>
      <c r="AW1082">
        <v>1109756.1599999999</v>
      </c>
    </row>
    <row r="1083" spans="1:49" hidden="1" x14ac:dyDescent="0.35">
      <c r="A1083">
        <v>5855410</v>
      </c>
      <c r="B1083">
        <v>5010005855401</v>
      </c>
      <c r="D1083">
        <v>30711898235</v>
      </c>
      <c r="E1083" t="s">
        <v>1605</v>
      </c>
      <c r="F1083" t="s">
        <v>1</v>
      </c>
      <c r="G1083" t="s">
        <v>680</v>
      </c>
      <c r="H1083" t="s">
        <v>55</v>
      </c>
      <c r="I1083">
        <v>6220</v>
      </c>
      <c r="J1083">
        <v>21</v>
      </c>
      <c r="K1083" t="s">
        <v>33</v>
      </c>
      <c r="L1083">
        <v>13212</v>
      </c>
      <c r="M1083" t="s">
        <v>429</v>
      </c>
      <c r="N1083">
        <v>2</v>
      </c>
      <c r="O1083" t="s">
        <v>119</v>
      </c>
      <c r="P1083" t="s">
        <v>1607</v>
      </c>
      <c r="Q1083">
        <v>1926660</v>
      </c>
      <c r="R1083">
        <v>59100000</v>
      </c>
      <c r="S1083">
        <v>150</v>
      </c>
      <c r="T1083">
        <v>394000</v>
      </c>
      <c r="U1083">
        <v>1</v>
      </c>
      <c r="V1083">
        <v>1</v>
      </c>
      <c r="W1083" t="s">
        <v>127</v>
      </c>
      <c r="X1083">
        <v>19700</v>
      </c>
      <c r="Y1083" s="60">
        <v>1926660</v>
      </c>
      <c r="Z1083" s="78">
        <v>59100000</v>
      </c>
      <c r="AA1083">
        <v>394000</v>
      </c>
      <c r="AB1083">
        <v>210</v>
      </c>
      <c r="AC1083" s="34">
        <v>46012</v>
      </c>
      <c r="AD1083" s="34">
        <v>46203</v>
      </c>
      <c r="AE1083" t="s">
        <v>355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 t="s">
        <v>122</v>
      </c>
      <c r="AT1083">
        <v>35460000</v>
      </c>
      <c r="AU1083">
        <v>1155996</v>
      </c>
      <c r="AV1083">
        <v>35460000</v>
      </c>
      <c r="AW1083">
        <v>1155996</v>
      </c>
    </row>
    <row r="1084" spans="1:49" hidden="1" x14ac:dyDescent="0.35">
      <c r="A1084">
        <v>5855410</v>
      </c>
      <c r="B1084">
        <v>5010005855401</v>
      </c>
      <c r="D1084">
        <v>30711898235</v>
      </c>
      <c r="E1084" t="s">
        <v>1605</v>
      </c>
      <c r="F1084" t="s">
        <v>1</v>
      </c>
      <c r="G1084" t="s">
        <v>680</v>
      </c>
      <c r="H1084" t="s">
        <v>55</v>
      </c>
      <c r="I1084">
        <v>6220</v>
      </c>
      <c r="J1084">
        <v>21</v>
      </c>
      <c r="K1084" t="s">
        <v>33</v>
      </c>
      <c r="L1084">
        <v>13212</v>
      </c>
      <c r="M1084" t="s">
        <v>429</v>
      </c>
      <c r="N1084">
        <v>3</v>
      </c>
      <c r="O1084" t="s">
        <v>119</v>
      </c>
      <c r="P1084" t="s">
        <v>1608</v>
      </c>
      <c r="Q1084">
        <v>1926660</v>
      </c>
      <c r="R1084">
        <v>59100000</v>
      </c>
      <c r="S1084">
        <v>150</v>
      </c>
      <c r="T1084">
        <v>394000</v>
      </c>
      <c r="U1084">
        <v>1</v>
      </c>
      <c r="V1084">
        <v>1</v>
      </c>
      <c r="W1084" t="s">
        <v>127</v>
      </c>
      <c r="X1084">
        <v>19700</v>
      </c>
      <c r="Y1084" s="60">
        <v>1926660</v>
      </c>
      <c r="Z1084" s="78">
        <v>59100000</v>
      </c>
      <c r="AA1084">
        <v>394000</v>
      </c>
      <c r="AB1084">
        <v>210</v>
      </c>
      <c r="AC1084" s="34">
        <v>46012</v>
      </c>
      <c r="AD1084" s="34">
        <v>46203</v>
      </c>
      <c r="AE1084" t="s">
        <v>355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 t="s">
        <v>122</v>
      </c>
      <c r="AT1084">
        <v>35460000</v>
      </c>
      <c r="AU1084">
        <v>1155996</v>
      </c>
      <c r="AV1084">
        <v>35460000</v>
      </c>
      <c r="AW1084">
        <v>1155996</v>
      </c>
    </row>
    <row r="1085" spans="1:49" hidden="1" x14ac:dyDescent="0.35">
      <c r="A1085">
        <v>5855410</v>
      </c>
      <c r="B1085">
        <v>5010005855401</v>
      </c>
      <c r="D1085">
        <v>30711898235</v>
      </c>
      <c r="E1085" t="s">
        <v>1605</v>
      </c>
      <c r="F1085" t="s">
        <v>1</v>
      </c>
      <c r="G1085" t="s">
        <v>680</v>
      </c>
      <c r="H1085" t="s">
        <v>55</v>
      </c>
      <c r="I1085">
        <v>6220</v>
      </c>
      <c r="J1085">
        <v>21</v>
      </c>
      <c r="K1085" t="s">
        <v>33</v>
      </c>
      <c r="L1085">
        <v>13212</v>
      </c>
      <c r="M1085" t="s">
        <v>429</v>
      </c>
      <c r="N1085">
        <v>4</v>
      </c>
      <c r="O1085" t="s">
        <v>119</v>
      </c>
      <c r="P1085" t="s">
        <v>1609</v>
      </c>
      <c r="Q1085">
        <v>2922101</v>
      </c>
      <c r="R1085">
        <v>89635000</v>
      </c>
      <c r="S1085">
        <v>175</v>
      </c>
      <c r="T1085">
        <v>512200</v>
      </c>
      <c r="U1085">
        <v>1</v>
      </c>
      <c r="V1085">
        <v>1</v>
      </c>
      <c r="W1085" t="s">
        <v>127</v>
      </c>
      <c r="X1085">
        <v>19700</v>
      </c>
      <c r="Y1085" s="60">
        <v>2922101</v>
      </c>
      <c r="Z1085" s="78">
        <v>89635000</v>
      </c>
      <c r="AA1085">
        <v>512200</v>
      </c>
      <c r="AB1085">
        <v>210</v>
      </c>
      <c r="AC1085" s="34">
        <v>46012</v>
      </c>
      <c r="AD1085" s="34">
        <v>46203</v>
      </c>
      <c r="AE1085" t="s">
        <v>355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 t="s">
        <v>122</v>
      </c>
      <c r="AT1085">
        <v>53781000</v>
      </c>
      <c r="AU1085">
        <v>1753260.6</v>
      </c>
      <c r="AV1085">
        <v>53781000</v>
      </c>
      <c r="AW1085">
        <v>1753260.6</v>
      </c>
    </row>
    <row r="1086" spans="1:49" hidden="1" x14ac:dyDescent="0.35">
      <c r="A1086">
        <v>5855510</v>
      </c>
      <c r="B1086">
        <v>5010005855501</v>
      </c>
      <c r="D1086">
        <v>20286933697</v>
      </c>
      <c r="E1086" t="s">
        <v>427</v>
      </c>
      <c r="F1086" t="s">
        <v>1</v>
      </c>
      <c r="G1086" t="s">
        <v>680</v>
      </c>
      <c r="H1086" t="s">
        <v>55</v>
      </c>
      <c r="I1086">
        <v>6220</v>
      </c>
      <c r="J1086">
        <v>21</v>
      </c>
      <c r="K1086" t="s">
        <v>33</v>
      </c>
      <c r="L1086">
        <v>13212</v>
      </c>
      <c r="M1086" t="s">
        <v>429</v>
      </c>
      <c r="N1086">
        <v>1</v>
      </c>
      <c r="O1086" t="s">
        <v>119</v>
      </c>
      <c r="P1086" t="s">
        <v>1610</v>
      </c>
      <c r="Q1086">
        <v>565153.6</v>
      </c>
      <c r="R1086">
        <v>17336000</v>
      </c>
      <c r="S1086">
        <v>22</v>
      </c>
      <c r="T1086">
        <v>788000</v>
      </c>
      <c r="U1086">
        <v>1</v>
      </c>
      <c r="V1086">
        <v>1</v>
      </c>
      <c r="W1086" t="s">
        <v>127</v>
      </c>
      <c r="X1086">
        <v>19700</v>
      </c>
      <c r="Y1086" s="60">
        <v>565153.6</v>
      </c>
      <c r="Z1086" s="78">
        <v>17336000</v>
      </c>
      <c r="AA1086">
        <v>788000</v>
      </c>
      <c r="AB1086">
        <v>211</v>
      </c>
      <c r="AC1086" s="34">
        <v>46012</v>
      </c>
      <c r="AD1086" s="34">
        <v>46203</v>
      </c>
      <c r="AE1086" t="s">
        <v>355</v>
      </c>
      <c r="AF1086">
        <v>0</v>
      </c>
      <c r="AG1086">
        <v>2138592.6</v>
      </c>
      <c r="AH1086">
        <v>0</v>
      </c>
      <c r="AI1086">
        <v>2138592.6</v>
      </c>
      <c r="AJ1086">
        <v>0</v>
      </c>
      <c r="AK1086">
        <v>0</v>
      </c>
      <c r="AL1086">
        <v>536786.75</v>
      </c>
      <c r="AM1086">
        <v>0</v>
      </c>
      <c r="AN1086">
        <v>2675379.35</v>
      </c>
      <c r="AO1086" t="s">
        <v>122</v>
      </c>
      <c r="AP1086">
        <v>15</v>
      </c>
      <c r="AQ1086">
        <v>320788.89</v>
      </c>
      <c r="AR1086">
        <v>320788.89</v>
      </c>
      <c r="AT1086">
        <v>10401600</v>
      </c>
      <c r="AU1086">
        <v>339092.16</v>
      </c>
      <c r="AV1086">
        <v>10401600</v>
      </c>
      <c r="AW1086">
        <v>339092.16</v>
      </c>
    </row>
    <row r="1087" spans="1:49" hidden="1" x14ac:dyDescent="0.35">
      <c r="A1087">
        <v>5855610</v>
      </c>
      <c r="B1087">
        <v>5010005855601</v>
      </c>
      <c r="D1087">
        <v>30711814961</v>
      </c>
      <c r="E1087" t="s">
        <v>1611</v>
      </c>
      <c r="F1087" t="s">
        <v>1</v>
      </c>
      <c r="G1087" t="s">
        <v>680</v>
      </c>
      <c r="H1087" t="s">
        <v>55</v>
      </c>
      <c r="I1087">
        <v>6220</v>
      </c>
      <c r="J1087">
        <v>21</v>
      </c>
      <c r="K1087" t="s">
        <v>33</v>
      </c>
      <c r="L1087">
        <v>13212</v>
      </c>
      <c r="M1087" t="s">
        <v>429</v>
      </c>
      <c r="N1087">
        <v>1</v>
      </c>
      <c r="O1087" t="s">
        <v>119</v>
      </c>
      <c r="P1087" t="s">
        <v>1606</v>
      </c>
      <c r="Q1087">
        <v>1849593.6</v>
      </c>
      <c r="R1087">
        <v>56736000</v>
      </c>
      <c r="S1087">
        <v>144</v>
      </c>
      <c r="T1087">
        <v>394000</v>
      </c>
      <c r="U1087">
        <v>1</v>
      </c>
      <c r="V1087">
        <v>1</v>
      </c>
      <c r="W1087" t="s">
        <v>127</v>
      </c>
      <c r="X1087">
        <v>19700</v>
      </c>
      <c r="Y1087" s="60">
        <v>1849593.6</v>
      </c>
      <c r="Z1087" s="78">
        <v>56736000</v>
      </c>
      <c r="AA1087">
        <v>394000</v>
      </c>
      <c r="AB1087">
        <v>210</v>
      </c>
      <c r="AC1087" s="34">
        <v>46012</v>
      </c>
      <c r="AD1087" s="34">
        <v>46203</v>
      </c>
      <c r="AE1087" t="s">
        <v>355</v>
      </c>
      <c r="AF1087">
        <v>1</v>
      </c>
      <c r="AG1087">
        <v>11148939.199999999</v>
      </c>
      <c r="AH1087">
        <v>0</v>
      </c>
      <c r="AI1087">
        <v>11148939.199999999</v>
      </c>
      <c r="AJ1087">
        <v>0</v>
      </c>
      <c r="AK1087">
        <v>0</v>
      </c>
      <c r="AL1087">
        <v>2463915.56</v>
      </c>
      <c r="AM1087">
        <v>0</v>
      </c>
      <c r="AN1087">
        <v>13612854.76</v>
      </c>
      <c r="AO1087" t="s">
        <v>122</v>
      </c>
      <c r="AP1087">
        <v>15</v>
      </c>
      <c r="AQ1087">
        <v>1672340.88</v>
      </c>
      <c r="AR1087">
        <v>1672340.88</v>
      </c>
      <c r="AT1087">
        <v>34041600</v>
      </c>
      <c r="AU1087">
        <v>1109756.1599999999</v>
      </c>
      <c r="AV1087">
        <v>34041600</v>
      </c>
      <c r="AW1087">
        <v>1109756.1599999999</v>
      </c>
    </row>
    <row r="1088" spans="1:49" hidden="1" x14ac:dyDescent="0.35">
      <c r="A1088">
        <v>5855610</v>
      </c>
      <c r="B1088">
        <v>5010005855601</v>
      </c>
      <c r="D1088">
        <v>30711814961</v>
      </c>
      <c r="E1088" t="s">
        <v>1611</v>
      </c>
      <c r="F1088" t="s">
        <v>1</v>
      </c>
      <c r="G1088" t="s">
        <v>680</v>
      </c>
      <c r="H1088" t="s">
        <v>55</v>
      </c>
      <c r="I1088">
        <v>6220</v>
      </c>
      <c r="J1088">
        <v>21</v>
      </c>
      <c r="K1088" t="s">
        <v>33</v>
      </c>
      <c r="L1088">
        <v>13212</v>
      </c>
      <c r="M1088" t="s">
        <v>429</v>
      </c>
      <c r="N1088">
        <v>2</v>
      </c>
      <c r="O1088" t="s">
        <v>119</v>
      </c>
      <c r="P1088" t="s">
        <v>1607</v>
      </c>
      <c r="Q1088">
        <v>1926660</v>
      </c>
      <c r="R1088">
        <v>59100000</v>
      </c>
      <c r="S1088">
        <v>150</v>
      </c>
      <c r="T1088">
        <v>394000</v>
      </c>
      <c r="U1088">
        <v>1</v>
      </c>
      <c r="V1088">
        <v>1</v>
      </c>
      <c r="W1088" t="s">
        <v>127</v>
      </c>
      <c r="X1088">
        <v>19700</v>
      </c>
      <c r="Y1088" s="60">
        <v>1926660</v>
      </c>
      <c r="Z1088" s="78">
        <v>59100000</v>
      </c>
      <c r="AA1088">
        <v>394000</v>
      </c>
      <c r="AB1088">
        <v>210</v>
      </c>
      <c r="AC1088" s="34">
        <v>46012</v>
      </c>
      <c r="AD1088" s="34">
        <v>46203</v>
      </c>
      <c r="AE1088" t="s">
        <v>355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 t="s">
        <v>122</v>
      </c>
      <c r="AT1088">
        <v>35460000</v>
      </c>
      <c r="AU1088">
        <v>1155996</v>
      </c>
      <c r="AV1088">
        <v>35460000</v>
      </c>
      <c r="AW1088">
        <v>1155996</v>
      </c>
    </row>
    <row r="1089" spans="1:49" hidden="1" x14ac:dyDescent="0.35">
      <c r="A1089">
        <v>5855610</v>
      </c>
      <c r="B1089">
        <v>5010005855601</v>
      </c>
      <c r="D1089">
        <v>30711814961</v>
      </c>
      <c r="E1089" t="s">
        <v>1611</v>
      </c>
      <c r="F1089" t="s">
        <v>1</v>
      </c>
      <c r="G1089" t="s">
        <v>680</v>
      </c>
      <c r="H1089" t="s">
        <v>55</v>
      </c>
      <c r="I1089">
        <v>6220</v>
      </c>
      <c r="J1089">
        <v>21</v>
      </c>
      <c r="K1089" t="s">
        <v>33</v>
      </c>
      <c r="L1089">
        <v>13212</v>
      </c>
      <c r="M1089" t="s">
        <v>429</v>
      </c>
      <c r="N1089">
        <v>3</v>
      </c>
      <c r="O1089" t="s">
        <v>119</v>
      </c>
      <c r="P1089" t="s">
        <v>1608</v>
      </c>
      <c r="Q1089">
        <v>1926660</v>
      </c>
      <c r="R1089">
        <v>59100000</v>
      </c>
      <c r="S1089">
        <v>150</v>
      </c>
      <c r="T1089">
        <v>394000</v>
      </c>
      <c r="U1089">
        <v>1</v>
      </c>
      <c r="V1089">
        <v>1</v>
      </c>
      <c r="W1089" t="s">
        <v>127</v>
      </c>
      <c r="X1089">
        <v>19700</v>
      </c>
      <c r="Y1089" s="60">
        <v>1926660</v>
      </c>
      <c r="Z1089" s="78">
        <v>59100000</v>
      </c>
      <c r="AA1089">
        <v>394000</v>
      </c>
      <c r="AB1089">
        <v>210</v>
      </c>
      <c r="AC1089" s="34">
        <v>46012</v>
      </c>
      <c r="AD1089" s="34">
        <v>46203</v>
      </c>
      <c r="AE1089" t="s">
        <v>355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 t="s">
        <v>122</v>
      </c>
      <c r="AT1089">
        <v>35460000</v>
      </c>
      <c r="AU1089">
        <v>1155996</v>
      </c>
      <c r="AV1089">
        <v>35460000</v>
      </c>
      <c r="AW1089">
        <v>1155996</v>
      </c>
    </row>
    <row r="1090" spans="1:49" hidden="1" x14ac:dyDescent="0.35">
      <c r="A1090">
        <v>5855610</v>
      </c>
      <c r="B1090">
        <v>5010005855601</v>
      </c>
      <c r="D1090">
        <v>30711814961</v>
      </c>
      <c r="E1090" t="s">
        <v>1611</v>
      </c>
      <c r="G1090" t="s">
        <v>680</v>
      </c>
      <c r="H1090" t="s">
        <v>55</v>
      </c>
      <c r="I1090">
        <v>6220</v>
      </c>
      <c r="J1090">
        <v>21</v>
      </c>
      <c r="K1090" t="s">
        <v>33</v>
      </c>
      <c r="L1090">
        <v>13212</v>
      </c>
      <c r="M1090" t="s">
        <v>429</v>
      </c>
      <c r="N1090">
        <v>4</v>
      </c>
      <c r="O1090" t="s">
        <v>119</v>
      </c>
      <c r="P1090" t="s">
        <v>1609</v>
      </c>
      <c r="Q1090">
        <v>0</v>
      </c>
      <c r="R1090">
        <v>48265000</v>
      </c>
      <c r="S1090">
        <v>175</v>
      </c>
      <c r="T1090">
        <v>275800</v>
      </c>
      <c r="U1090">
        <v>1</v>
      </c>
      <c r="V1090">
        <v>1</v>
      </c>
      <c r="W1090" t="s">
        <v>127</v>
      </c>
      <c r="X1090">
        <v>19700</v>
      </c>
      <c r="Y1090" s="60">
        <v>0</v>
      </c>
      <c r="Z1090" s="78">
        <v>48265000</v>
      </c>
      <c r="AA1090">
        <v>275800</v>
      </c>
      <c r="AB1090">
        <v>210</v>
      </c>
      <c r="AC1090" s="34">
        <v>46012</v>
      </c>
      <c r="AD1090" s="34">
        <v>46203</v>
      </c>
      <c r="AE1090" t="s">
        <v>355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 t="s">
        <v>122</v>
      </c>
      <c r="AT1090">
        <v>28959000</v>
      </c>
      <c r="AU1090">
        <v>0</v>
      </c>
      <c r="AV1090">
        <v>28959000</v>
      </c>
      <c r="AW1090">
        <v>0</v>
      </c>
    </row>
    <row r="1091" spans="1:49" hidden="1" x14ac:dyDescent="0.35">
      <c r="A1091">
        <v>5855610</v>
      </c>
      <c r="B1091">
        <v>5010005855601</v>
      </c>
      <c r="D1091">
        <v>30711814961</v>
      </c>
      <c r="E1091" t="s">
        <v>1611</v>
      </c>
      <c r="F1091" t="s">
        <v>1</v>
      </c>
      <c r="G1091" t="s">
        <v>680</v>
      </c>
      <c r="H1091" t="s">
        <v>55</v>
      </c>
      <c r="I1091">
        <v>6220</v>
      </c>
      <c r="J1091">
        <v>21</v>
      </c>
      <c r="K1091" t="s">
        <v>33</v>
      </c>
      <c r="L1091">
        <v>13212</v>
      </c>
      <c r="M1091" t="s">
        <v>429</v>
      </c>
      <c r="N1091">
        <v>5</v>
      </c>
      <c r="O1091" t="s">
        <v>119</v>
      </c>
      <c r="P1091" t="s">
        <v>1612</v>
      </c>
      <c r="Q1091">
        <v>1772527.2</v>
      </c>
      <c r="R1091">
        <v>54372000</v>
      </c>
      <c r="S1091">
        <v>69</v>
      </c>
      <c r="T1091">
        <v>788000</v>
      </c>
      <c r="U1091">
        <v>1</v>
      </c>
      <c r="V1091">
        <v>1</v>
      </c>
      <c r="W1091" t="s">
        <v>127</v>
      </c>
      <c r="X1091">
        <v>19700</v>
      </c>
      <c r="Y1091" s="60">
        <v>1772527.2</v>
      </c>
      <c r="Z1091" s="78">
        <v>54372000</v>
      </c>
      <c r="AA1091">
        <v>788000</v>
      </c>
      <c r="AB1091">
        <v>210</v>
      </c>
      <c r="AC1091" s="34">
        <v>46012</v>
      </c>
      <c r="AD1091" s="34">
        <v>46203</v>
      </c>
      <c r="AE1091" t="s">
        <v>355</v>
      </c>
      <c r="AF1091">
        <v>1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 t="s">
        <v>122</v>
      </c>
      <c r="AT1091">
        <v>32623200</v>
      </c>
      <c r="AU1091">
        <v>1063516.32</v>
      </c>
      <c r="AV1091">
        <v>32623200</v>
      </c>
      <c r="AW1091">
        <v>1063516.32</v>
      </c>
    </row>
    <row r="1092" spans="1:49" hidden="1" x14ac:dyDescent="0.35">
      <c r="A1092">
        <v>5855610</v>
      </c>
      <c r="B1092">
        <v>5010005855601</v>
      </c>
      <c r="D1092">
        <v>30711814961</v>
      </c>
      <c r="E1092" t="s">
        <v>1611</v>
      </c>
      <c r="F1092" t="s">
        <v>1</v>
      </c>
      <c r="G1092" t="s">
        <v>41</v>
      </c>
      <c r="H1092" t="s">
        <v>41</v>
      </c>
      <c r="I1092">
        <v>7635</v>
      </c>
      <c r="J1092">
        <v>1</v>
      </c>
      <c r="K1092" t="s">
        <v>16</v>
      </c>
      <c r="L1092">
        <v>13212</v>
      </c>
      <c r="M1092" t="s">
        <v>429</v>
      </c>
      <c r="N1092">
        <v>6</v>
      </c>
      <c r="O1092" t="s">
        <v>119</v>
      </c>
      <c r="P1092" t="s">
        <v>1613</v>
      </c>
      <c r="Q1092">
        <v>3673498.4</v>
      </c>
      <c r="R1092">
        <v>112684000</v>
      </c>
      <c r="S1092">
        <v>143</v>
      </c>
      <c r="T1092">
        <v>788000</v>
      </c>
      <c r="U1092">
        <v>1</v>
      </c>
      <c r="V1092">
        <v>1</v>
      </c>
      <c r="W1092" t="s">
        <v>127</v>
      </c>
      <c r="X1092">
        <v>19700</v>
      </c>
      <c r="Y1092">
        <v>3673498.4</v>
      </c>
      <c r="Z1092">
        <v>112684000</v>
      </c>
      <c r="AA1092">
        <v>788000</v>
      </c>
      <c r="AB1092">
        <v>210</v>
      </c>
      <c r="AC1092" s="34">
        <v>46012</v>
      </c>
      <c r="AD1092" s="34">
        <v>46203</v>
      </c>
      <c r="AE1092" t="s">
        <v>355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 t="s">
        <v>122</v>
      </c>
      <c r="AT1092">
        <v>67610400</v>
      </c>
      <c r="AU1092">
        <v>2204099.04</v>
      </c>
      <c r="AV1092">
        <v>67610400</v>
      </c>
      <c r="AW1092">
        <v>2204099.04</v>
      </c>
    </row>
    <row r="1093" spans="1:49" hidden="1" x14ac:dyDescent="0.35">
      <c r="A1093">
        <v>5855710</v>
      </c>
      <c r="B1093">
        <v>5010005855701</v>
      </c>
      <c r="D1093">
        <v>20254067904</v>
      </c>
      <c r="E1093" t="s">
        <v>853</v>
      </c>
      <c r="F1093" t="s">
        <v>1</v>
      </c>
      <c r="G1093" t="s">
        <v>24</v>
      </c>
      <c r="H1093" t="s">
        <v>24</v>
      </c>
      <c r="I1093">
        <v>6070</v>
      </c>
      <c r="J1093">
        <v>1</v>
      </c>
      <c r="K1093" t="s">
        <v>16</v>
      </c>
      <c r="L1093">
        <v>11014</v>
      </c>
      <c r="M1093" t="s">
        <v>232</v>
      </c>
      <c r="N1093">
        <v>1</v>
      </c>
      <c r="O1093" t="s">
        <v>119</v>
      </c>
      <c r="P1093" t="s">
        <v>1614</v>
      </c>
      <c r="Q1093">
        <v>112.14</v>
      </c>
      <c r="R1093">
        <v>6300</v>
      </c>
      <c r="S1093">
        <v>28</v>
      </c>
      <c r="T1093">
        <v>225</v>
      </c>
      <c r="U1093">
        <v>26</v>
      </c>
      <c r="V1093">
        <v>1453</v>
      </c>
      <c r="W1093" t="s">
        <v>121</v>
      </c>
      <c r="X1093" t="s">
        <v>1</v>
      </c>
      <c r="Y1093">
        <v>162939.42000000001</v>
      </c>
      <c r="Z1093">
        <v>9153900</v>
      </c>
      <c r="AA1093">
        <v>326925</v>
      </c>
      <c r="AB1093">
        <v>106</v>
      </c>
      <c r="AC1093" s="34">
        <v>46014</v>
      </c>
      <c r="AD1093" s="34">
        <v>46188</v>
      </c>
      <c r="AF1093">
        <v>0</v>
      </c>
      <c r="AG1093">
        <v>760.95</v>
      </c>
      <c r="AH1093">
        <v>0</v>
      </c>
      <c r="AI1093">
        <v>1105660.3500000001</v>
      </c>
      <c r="AJ1093">
        <v>0</v>
      </c>
      <c r="AK1093">
        <v>0</v>
      </c>
      <c r="AL1093">
        <v>281940.12</v>
      </c>
      <c r="AM1093">
        <v>0</v>
      </c>
      <c r="AN1093">
        <v>1387600.47</v>
      </c>
      <c r="AO1093" t="s">
        <v>122</v>
      </c>
      <c r="AP1093">
        <v>15</v>
      </c>
      <c r="AQ1093">
        <v>114.14</v>
      </c>
      <c r="AR1093">
        <v>165845.42000000001</v>
      </c>
      <c r="AT1093">
        <v>3780</v>
      </c>
      <c r="AU1093">
        <v>67.28</v>
      </c>
      <c r="AV1093">
        <v>5492340</v>
      </c>
      <c r="AW1093">
        <v>97757.84</v>
      </c>
    </row>
    <row r="1094" spans="1:49" hidden="1" x14ac:dyDescent="0.35">
      <c r="A1094">
        <v>5855710</v>
      </c>
      <c r="B1094">
        <v>5010005855701</v>
      </c>
      <c r="D1094">
        <v>20254067904</v>
      </c>
      <c r="E1094" t="s">
        <v>853</v>
      </c>
      <c r="F1094" t="s">
        <v>1</v>
      </c>
      <c r="G1094" t="s">
        <v>24</v>
      </c>
      <c r="H1094" t="s">
        <v>24</v>
      </c>
      <c r="I1094">
        <v>6070</v>
      </c>
      <c r="J1094">
        <v>1</v>
      </c>
      <c r="K1094" t="s">
        <v>16</v>
      </c>
      <c r="L1094">
        <v>11014</v>
      </c>
      <c r="M1094" t="s">
        <v>232</v>
      </c>
      <c r="N1094">
        <v>2</v>
      </c>
      <c r="O1094" t="s">
        <v>119</v>
      </c>
      <c r="P1094" t="s">
        <v>1615</v>
      </c>
      <c r="Q1094">
        <v>96.12</v>
      </c>
      <c r="R1094">
        <v>5400</v>
      </c>
      <c r="S1094">
        <v>24</v>
      </c>
      <c r="T1094">
        <v>225</v>
      </c>
      <c r="U1094">
        <v>26</v>
      </c>
      <c r="V1094">
        <v>1453</v>
      </c>
      <c r="W1094" t="s">
        <v>121</v>
      </c>
      <c r="X1094" t="s">
        <v>1</v>
      </c>
      <c r="Y1094">
        <v>139662.35999999999</v>
      </c>
      <c r="Z1094">
        <v>7846200</v>
      </c>
      <c r="AA1094">
        <v>326925</v>
      </c>
      <c r="AB1094">
        <v>106</v>
      </c>
      <c r="AC1094" s="34">
        <v>46014</v>
      </c>
      <c r="AD1094" s="34">
        <v>46188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 t="s">
        <v>122</v>
      </c>
      <c r="AT1094">
        <v>3240</v>
      </c>
      <c r="AU1094">
        <v>57.67</v>
      </c>
      <c r="AV1094">
        <v>4707720</v>
      </c>
      <c r="AW1094">
        <v>83794.509999999995</v>
      </c>
    </row>
    <row r="1095" spans="1:49" hidden="1" x14ac:dyDescent="0.35">
      <c r="A1095">
        <v>5855710</v>
      </c>
      <c r="B1095">
        <v>5010005855701</v>
      </c>
      <c r="D1095">
        <v>20254067904</v>
      </c>
      <c r="E1095" t="s">
        <v>853</v>
      </c>
      <c r="F1095" t="s">
        <v>1</v>
      </c>
      <c r="G1095" t="s">
        <v>24</v>
      </c>
      <c r="H1095" t="s">
        <v>24</v>
      </c>
      <c r="I1095">
        <v>6070</v>
      </c>
      <c r="J1095">
        <v>1</v>
      </c>
      <c r="K1095" t="s">
        <v>16</v>
      </c>
      <c r="L1095">
        <v>11014</v>
      </c>
      <c r="M1095" t="s">
        <v>232</v>
      </c>
      <c r="N1095">
        <v>3</v>
      </c>
      <c r="O1095" t="s">
        <v>119</v>
      </c>
      <c r="P1095" t="s">
        <v>1616</v>
      </c>
      <c r="Q1095">
        <v>232.29</v>
      </c>
      <c r="R1095">
        <v>13050</v>
      </c>
      <c r="S1095">
        <v>58</v>
      </c>
      <c r="T1095">
        <v>225</v>
      </c>
      <c r="U1095">
        <v>26</v>
      </c>
      <c r="V1095">
        <v>1453</v>
      </c>
      <c r="W1095" t="s">
        <v>121</v>
      </c>
      <c r="X1095" t="s">
        <v>1</v>
      </c>
      <c r="Y1095">
        <v>337517.37</v>
      </c>
      <c r="Z1095">
        <v>18961650</v>
      </c>
      <c r="AA1095">
        <v>326925</v>
      </c>
      <c r="AB1095">
        <v>106</v>
      </c>
      <c r="AC1095" s="34">
        <v>46014</v>
      </c>
      <c r="AD1095" s="34">
        <v>46188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 t="s">
        <v>122</v>
      </c>
      <c r="AT1095">
        <v>7830</v>
      </c>
      <c r="AU1095">
        <v>139.37</v>
      </c>
      <c r="AV1095">
        <v>11376990</v>
      </c>
      <c r="AW1095">
        <v>202504.61</v>
      </c>
    </row>
    <row r="1096" spans="1:49" hidden="1" x14ac:dyDescent="0.35">
      <c r="A1096">
        <v>5855710</v>
      </c>
      <c r="B1096">
        <v>5010005855701</v>
      </c>
      <c r="D1096">
        <v>20254067904</v>
      </c>
      <c r="E1096" t="s">
        <v>853</v>
      </c>
      <c r="F1096" t="s">
        <v>1</v>
      </c>
      <c r="G1096" t="s">
        <v>24</v>
      </c>
      <c r="H1096" t="s">
        <v>24</v>
      </c>
      <c r="I1096">
        <v>6070</v>
      </c>
      <c r="J1096">
        <v>1</v>
      </c>
      <c r="K1096" t="s">
        <v>16</v>
      </c>
      <c r="L1096">
        <v>11014</v>
      </c>
      <c r="M1096" t="s">
        <v>232</v>
      </c>
      <c r="N1096">
        <v>4</v>
      </c>
      <c r="O1096" t="s">
        <v>119</v>
      </c>
      <c r="P1096" t="s">
        <v>1617</v>
      </c>
      <c r="Q1096">
        <v>320.39999999999998</v>
      </c>
      <c r="R1096">
        <v>18000</v>
      </c>
      <c r="S1096">
        <v>80</v>
      </c>
      <c r="T1096">
        <v>225</v>
      </c>
      <c r="U1096">
        <v>26</v>
      </c>
      <c r="V1096">
        <v>1453</v>
      </c>
      <c r="W1096" t="s">
        <v>121</v>
      </c>
      <c r="X1096" t="s">
        <v>1</v>
      </c>
      <c r="Y1096">
        <v>465541.2</v>
      </c>
      <c r="Z1096">
        <v>26154000</v>
      </c>
      <c r="AA1096">
        <v>326925</v>
      </c>
      <c r="AB1096">
        <v>106</v>
      </c>
      <c r="AC1096" s="34">
        <v>46014</v>
      </c>
      <c r="AD1096" s="34">
        <v>46188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 t="s">
        <v>122</v>
      </c>
      <c r="AT1096">
        <v>10800</v>
      </c>
      <c r="AU1096">
        <v>192.24</v>
      </c>
      <c r="AV1096">
        <v>15692400</v>
      </c>
      <c r="AW1096">
        <v>279324.71999999997</v>
      </c>
    </row>
    <row r="1097" spans="1:49" hidden="1" x14ac:dyDescent="0.35">
      <c r="A1097">
        <v>5855810</v>
      </c>
      <c r="B1097">
        <v>5010005855801</v>
      </c>
      <c r="D1097">
        <v>33708724179</v>
      </c>
      <c r="E1097" t="s">
        <v>858</v>
      </c>
      <c r="F1097" t="s">
        <v>1</v>
      </c>
      <c r="G1097" t="s">
        <v>24</v>
      </c>
      <c r="H1097" t="s">
        <v>24</v>
      </c>
      <c r="I1097">
        <v>6070</v>
      </c>
      <c r="J1097">
        <v>1</v>
      </c>
      <c r="K1097" t="s">
        <v>16</v>
      </c>
      <c r="L1097">
        <v>11014</v>
      </c>
      <c r="M1097" t="s">
        <v>232</v>
      </c>
      <c r="N1097">
        <v>1</v>
      </c>
      <c r="O1097" t="s">
        <v>119</v>
      </c>
      <c r="P1097" t="s">
        <v>1614</v>
      </c>
      <c r="Q1097">
        <v>112.14</v>
      </c>
      <c r="R1097">
        <v>6300</v>
      </c>
      <c r="S1097">
        <v>28</v>
      </c>
      <c r="T1097">
        <v>225</v>
      </c>
      <c r="U1097">
        <v>26</v>
      </c>
      <c r="V1097">
        <v>1453</v>
      </c>
      <c r="W1097" t="s">
        <v>121</v>
      </c>
      <c r="X1097" t="s">
        <v>1</v>
      </c>
      <c r="Y1097">
        <v>162939.42000000001</v>
      </c>
      <c r="Z1097">
        <v>9153900</v>
      </c>
      <c r="AA1097">
        <v>326925</v>
      </c>
      <c r="AB1097">
        <v>106</v>
      </c>
      <c r="AC1097" s="34">
        <v>46014</v>
      </c>
      <c r="AD1097" s="34">
        <v>46188</v>
      </c>
      <c r="AF1097">
        <v>0</v>
      </c>
      <c r="AG1097">
        <v>760.95</v>
      </c>
      <c r="AH1097">
        <v>0</v>
      </c>
      <c r="AI1097">
        <v>1105660.3500000001</v>
      </c>
      <c r="AJ1097">
        <v>0</v>
      </c>
      <c r="AK1097">
        <v>0</v>
      </c>
      <c r="AL1097">
        <v>277523</v>
      </c>
      <c r="AM1097">
        <v>0</v>
      </c>
      <c r="AN1097">
        <v>1383183.35</v>
      </c>
      <c r="AO1097" t="s">
        <v>122</v>
      </c>
      <c r="AP1097">
        <v>15</v>
      </c>
      <c r="AQ1097">
        <v>114.14</v>
      </c>
      <c r="AR1097">
        <v>165845.42000000001</v>
      </c>
      <c r="AT1097">
        <v>3780</v>
      </c>
      <c r="AU1097">
        <v>67.28</v>
      </c>
      <c r="AV1097">
        <v>5492340</v>
      </c>
      <c r="AW1097">
        <v>97757.84</v>
      </c>
    </row>
    <row r="1098" spans="1:49" hidden="1" x14ac:dyDescent="0.35">
      <c r="A1098">
        <v>5855810</v>
      </c>
      <c r="B1098">
        <v>5010005855801</v>
      </c>
      <c r="D1098">
        <v>33708724179</v>
      </c>
      <c r="E1098" t="s">
        <v>858</v>
      </c>
      <c r="F1098" t="s">
        <v>1</v>
      </c>
      <c r="G1098" t="s">
        <v>24</v>
      </c>
      <c r="H1098" t="s">
        <v>24</v>
      </c>
      <c r="I1098">
        <v>6070</v>
      </c>
      <c r="J1098">
        <v>1</v>
      </c>
      <c r="K1098" t="s">
        <v>16</v>
      </c>
      <c r="L1098">
        <v>11014</v>
      </c>
      <c r="M1098" t="s">
        <v>232</v>
      </c>
      <c r="N1098">
        <v>2</v>
      </c>
      <c r="O1098" t="s">
        <v>119</v>
      </c>
      <c r="P1098" t="s">
        <v>1615</v>
      </c>
      <c r="Q1098">
        <v>96.12</v>
      </c>
      <c r="R1098">
        <v>5400</v>
      </c>
      <c r="S1098">
        <v>24</v>
      </c>
      <c r="T1098">
        <v>225</v>
      </c>
      <c r="U1098">
        <v>26</v>
      </c>
      <c r="V1098">
        <v>1453</v>
      </c>
      <c r="W1098" t="s">
        <v>121</v>
      </c>
      <c r="X1098" t="s">
        <v>1</v>
      </c>
      <c r="Y1098">
        <v>139662.35999999999</v>
      </c>
      <c r="Z1098">
        <v>7846200</v>
      </c>
      <c r="AA1098">
        <v>326925</v>
      </c>
      <c r="AB1098">
        <v>106</v>
      </c>
      <c r="AC1098" s="34">
        <v>46014</v>
      </c>
      <c r="AD1098" s="34">
        <v>46188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 t="s">
        <v>122</v>
      </c>
      <c r="AT1098">
        <v>3240</v>
      </c>
      <c r="AU1098">
        <v>57.67</v>
      </c>
      <c r="AV1098">
        <v>4707720</v>
      </c>
      <c r="AW1098">
        <v>83794.509999999995</v>
      </c>
    </row>
    <row r="1099" spans="1:49" hidden="1" x14ac:dyDescent="0.35">
      <c r="A1099">
        <v>5855810</v>
      </c>
      <c r="B1099">
        <v>5010005855801</v>
      </c>
      <c r="D1099">
        <v>33708724179</v>
      </c>
      <c r="E1099" t="s">
        <v>858</v>
      </c>
      <c r="F1099" t="s">
        <v>1</v>
      </c>
      <c r="G1099" t="s">
        <v>24</v>
      </c>
      <c r="H1099" t="s">
        <v>24</v>
      </c>
      <c r="I1099">
        <v>6070</v>
      </c>
      <c r="J1099">
        <v>1</v>
      </c>
      <c r="K1099" t="s">
        <v>16</v>
      </c>
      <c r="L1099">
        <v>11014</v>
      </c>
      <c r="M1099" t="s">
        <v>232</v>
      </c>
      <c r="N1099">
        <v>3</v>
      </c>
      <c r="O1099" t="s">
        <v>119</v>
      </c>
      <c r="P1099" t="s">
        <v>1618</v>
      </c>
      <c r="Q1099">
        <v>232.29</v>
      </c>
      <c r="R1099">
        <v>13050</v>
      </c>
      <c r="S1099">
        <v>58</v>
      </c>
      <c r="T1099">
        <v>225</v>
      </c>
      <c r="U1099">
        <v>26</v>
      </c>
      <c r="V1099">
        <v>1453</v>
      </c>
      <c r="W1099" t="s">
        <v>121</v>
      </c>
      <c r="X1099" t="s">
        <v>1</v>
      </c>
      <c r="Y1099">
        <v>337517.37</v>
      </c>
      <c r="Z1099">
        <v>18961650</v>
      </c>
      <c r="AA1099">
        <v>326925</v>
      </c>
      <c r="AB1099">
        <v>106</v>
      </c>
      <c r="AC1099" s="34">
        <v>46014</v>
      </c>
      <c r="AD1099" s="34">
        <v>46188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 t="s">
        <v>122</v>
      </c>
      <c r="AT1099">
        <v>7830</v>
      </c>
      <c r="AU1099">
        <v>139.37</v>
      </c>
      <c r="AV1099">
        <v>11376990</v>
      </c>
      <c r="AW1099">
        <v>202504.61</v>
      </c>
    </row>
    <row r="1100" spans="1:49" hidden="1" x14ac:dyDescent="0.35">
      <c r="A1100">
        <v>5855810</v>
      </c>
      <c r="B1100">
        <v>5010005855801</v>
      </c>
      <c r="D1100">
        <v>33708724179</v>
      </c>
      <c r="E1100" t="s">
        <v>858</v>
      </c>
      <c r="F1100" t="s">
        <v>1</v>
      </c>
      <c r="G1100" t="s">
        <v>24</v>
      </c>
      <c r="H1100" t="s">
        <v>24</v>
      </c>
      <c r="I1100">
        <v>6070</v>
      </c>
      <c r="J1100">
        <v>1</v>
      </c>
      <c r="K1100" t="s">
        <v>16</v>
      </c>
      <c r="L1100">
        <v>11014</v>
      </c>
      <c r="M1100" t="s">
        <v>232</v>
      </c>
      <c r="N1100">
        <v>4</v>
      </c>
      <c r="O1100" t="s">
        <v>119</v>
      </c>
      <c r="P1100" t="s">
        <v>1619</v>
      </c>
      <c r="Q1100">
        <v>320.39999999999998</v>
      </c>
      <c r="R1100">
        <v>18000</v>
      </c>
      <c r="S1100">
        <v>80</v>
      </c>
      <c r="T1100">
        <v>225</v>
      </c>
      <c r="U1100">
        <v>26</v>
      </c>
      <c r="V1100">
        <v>1453</v>
      </c>
      <c r="W1100" t="s">
        <v>121</v>
      </c>
      <c r="X1100" t="s">
        <v>1</v>
      </c>
      <c r="Y1100">
        <v>465541.2</v>
      </c>
      <c r="Z1100">
        <v>26154000</v>
      </c>
      <c r="AA1100">
        <v>326925</v>
      </c>
      <c r="AB1100">
        <v>106</v>
      </c>
      <c r="AC1100" s="34">
        <v>46014</v>
      </c>
      <c r="AD1100" s="34">
        <v>46188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 t="s">
        <v>122</v>
      </c>
      <c r="AT1100">
        <v>10800</v>
      </c>
      <c r="AU1100">
        <v>192.24</v>
      </c>
      <c r="AV1100">
        <v>15692400</v>
      </c>
      <c r="AW1100">
        <v>279324.71999999997</v>
      </c>
    </row>
    <row r="1101" spans="1:49" hidden="1" x14ac:dyDescent="0.35">
      <c r="A1101">
        <v>5855910</v>
      </c>
      <c r="B1101">
        <v>1090005855901</v>
      </c>
      <c r="D1101">
        <v>20244445110</v>
      </c>
      <c r="E1101" t="s">
        <v>1620</v>
      </c>
      <c r="F1101" t="s">
        <v>1</v>
      </c>
      <c r="G1101" t="s">
        <v>1621</v>
      </c>
      <c r="H1101" t="s">
        <v>54</v>
      </c>
      <c r="I1101">
        <v>6326</v>
      </c>
      <c r="J1101">
        <v>21</v>
      </c>
      <c r="K1101" t="s">
        <v>33</v>
      </c>
      <c r="L1101">
        <v>82963</v>
      </c>
      <c r="M1101" t="s">
        <v>396</v>
      </c>
      <c r="N1101">
        <v>1</v>
      </c>
      <c r="O1101" t="s">
        <v>119</v>
      </c>
      <c r="P1101" t="s">
        <v>1622</v>
      </c>
      <c r="Q1101">
        <v>2227.5</v>
      </c>
      <c r="R1101">
        <v>67500</v>
      </c>
      <c r="S1101">
        <v>135</v>
      </c>
      <c r="T1101">
        <v>500</v>
      </c>
      <c r="U1101">
        <v>26</v>
      </c>
      <c r="V1101">
        <v>1453</v>
      </c>
      <c r="W1101" t="s">
        <v>121</v>
      </c>
      <c r="X1101" t="s">
        <v>1</v>
      </c>
      <c r="Y1101">
        <v>3236557.5</v>
      </c>
      <c r="Z1101">
        <v>98077500</v>
      </c>
      <c r="AA1101">
        <v>726500</v>
      </c>
      <c r="AB1101">
        <v>106</v>
      </c>
      <c r="AC1101" s="34">
        <v>46016</v>
      </c>
      <c r="AD1101" s="34">
        <v>46173</v>
      </c>
      <c r="AE1101" t="s">
        <v>161</v>
      </c>
      <c r="AF1101">
        <v>0</v>
      </c>
      <c r="AG1101">
        <v>4603.5</v>
      </c>
      <c r="AH1101">
        <v>0</v>
      </c>
      <c r="AI1101">
        <v>6688885.5</v>
      </c>
      <c r="AJ1101">
        <v>0</v>
      </c>
      <c r="AK1101">
        <v>0</v>
      </c>
      <c r="AL1101">
        <v>1678926.97</v>
      </c>
      <c r="AM1101">
        <v>0</v>
      </c>
      <c r="AN1101">
        <v>8367812.4699999997</v>
      </c>
      <c r="AO1101" t="s">
        <v>122</v>
      </c>
      <c r="AP1101">
        <v>10</v>
      </c>
      <c r="AQ1101">
        <v>460.35</v>
      </c>
      <c r="AR1101">
        <v>668888.55000000005</v>
      </c>
      <c r="AT1101">
        <v>40500</v>
      </c>
      <c r="AU1101">
        <v>1336.5</v>
      </c>
      <c r="AV1101">
        <v>58846500</v>
      </c>
      <c r="AW1101">
        <v>1941934.5</v>
      </c>
    </row>
    <row r="1102" spans="1:49" hidden="1" x14ac:dyDescent="0.35">
      <c r="A1102">
        <v>5855910</v>
      </c>
      <c r="B1102">
        <v>1090005855901</v>
      </c>
      <c r="D1102">
        <v>20244445110</v>
      </c>
      <c r="E1102" t="s">
        <v>1620</v>
      </c>
      <c r="F1102" t="s">
        <v>1</v>
      </c>
      <c r="G1102" t="s">
        <v>1621</v>
      </c>
      <c r="H1102" t="s">
        <v>54</v>
      </c>
      <c r="I1102">
        <v>6326</v>
      </c>
      <c r="J1102">
        <v>21</v>
      </c>
      <c r="K1102" t="s">
        <v>33</v>
      </c>
      <c r="L1102">
        <v>82963</v>
      </c>
      <c r="M1102" t="s">
        <v>396</v>
      </c>
      <c r="N1102">
        <v>2</v>
      </c>
      <c r="O1102" t="s">
        <v>119</v>
      </c>
      <c r="P1102" t="s">
        <v>1623</v>
      </c>
      <c r="Q1102">
        <v>940.5</v>
      </c>
      <c r="R1102">
        <v>28500</v>
      </c>
      <c r="S1102">
        <v>57</v>
      </c>
      <c r="T1102">
        <v>500</v>
      </c>
      <c r="U1102">
        <v>26</v>
      </c>
      <c r="V1102">
        <v>1453</v>
      </c>
      <c r="W1102" t="s">
        <v>121</v>
      </c>
      <c r="X1102" t="s">
        <v>1</v>
      </c>
      <c r="Y1102">
        <v>1366546.5</v>
      </c>
      <c r="Z1102">
        <v>41410500</v>
      </c>
      <c r="AA1102">
        <v>726500</v>
      </c>
      <c r="AB1102">
        <v>106</v>
      </c>
      <c r="AC1102" s="34">
        <v>46016</v>
      </c>
      <c r="AD1102" s="34">
        <v>46173</v>
      </c>
      <c r="AE1102" t="s">
        <v>161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 t="s">
        <v>122</v>
      </c>
      <c r="AT1102">
        <v>17100</v>
      </c>
      <c r="AU1102">
        <v>564.29999999999995</v>
      </c>
      <c r="AV1102">
        <v>24846300</v>
      </c>
      <c r="AW1102">
        <v>819927.9</v>
      </c>
    </row>
    <row r="1103" spans="1:49" hidden="1" x14ac:dyDescent="0.35">
      <c r="A1103">
        <v>5855910</v>
      </c>
      <c r="B1103">
        <v>1090005855901</v>
      </c>
      <c r="D1103">
        <v>20244445110</v>
      </c>
      <c r="E1103" t="s">
        <v>1620</v>
      </c>
      <c r="F1103" t="s">
        <v>1</v>
      </c>
      <c r="G1103" t="s">
        <v>56</v>
      </c>
      <c r="H1103" t="s">
        <v>56</v>
      </c>
      <c r="I1103">
        <v>6381</v>
      </c>
      <c r="J1103">
        <v>21</v>
      </c>
      <c r="K1103" t="s">
        <v>33</v>
      </c>
      <c r="L1103">
        <v>82963</v>
      </c>
      <c r="M1103" t="s">
        <v>396</v>
      </c>
      <c r="N1103">
        <v>3</v>
      </c>
      <c r="O1103" t="s">
        <v>119</v>
      </c>
      <c r="P1103" t="s">
        <v>1624</v>
      </c>
      <c r="Q1103">
        <v>1435.5</v>
      </c>
      <c r="R1103">
        <v>43500</v>
      </c>
      <c r="S1103">
        <v>87</v>
      </c>
      <c r="T1103">
        <v>500</v>
      </c>
      <c r="U1103">
        <v>26</v>
      </c>
      <c r="V1103">
        <v>1453</v>
      </c>
      <c r="W1103" t="s">
        <v>121</v>
      </c>
      <c r="X1103" t="s">
        <v>1</v>
      </c>
      <c r="Y1103">
        <v>2085781.5</v>
      </c>
      <c r="Z1103">
        <v>63205500</v>
      </c>
      <c r="AA1103">
        <v>726500</v>
      </c>
      <c r="AB1103">
        <v>106</v>
      </c>
      <c r="AC1103" s="34">
        <v>46016</v>
      </c>
      <c r="AD1103" s="34">
        <v>46173</v>
      </c>
      <c r="AE1103" t="s">
        <v>161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 t="s">
        <v>122</v>
      </c>
      <c r="AT1103">
        <v>26100</v>
      </c>
      <c r="AU1103">
        <v>861.3</v>
      </c>
      <c r="AV1103">
        <v>37923300</v>
      </c>
      <c r="AW1103">
        <v>1251468.8999999999</v>
      </c>
    </row>
    <row r="1104" spans="1:49" hidden="1" x14ac:dyDescent="0.35">
      <c r="A1104">
        <v>5856210</v>
      </c>
      <c r="B1104">
        <v>1090005856201</v>
      </c>
      <c r="D1104">
        <v>23259033349</v>
      </c>
      <c r="E1104" t="s">
        <v>932</v>
      </c>
      <c r="F1104" t="s">
        <v>1</v>
      </c>
      <c r="G1104" t="s">
        <v>395</v>
      </c>
      <c r="H1104" t="s">
        <v>56</v>
      </c>
      <c r="I1104">
        <v>6380</v>
      </c>
      <c r="J1104">
        <v>21</v>
      </c>
      <c r="K1104" t="s">
        <v>33</v>
      </c>
      <c r="L1104">
        <v>82963</v>
      </c>
      <c r="M1104" t="s">
        <v>396</v>
      </c>
      <c r="N1104">
        <v>1</v>
      </c>
      <c r="O1104" t="s">
        <v>119</v>
      </c>
      <c r="P1104" t="s">
        <v>1625</v>
      </c>
      <c r="Q1104">
        <v>4380</v>
      </c>
      <c r="R1104">
        <v>120000</v>
      </c>
      <c r="S1104">
        <v>240</v>
      </c>
      <c r="T1104">
        <v>500</v>
      </c>
      <c r="U1104">
        <v>26</v>
      </c>
      <c r="V1104">
        <v>1453</v>
      </c>
      <c r="W1104" t="s">
        <v>121</v>
      </c>
      <c r="X1104" t="s">
        <v>1</v>
      </c>
      <c r="Y1104">
        <v>6364140</v>
      </c>
      <c r="Z1104">
        <v>174360000</v>
      </c>
      <c r="AA1104">
        <v>726500</v>
      </c>
      <c r="AB1104">
        <v>106</v>
      </c>
      <c r="AC1104" s="34">
        <v>46016</v>
      </c>
      <c r="AD1104" s="34">
        <v>46173</v>
      </c>
      <c r="AE1104" t="s">
        <v>161</v>
      </c>
      <c r="AF1104">
        <v>0</v>
      </c>
      <c r="AG1104">
        <v>6004.25</v>
      </c>
      <c r="AH1104">
        <v>0</v>
      </c>
      <c r="AI1104">
        <v>8724175.25</v>
      </c>
      <c r="AJ1104">
        <v>0</v>
      </c>
      <c r="AK1104">
        <v>0</v>
      </c>
      <c r="AL1104">
        <v>2189772.71</v>
      </c>
      <c r="AM1104">
        <v>0</v>
      </c>
      <c r="AN1104">
        <v>10913947.960000001</v>
      </c>
      <c r="AO1104" t="s">
        <v>122</v>
      </c>
      <c r="AP1104">
        <v>10</v>
      </c>
      <c r="AQ1104">
        <v>600.42999999999995</v>
      </c>
      <c r="AR1104">
        <v>872424.79</v>
      </c>
      <c r="AT1104">
        <v>72000</v>
      </c>
      <c r="AU1104">
        <v>2628</v>
      </c>
      <c r="AV1104">
        <v>104616000</v>
      </c>
      <c r="AW1104">
        <v>3818484</v>
      </c>
    </row>
    <row r="1105" spans="1:49" hidden="1" x14ac:dyDescent="0.35">
      <c r="A1105">
        <v>5856210</v>
      </c>
      <c r="B1105">
        <v>1090005856201</v>
      </c>
      <c r="D1105">
        <v>23259033349</v>
      </c>
      <c r="E1105" t="s">
        <v>932</v>
      </c>
      <c r="F1105" t="s">
        <v>1</v>
      </c>
      <c r="G1105" t="s">
        <v>395</v>
      </c>
      <c r="H1105" t="s">
        <v>56</v>
      </c>
      <c r="I1105">
        <v>6380</v>
      </c>
      <c r="J1105">
        <v>21</v>
      </c>
      <c r="K1105" t="s">
        <v>33</v>
      </c>
      <c r="L1105">
        <v>82963</v>
      </c>
      <c r="M1105" t="s">
        <v>396</v>
      </c>
      <c r="N1105">
        <v>2</v>
      </c>
      <c r="O1105" t="s">
        <v>119</v>
      </c>
      <c r="P1105" t="s">
        <v>1626</v>
      </c>
      <c r="Q1105">
        <v>784.75</v>
      </c>
      <c r="R1105">
        <v>21500</v>
      </c>
      <c r="S1105">
        <v>43</v>
      </c>
      <c r="T1105">
        <v>500</v>
      </c>
      <c r="U1105">
        <v>26</v>
      </c>
      <c r="V1105">
        <v>1453</v>
      </c>
      <c r="W1105" t="s">
        <v>121</v>
      </c>
      <c r="X1105" t="s">
        <v>1</v>
      </c>
      <c r="Y1105">
        <v>1140241.75</v>
      </c>
      <c r="Z1105">
        <v>31239500</v>
      </c>
      <c r="AA1105">
        <v>726500</v>
      </c>
      <c r="AB1105">
        <v>106</v>
      </c>
      <c r="AC1105" s="34">
        <v>46016</v>
      </c>
      <c r="AD1105" s="34">
        <v>46173</v>
      </c>
      <c r="AE1105" t="s">
        <v>161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 t="s">
        <v>122</v>
      </c>
      <c r="AT1105">
        <v>12900</v>
      </c>
      <c r="AU1105">
        <v>470.85</v>
      </c>
      <c r="AV1105">
        <v>18743700</v>
      </c>
      <c r="AW1105">
        <v>684145.05</v>
      </c>
    </row>
    <row r="1106" spans="1:49" hidden="1" x14ac:dyDescent="0.35">
      <c r="A1106">
        <v>5856210</v>
      </c>
      <c r="B1106">
        <v>1090005856201</v>
      </c>
      <c r="D1106">
        <v>23259033349</v>
      </c>
      <c r="E1106" t="s">
        <v>932</v>
      </c>
      <c r="F1106" t="s">
        <v>1</v>
      </c>
      <c r="G1106" t="s">
        <v>395</v>
      </c>
      <c r="H1106" t="s">
        <v>56</v>
      </c>
      <c r="I1106">
        <v>6380</v>
      </c>
      <c r="J1106">
        <v>21</v>
      </c>
      <c r="K1106" t="s">
        <v>33</v>
      </c>
      <c r="L1106">
        <v>82963</v>
      </c>
      <c r="M1106" t="s">
        <v>396</v>
      </c>
      <c r="N1106">
        <v>3</v>
      </c>
      <c r="O1106" t="s">
        <v>119</v>
      </c>
      <c r="P1106" t="s">
        <v>1627</v>
      </c>
      <c r="Q1106">
        <v>839.5</v>
      </c>
      <c r="R1106">
        <v>23000</v>
      </c>
      <c r="S1106">
        <v>92</v>
      </c>
      <c r="T1106">
        <v>250</v>
      </c>
      <c r="U1106">
        <v>26</v>
      </c>
      <c r="V1106">
        <v>1453</v>
      </c>
      <c r="W1106" t="s">
        <v>121</v>
      </c>
      <c r="X1106" t="s">
        <v>1</v>
      </c>
      <c r="Y1106">
        <v>1219793.5</v>
      </c>
      <c r="Z1106">
        <v>33419000</v>
      </c>
      <c r="AA1106">
        <v>363250</v>
      </c>
      <c r="AB1106">
        <v>106</v>
      </c>
      <c r="AC1106" s="34">
        <v>46016</v>
      </c>
      <c r="AD1106" s="34">
        <v>46173</v>
      </c>
      <c r="AE1106" t="s">
        <v>161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 t="s">
        <v>122</v>
      </c>
      <c r="AT1106">
        <v>13800</v>
      </c>
      <c r="AU1106">
        <v>503.7</v>
      </c>
      <c r="AV1106">
        <v>20051400</v>
      </c>
      <c r="AW1106">
        <v>731876.1</v>
      </c>
    </row>
    <row r="1107" spans="1:49" hidden="1" x14ac:dyDescent="0.35">
      <c r="A1107">
        <v>5856310</v>
      </c>
      <c r="B1107">
        <v>1170005856301</v>
      </c>
      <c r="D1107">
        <v>20272782874</v>
      </c>
      <c r="E1107" t="s">
        <v>305</v>
      </c>
      <c r="F1107" t="s">
        <v>1</v>
      </c>
      <c r="G1107" t="s">
        <v>296</v>
      </c>
      <c r="H1107" t="s">
        <v>297</v>
      </c>
      <c r="I1107">
        <v>2107</v>
      </c>
      <c r="J1107">
        <v>12</v>
      </c>
      <c r="K1107" t="s">
        <v>34</v>
      </c>
      <c r="L1107">
        <v>10987</v>
      </c>
      <c r="M1107" t="s">
        <v>298</v>
      </c>
      <c r="N1107">
        <v>1</v>
      </c>
      <c r="O1107" t="s">
        <v>119</v>
      </c>
      <c r="P1107" t="s">
        <v>1628</v>
      </c>
      <c r="Q1107">
        <v>760023</v>
      </c>
      <c r="R1107">
        <v>26136000</v>
      </c>
      <c r="S1107">
        <v>88</v>
      </c>
      <c r="T1107">
        <v>297000</v>
      </c>
      <c r="U1107">
        <v>1</v>
      </c>
      <c r="V1107">
        <v>1</v>
      </c>
      <c r="W1107" t="s">
        <v>127</v>
      </c>
      <c r="X1107">
        <v>29700</v>
      </c>
      <c r="Y1107">
        <v>760023</v>
      </c>
      <c r="Z1107">
        <v>26136000</v>
      </c>
      <c r="AA1107">
        <v>297000</v>
      </c>
      <c r="AB1107">
        <v>105</v>
      </c>
      <c r="AC1107" s="34">
        <v>46040</v>
      </c>
      <c r="AD1107" s="34">
        <v>46188</v>
      </c>
      <c r="AF1107">
        <v>0</v>
      </c>
      <c r="AG1107">
        <v>760023</v>
      </c>
      <c r="AH1107">
        <v>0</v>
      </c>
      <c r="AI1107">
        <v>760023</v>
      </c>
      <c r="AJ1107">
        <v>0</v>
      </c>
      <c r="AK1107">
        <v>0</v>
      </c>
      <c r="AL1107">
        <v>194565.9</v>
      </c>
      <c r="AM1107">
        <v>0</v>
      </c>
      <c r="AN1107">
        <v>954588.9</v>
      </c>
      <c r="AO1107" t="s">
        <v>122</v>
      </c>
      <c r="AP1107">
        <v>15</v>
      </c>
      <c r="AQ1107">
        <v>114003.45</v>
      </c>
      <c r="AR1107">
        <v>114003.45</v>
      </c>
      <c r="AT1107">
        <v>15681600</v>
      </c>
      <c r="AU1107">
        <v>456013.8</v>
      </c>
      <c r="AV1107">
        <v>15681600</v>
      </c>
      <c r="AW1107">
        <v>456013.8</v>
      </c>
    </row>
    <row r="1108" spans="1:49" hidden="1" x14ac:dyDescent="0.35">
      <c r="A1108">
        <v>5856410</v>
      </c>
      <c r="B1108">
        <v>1170005856401</v>
      </c>
      <c r="D1108">
        <v>20162456165</v>
      </c>
      <c r="E1108" t="s">
        <v>333</v>
      </c>
      <c r="F1108" t="s">
        <v>1</v>
      </c>
      <c r="G1108" t="s">
        <v>296</v>
      </c>
      <c r="H1108" t="s">
        <v>297</v>
      </c>
      <c r="I1108">
        <v>2107</v>
      </c>
      <c r="J1108">
        <v>12</v>
      </c>
      <c r="K1108" t="s">
        <v>34</v>
      </c>
      <c r="L1108">
        <v>10987</v>
      </c>
      <c r="M1108" t="s">
        <v>298</v>
      </c>
      <c r="N1108">
        <v>1</v>
      </c>
      <c r="O1108" t="s">
        <v>119</v>
      </c>
      <c r="P1108" t="s">
        <v>1629</v>
      </c>
      <c r="Q1108">
        <v>760023</v>
      </c>
      <c r="R1108">
        <v>26136000</v>
      </c>
      <c r="S1108">
        <v>88</v>
      </c>
      <c r="T1108">
        <v>297000</v>
      </c>
      <c r="U1108">
        <v>1</v>
      </c>
      <c r="V1108">
        <v>1</v>
      </c>
      <c r="W1108" t="s">
        <v>127</v>
      </c>
      <c r="X1108">
        <v>29700</v>
      </c>
      <c r="Y1108">
        <v>760023</v>
      </c>
      <c r="Z1108">
        <v>26136000</v>
      </c>
      <c r="AA1108">
        <v>297000</v>
      </c>
      <c r="AB1108">
        <v>105</v>
      </c>
      <c r="AC1108" s="34">
        <v>46040</v>
      </c>
      <c r="AD1108" s="34">
        <v>46188</v>
      </c>
      <c r="AF1108">
        <v>0</v>
      </c>
      <c r="AG1108">
        <v>760023</v>
      </c>
      <c r="AH1108">
        <v>0</v>
      </c>
      <c r="AI1108">
        <v>760023</v>
      </c>
      <c r="AJ1108">
        <v>0</v>
      </c>
      <c r="AK1108">
        <v>0</v>
      </c>
      <c r="AL1108">
        <v>194565.9</v>
      </c>
      <c r="AM1108">
        <v>0</v>
      </c>
      <c r="AN1108">
        <v>954588.9</v>
      </c>
      <c r="AO1108" t="s">
        <v>122</v>
      </c>
      <c r="AP1108">
        <v>15</v>
      </c>
      <c r="AQ1108">
        <v>114003.45</v>
      </c>
      <c r="AR1108">
        <v>114003.45</v>
      </c>
      <c r="AT1108">
        <v>15681600</v>
      </c>
      <c r="AU1108">
        <v>456013.8</v>
      </c>
      <c r="AV1108">
        <v>15681600</v>
      </c>
      <c r="AW1108">
        <v>456013.8</v>
      </c>
    </row>
    <row r="1109" spans="1:49" hidden="1" x14ac:dyDescent="0.35">
      <c r="A1109">
        <v>5856510</v>
      </c>
      <c r="B1109">
        <v>1170005856501</v>
      </c>
      <c r="D1109">
        <v>20202637818</v>
      </c>
      <c r="E1109" t="s">
        <v>1536</v>
      </c>
      <c r="F1109" t="s">
        <v>1</v>
      </c>
      <c r="G1109" t="s">
        <v>296</v>
      </c>
      <c r="H1109" t="s">
        <v>297</v>
      </c>
      <c r="I1109">
        <v>2107</v>
      </c>
      <c r="J1109">
        <v>12</v>
      </c>
      <c r="K1109" t="s">
        <v>34</v>
      </c>
      <c r="L1109">
        <v>10987</v>
      </c>
      <c r="M1109" t="s">
        <v>298</v>
      </c>
      <c r="N1109">
        <v>1</v>
      </c>
      <c r="O1109" t="s">
        <v>119</v>
      </c>
      <c r="P1109" t="s">
        <v>1630</v>
      </c>
      <c r="Q1109">
        <v>760023</v>
      </c>
      <c r="R1109">
        <v>26136000</v>
      </c>
      <c r="S1109">
        <v>88</v>
      </c>
      <c r="T1109">
        <v>297000</v>
      </c>
      <c r="U1109">
        <v>1</v>
      </c>
      <c r="V1109">
        <v>1</v>
      </c>
      <c r="W1109" t="s">
        <v>127</v>
      </c>
      <c r="X1109">
        <v>29700</v>
      </c>
      <c r="Y1109">
        <v>760023</v>
      </c>
      <c r="Z1109">
        <v>26136000</v>
      </c>
      <c r="AA1109">
        <v>297000</v>
      </c>
      <c r="AB1109">
        <v>105</v>
      </c>
      <c r="AC1109" s="34">
        <v>46040</v>
      </c>
      <c r="AD1109" s="34">
        <v>46188</v>
      </c>
      <c r="AF1109">
        <v>0</v>
      </c>
      <c r="AG1109">
        <v>760023</v>
      </c>
      <c r="AH1109">
        <v>0</v>
      </c>
      <c r="AI1109">
        <v>760023</v>
      </c>
      <c r="AJ1109">
        <v>0</v>
      </c>
      <c r="AK1109">
        <v>0</v>
      </c>
      <c r="AL1109">
        <v>194565.9</v>
      </c>
      <c r="AM1109">
        <v>0</v>
      </c>
      <c r="AN1109">
        <v>954588.9</v>
      </c>
      <c r="AO1109" t="s">
        <v>122</v>
      </c>
      <c r="AP1109">
        <v>15</v>
      </c>
      <c r="AQ1109">
        <v>114003.45</v>
      </c>
      <c r="AR1109">
        <v>114003.45</v>
      </c>
      <c r="AT1109">
        <v>15681600</v>
      </c>
      <c r="AU1109">
        <v>456013.8</v>
      </c>
      <c r="AV1109">
        <v>15681600</v>
      </c>
      <c r="AW1109">
        <v>456013.8</v>
      </c>
    </row>
    <row r="1110" spans="1:49" hidden="1" x14ac:dyDescent="0.35">
      <c r="A1110">
        <v>5856610</v>
      </c>
      <c r="B1110">
        <v>5010005856601</v>
      </c>
      <c r="D1110">
        <v>30711031436</v>
      </c>
      <c r="E1110" t="s">
        <v>696</v>
      </c>
      <c r="F1110" t="s">
        <v>1</v>
      </c>
      <c r="G1110" t="s">
        <v>72</v>
      </c>
      <c r="H1110" t="s">
        <v>72</v>
      </c>
      <c r="I1110">
        <v>7400</v>
      </c>
      <c r="J1110">
        <v>1</v>
      </c>
      <c r="K1110" t="s">
        <v>16</v>
      </c>
      <c r="L1110">
        <v>13524</v>
      </c>
      <c r="M1110" t="s">
        <v>697</v>
      </c>
      <c r="N1110">
        <v>1</v>
      </c>
      <c r="O1110" t="s">
        <v>119</v>
      </c>
      <c r="P1110" t="s">
        <v>1631</v>
      </c>
      <c r="Q1110">
        <v>3752</v>
      </c>
      <c r="R1110">
        <v>140000</v>
      </c>
      <c r="S1110">
        <v>200</v>
      </c>
      <c r="T1110">
        <v>700</v>
      </c>
      <c r="U1110">
        <v>26</v>
      </c>
      <c r="V1110">
        <v>1434.5</v>
      </c>
      <c r="W1110" t="s">
        <v>121</v>
      </c>
      <c r="X1110" t="s">
        <v>1</v>
      </c>
      <c r="Y1110">
        <v>5382244</v>
      </c>
      <c r="Z1110">
        <v>200830000</v>
      </c>
      <c r="AA1110">
        <v>1004150</v>
      </c>
      <c r="AB1110">
        <v>106</v>
      </c>
      <c r="AC1110" s="34">
        <v>46042</v>
      </c>
      <c r="AD1110" s="34">
        <v>46112</v>
      </c>
      <c r="AF1110">
        <v>0</v>
      </c>
      <c r="AG1110">
        <v>3752</v>
      </c>
      <c r="AH1110">
        <v>0</v>
      </c>
      <c r="AI1110">
        <v>5382244</v>
      </c>
      <c r="AJ1110">
        <v>0</v>
      </c>
      <c r="AK1110">
        <v>0</v>
      </c>
      <c r="AL1110">
        <v>1350940.38</v>
      </c>
      <c r="AM1110">
        <v>0</v>
      </c>
      <c r="AN1110">
        <v>6733184.3799999999</v>
      </c>
      <c r="AO1110" t="s">
        <v>122</v>
      </c>
      <c r="AP1110">
        <v>10</v>
      </c>
      <c r="AQ1110">
        <v>375.2</v>
      </c>
      <c r="AR1110">
        <v>538224.4</v>
      </c>
      <c r="AT1110">
        <v>84000</v>
      </c>
      <c r="AU1110">
        <v>2251.1999999999998</v>
      </c>
      <c r="AV1110">
        <v>120498000</v>
      </c>
      <c r="AW1110">
        <v>3229346.4</v>
      </c>
    </row>
    <row r="1111" spans="1:49" hidden="1" x14ac:dyDescent="0.35">
      <c r="A1111">
        <v>5856710</v>
      </c>
      <c r="B1111">
        <v>1170005856701</v>
      </c>
      <c r="D1111">
        <v>20141905075</v>
      </c>
      <c r="E1111" t="s">
        <v>1632</v>
      </c>
      <c r="F1111" t="s">
        <v>1</v>
      </c>
      <c r="G1111" t="s">
        <v>296</v>
      </c>
      <c r="H1111" t="s">
        <v>297</v>
      </c>
      <c r="I1111">
        <v>2107</v>
      </c>
      <c r="J1111">
        <v>12</v>
      </c>
      <c r="K1111" t="s">
        <v>34</v>
      </c>
      <c r="L1111">
        <v>10987</v>
      </c>
      <c r="M1111" t="s">
        <v>298</v>
      </c>
      <c r="N1111">
        <v>1</v>
      </c>
      <c r="O1111" t="s">
        <v>119</v>
      </c>
      <c r="P1111" t="s">
        <v>1633</v>
      </c>
      <c r="Q1111">
        <v>907038</v>
      </c>
      <c r="R1111">
        <v>31185000</v>
      </c>
      <c r="S1111">
        <v>35</v>
      </c>
      <c r="T1111">
        <v>891000</v>
      </c>
      <c r="U1111">
        <v>1</v>
      </c>
      <c r="V1111">
        <v>1</v>
      </c>
      <c r="W1111" t="s">
        <v>127</v>
      </c>
      <c r="X1111">
        <v>29700</v>
      </c>
      <c r="Y1111">
        <v>907038</v>
      </c>
      <c r="Z1111">
        <v>31185000</v>
      </c>
      <c r="AA1111">
        <v>891000</v>
      </c>
      <c r="AB1111">
        <v>105</v>
      </c>
      <c r="AC1111" s="34">
        <v>46042</v>
      </c>
      <c r="AD1111" s="34">
        <v>46173</v>
      </c>
      <c r="AF1111">
        <v>0</v>
      </c>
      <c r="AG1111">
        <v>907038</v>
      </c>
      <c r="AH1111">
        <v>0</v>
      </c>
      <c r="AI1111">
        <v>907038</v>
      </c>
      <c r="AJ1111">
        <v>0</v>
      </c>
      <c r="AK1111">
        <v>0</v>
      </c>
      <c r="AL1111">
        <v>232201.73</v>
      </c>
      <c r="AM1111">
        <v>0</v>
      </c>
      <c r="AN1111">
        <v>1139239.73</v>
      </c>
      <c r="AO1111" t="s">
        <v>122</v>
      </c>
      <c r="AP1111">
        <v>15</v>
      </c>
      <c r="AQ1111">
        <v>136055.70000000001</v>
      </c>
      <c r="AR1111">
        <v>136055.70000000001</v>
      </c>
      <c r="AT1111">
        <v>18711000</v>
      </c>
      <c r="AU1111">
        <v>544222.80000000005</v>
      </c>
      <c r="AV1111">
        <v>18711000</v>
      </c>
      <c r="AW1111">
        <v>544222.80000000005</v>
      </c>
    </row>
    <row r="1112" spans="1:49" hidden="1" x14ac:dyDescent="0.35">
      <c r="A1112">
        <v>5856810</v>
      </c>
      <c r="B1112">
        <v>5010005856801</v>
      </c>
      <c r="D1112">
        <v>20250254831</v>
      </c>
      <c r="E1112" t="s">
        <v>995</v>
      </c>
      <c r="F1112" t="s">
        <v>1</v>
      </c>
      <c r="G1112" t="s">
        <v>17</v>
      </c>
      <c r="H1112" t="s">
        <v>17</v>
      </c>
      <c r="I1112">
        <v>6500</v>
      </c>
      <c r="J1112">
        <v>1</v>
      </c>
      <c r="K1112" t="s">
        <v>16</v>
      </c>
      <c r="L1112">
        <v>11014</v>
      </c>
      <c r="M1112" t="s">
        <v>232</v>
      </c>
      <c r="N1112">
        <v>1</v>
      </c>
      <c r="O1112" t="s">
        <v>119</v>
      </c>
      <c r="P1112" t="s">
        <v>1634</v>
      </c>
      <c r="Q1112">
        <v>418146.3</v>
      </c>
      <c r="R1112">
        <v>16929000</v>
      </c>
      <c r="S1112">
        <v>19</v>
      </c>
      <c r="T1112">
        <v>891000</v>
      </c>
      <c r="U1112">
        <v>1</v>
      </c>
      <c r="V1112">
        <v>1</v>
      </c>
      <c r="W1112" t="s">
        <v>127</v>
      </c>
      <c r="X1112">
        <v>29700</v>
      </c>
      <c r="Y1112">
        <v>418146.3</v>
      </c>
      <c r="Z1112">
        <v>16929000</v>
      </c>
      <c r="AA1112">
        <v>891000</v>
      </c>
      <c r="AB1112">
        <v>105</v>
      </c>
      <c r="AC1112" s="34">
        <v>46015</v>
      </c>
      <c r="AD1112" s="34">
        <v>46188</v>
      </c>
      <c r="AF1112">
        <v>0</v>
      </c>
      <c r="AG1112">
        <v>418146.3</v>
      </c>
      <c r="AH1112">
        <v>0</v>
      </c>
      <c r="AI1112">
        <v>418146.3</v>
      </c>
      <c r="AJ1112">
        <v>0</v>
      </c>
      <c r="AK1112">
        <v>0</v>
      </c>
      <c r="AL1112">
        <v>104954.72</v>
      </c>
      <c r="AM1112">
        <v>0</v>
      </c>
      <c r="AN1112">
        <v>523101.02</v>
      </c>
      <c r="AO1112" t="s">
        <v>122</v>
      </c>
      <c r="AP1112">
        <v>15</v>
      </c>
      <c r="AQ1112">
        <v>62721.95</v>
      </c>
      <c r="AR1112">
        <v>62721.95</v>
      </c>
      <c r="AT1112">
        <v>10157400</v>
      </c>
      <c r="AU1112">
        <v>250887.78</v>
      </c>
      <c r="AV1112">
        <v>10157400</v>
      </c>
      <c r="AW1112">
        <v>250887.78</v>
      </c>
    </row>
    <row r="1113" spans="1:49" hidden="1" x14ac:dyDescent="0.35">
      <c r="A1113">
        <v>5856910</v>
      </c>
      <c r="B1113">
        <v>1090005856901</v>
      </c>
      <c r="D1113">
        <v>30658238880</v>
      </c>
      <c r="E1113" t="s">
        <v>1635</v>
      </c>
      <c r="F1113" t="s">
        <v>1</v>
      </c>
      <c r="G1113" t="s">
        <v>1636</v>
      </c>
      <c r="H1113" t="s">
        <v>1637</v>
      </c>
      <c r="I1113">
        <v>6385</v>
      </c>
      <c r="J1113">
        <v>21</v>
      </c>
      <c r="K1113" t="s">
        <v>33</v>
      </c>
      <c r="L1113">
        <v>82963</v>
      </c>
      <c r="M1113" t="s">
        <v>396</v>
      </c>
      <c r="N1113">
        <v>1</v>
      </c>
      <c r="O1113" t="s">
        <v>119</v>
      </c>
      <c r="P1113" t="s">
        <v>1638</v>
      </c>
      <c r="Q1113">
        <v>4000500</v>
      </c>
      <c r="R1113">
        <v>105000000</v>
      </c>
      <c r="S1113">
        <v>150</v>
      </c>
      <c r="T1113">
        <v>700000</v>
      </c>
      <c r="U1113">
        <v>1</v>
      </c>
      <c r="V1113">
        <v>1</v>
      </c>
      <c r="W1113" t="s">
        <v>121</v>
      </c>
      <c r="X1113" t="s">
        <v>1</v>
      </c>
      <c r="Y1113">
        <v>4000500</v>
      </c>
      <c r="Z1113">
        <v>105000000</v>
      </c>
      <c r="AA1113">
        <v>700000</v>
      </c>
      <c r="AB1113">
        <v>105</v>
      </c>
      <c r="AC1113" s="34">
        <v>46040</v>
      </c>
      <c r="AD1113" s="34">
        <v>46142</v>
      </c>
      <c r="AE1113" t="s">
        <v>161</v>
      </c>
      <c r="AF1113">
        <v>0</v>
      </c>
      <c r="AG1113">
        <v>4000500</v>
      </c>
      <c r="AH1113">
        <v>0</v>
      </c>
      <c r="AI1113">
        <v>4000500</v>
      </c>
      <c r="AJ1113">
        <v>0</v>
      </c>
      <c r="AK1113">
        <v>0</v>
      </c>
      <c r="AL1113">
        <v>1004125.5</v>
      </c>
      <c r="AM1113">
        <v>0</v>
      </c>
      <c r="AN1113">
        <v>5004625.5</v>
      </c>
      <c r="AO1113" t="s">
        <v>122</v>
      </c>
      <c r="AP1113">
        <v>15</v>
      </c>
      <c r="AQ1113">
        <v>600075</v>
      </c>
      <c r="AR1113">
        <v>600075</v>
      </c>
      <c r="AT1113">
        <v>63000000</v>
      </c>
      <c r="AU1113">
        <v>2400300</v>
      </c>
      <c r="AV1113">
        <v>63000000</v>
      </c>
      <c r="AW1113">
        <v>2400300</v>
      </c>
    </row>
    <row r="1114" spans="1:49" hidden="1" x14ac:dyDescent="0.35">
      <c r="A1114">
        <v>5857010</v>
      </c>
      <c r="B1114">
        <v>1090005857001</v>
      </c>
      <c r="D1114">
        <v>20339969079</v>
      </c>
      <c r="E1114" t="s">
        <v>1639</v>
      </c>
      <c r="F1114" t="s">
        <v>1</v>
      </c>
      <c r="G1114" t="s">
        <v>395</v>
      </c>
      <c r="H1114" t="s">
        <v>56</v>
      </c>
      <c r="I1114">
        <v>6380</v>
      </c>
      <c r="J1114">
        <v>21</v>
      </c>
      <c r="K1114" t="s">
        <v>33</v>
      </c>
      <c r="L1114">
        <v>82963</v>
      </c>
      <c r="M1114" t="s">
        <v>396</v>
      </c>
      <c r="N1114">
        <v>1</v>
      </c>
      <c r="O1114" t="s">
        <v>119</v>
      </c>
      <c r="P1114" t="s">
        <v>1640</v>
      </c>
      <c r="Q1114">
        <v>619500</v>
      </c>
      <c r="R1114">
        <v>21000000</v>
      </c>
      <c r="S1114">
        <v>30</v>
      </c>
      <c r="T1114">
        <v>700000</v>
      </c>
      <c r="U1114">
        <v>1</v>
      </c>
      <c r="V1114">
        <v>1</v>
      </c>
      <c r="W1114" t="s">
        <v>121</v>
      </c>
      <c r="X1114" t="s">
        <v>1</v>
      </c>
      <c r="Y1114">
        <v>619500</v>
      </c>
      <c r="Z1114">
        <v>21000000</v>
      </c>
      <c r="AA1114">
        <v>700000</v>
      </c>
      <c r="AB1114">
        <v>105</v>
      </c>
      <c r="AC1114" s="34">
        <v>45978</v>
      </c>
      <c r="AD1114" s="34">
        <v>46203</v>
      </c>
      <c r="AE1114" t="s">
        <v>161</v>
      </c>
      <c r="AF1114">
        <v>0</v>
      </c>
      <c r="AG1114">
        <v>619500</v>
      </c>
      <c r="AH1114">
        <v>0</v>
      </c>
      <c r="AI1114">
        <v>619500</v>
      </c>
      <c r="AJ1114">
        <v>0</v>
      </c>
      <c r="AK1114">
        <v>0</v>
      </c>
      <c r="AL1114">
        <v>155494.5</v>
      </c>
      <c r="AM1114">
        <v>0</v>
      </c>
      <c r="AN1114">
        <v>774994.5</v>
      </c>
      <c r="AO1114" t="s">
        <v>122</v>
      </c>
      <c r="AP1114">
        <v>15</v>
      </c>
      <c r="AQ1114">
        <v>92925</v>
      </c>
      <c r="AR1114">
        <v>92925</v>
      </c>
      <c r="AT1114">
        <v>12600000</v>
      </c>
      <c r="AU1114">
        <v>371700</v>
      </c>
      <c r="AV1114">
        <v>12600000</v>
      </c>
      <c r="AW1114">
        <v>371700</v>
      </c>
    </row>
    <row r="1115" spans="1:49" hidden="1" x14ac:dyDescent="0.35">
      <c r="A1115">
        <v>5857110</v>
      </c>
      <c r="B1115">
        <v>1090005857101</v>
      </c>
      <c r="D1115">
        <v>20170725310</v>
      </c>
      <c r="E1115" t="s">
        <v>1641</v>
      </c>
      <c r="F1115" t="s">
        <v>1</v>
      </c>
      <c r="G1115" t="s">
        <v>1642</v>
      </c>
      <c r="H1115" t="s">
        <v>56</v>
      </c>
      <c r="I1115">
        <v>6380</v>
      </c>
      <c r="J1115">
        <v>21</v>
      </c>
      <c r="K1115" t="s">
        <v>33</v>
      </c>
      <c r="L1115">
        <v>82963</v>
      </c>
      <c r="M1115" t="s">
        <v>396</v>
      </c>
      <c r="N1115">
        <v>1</v>
      </c>
      <c r="O1115" t="s">
        <v>119</v>
      </c>
      <c r="P1115" t="s">
        <v>1643</v>
      </c>
      <c r="Q1115">
        <v>1381250</v>
      </c>
      <c r="R1115">
        <v>42500000</v>
      </c>
      <c r="S1115">
        <v>85</v>
      </c>
      <c r="T1115">
        <v>500000</v>
      </c>
      <c r="U1115">
        <v>1</v>
      </c>
      <c r="V1115">
        <v>1</v>
      </c>
      <c r="W1115" t="s">
        <v>121</v>
      </c>
      <c r="X1115" t="s">
        <v>1</v>
      </c>
      <c r="Y1115">
        <v>1381250</v>
      </c>
      <c r="Z1115">
        <v>42500000</v>
      </c>
      <c r="AA1115">
        <v>500000</v>
      </c>
      <c r="AB1115">
        <v>105</v>
      </c>
      <c r="AC1115" s="34">
        <v>46025</v>
      </c>
      <c r="AD1115" s="34">
        <v>46112</v>
      </c>
      <c r="AF1115">
        <v>0</v>
      </c>
      <c r="AG1115">
        <v>1381250</v>
      </c>
      <c r="AH1115">
        <v>0</v>
      </c>
      <c r="AI1115">
        <v>1381250</v>
      </c>
      <c r="AJ1115">
        <v>0</v>
      </c>
      <c r="AK1115">
        <v>0</v>
      </c>
      <c r="AL1115">
        <v>346693.75</v>
      </c>
      <c r="AM1115">
        <v>0</v>
      </c>
      <c r="AN1115">
        <v>1727943.75</v>
      </c>
      <c r="AO1115" t="s">
        <v>122</v>
      </c>
      <c r="AP1115">
        <v>15</v>
      </c>
      <c r="AQ1115">
        <v>207187.5</v>
      </c>
      <c r="AR1115">
        <v>207187.5</v>
      </c>
      <c r="AT1115">
        <v>25500000</v>
      </c>
      <c r="AU1115">
        <v>828750</v>
      </c>
      <c r="AV1115">
        <v>25500000</v>
      </c>
      <c r="AW1115">
        <v>828750</v>
      </c>
    </row>
    <row r="1116" spans="1:49" hidden="1" x14ac:dyDescent="0.35">
      <c r="A1116">
        <v>5857210</v>
      </c>
      <c r="B1116">
        <v>1070005857201</v>
      </c>
      <c r="D1116">
        <v>20119232997</v>
      </c>
      <c r="E1116" t="s">
        <v>1644</v>
      </c>
      <c r="F1116" t="s">
        <v>1</v>
      </c>
      <c r="G1116" t="s">
        <v>1645</v>
      </c>
      <c r="H1116" t="s">
        <v>49</v>
      </c>
      <c r="I1116">
        <v>6142</v>
      </c>
      <c r="J1116">
        <v>3</v>
      </c>
      <c r="K1116" t="s">
        <v>32</v>
      </c>
      <c r="L1116">
        <v>9056</v>
      </c>
      <c r="M1116" t="s">
        <v>326</v>
      </c>
      <c r="N1116">
        <v>1</v>
      </c>
      <c r="O1116" t="s">
        <v>119</v>
      </c>
      <c r="P1116" t="s">
        <v>1646</v>
      </c>
      <c r="Q1116">
        <v>875.76</v>
      </c>
      <c r="R1116">
        <v>16400</v>
      </c>
      <c r="S1116">
        <v>82</v>
      </c>
      <c r="T1116">
        <v>200</v>
      </c>
      <c r="U1116">
        <v>26</v>
      </c>
      <c r="V1116">
        <v>1434.5</v>
      </c>
      <c r="W1116" t="s">
        <v>121</v>
      </c>
      <c r="X1116" t="s">
        <v>1</v>
      </c>
      <c r="Y1116">
        <v>1256277.72</v>
      </c>
      <c r="Z1116">
        <v>23525800</v>
      </c>
      <c r="AA1116">
        <v>286900</v>
      </c>
      <c r="AB1116">
        <v>106</v>
      </c>
      <c r="AC1116" s="34">
        <v>46026</v>
      </c>
      <c r="AD1116" s="34">
        <v>46173</v>
      </c>
      <c r="AF1116">
        <v>0</v>
      </c>
      <c r="AG1116">
        <v>875.76</v>
      </c>
      <c r="AH1116">
        <v>0</v>
      </c>
      <c r="AI1116">
        <v>1256277.72</v>
      </c>
      <c r="AJ1116">
        <v>0</v>
      </c>
      <c r="AK1116">
        <v>0</v>
      </c>
      <c r="AL1116">
        <v>327883.67</v>
      </c>
      <c r="AM1116">
        <v>0</v>
      </c>
      <c r="AN1116">
        <v>1584161.39</v>
      </c>
      <c r="AO1116" t="s">
        <v>122</v>
      </c>
      <c r="AP1116">
        <v>15</v>
      </c>
      <c r="AQ1116">
        <v>131.36000000000001</v>
      </c>
      <c r="AR1116">
        <v>188435.92</v>
      </c>
      <c r="AT1116">
        <v>9840</v>
      </c>
      <c r="AU1116">
        <v>525.46</v>
      </c>
      <c r="AV1116">
        <v>14115480</v>
      </c>
      <c r="AW1116">
        <v>753772.37</v>
      </c>
    </row>
    <row r="1117" spans="1:49" hidden="1" x14ac:dyDescent="0.35">
      <c r="A1117">
        <v>5857310</v>
      </c>
      <c r="B1117">
        <v>1070005857301</v>
      </c>
      <c r="D1117">
        <v>20119232997</v>
      </c>
      <c r="E1117" t="s">
        <v>1644</v>
      </c>
      <c r="F1117" t="s">
        <v>1</v>
      </c>
      <c r="G1117" t="s">
        <v>1645</v>
      </c>
      <c r="H1117" t="s">
        <v>49</v>
      </c>
      <c r="I1117">
        <v>6142</v>
      </c>
      <c r="J1117">
        <v>3</v>
      </c>
      <c r="K1117" t="s">
        <v>32</v>
      </c>
      <c r="L1117">
        <v>9056</v>
      </c>
      <c r="M1117" t="s">
        <v>326</v>
      </c>
      <c r="N1117">
        <v>1</v>
      </c>
      <c r="O1117" t="s">
        <v>119</v>
      </c>
      <c r="P1117" t="s">
        <v>1647</v>
      </c>
      <c r="Q1117">
        <v>1335</v>
      </c>
      <c r="R1117">
        <v>30000</v>
      </c>
      <c r="S1117">
        <v>150</v>
      </c>
      <c r="T1117">
        <v>200</v>
      </c>
      <c r="U1117">
        <v>26</v>
      </c>
      <c r="V1117">
        <v>1434.5</v>
      </c>
      <c r="W1117" t="s">
        <v>121</v>
      </c>
      <c r="X1117" t="s">
        <v>1</v>
      </c>
      <c r="Y1117">
        <v>1915057.5</v>
      </c>
      <c r="Z1117">
        <v>43035000</v>
      </c>
      <c r="AA1117">
        <v>286900</v>
      </c>
      <c r="AB1117">
        <v>210</v>
      </c>
      <c r="AC1117" s="34">
        <v>46026</v>
      </c>
      <c r="AD1117" s="34">
        <v>46142</v>
      </c>
      <c r="AF1117">
        <v>0</v>
      </c>
      <c r="AG1117">
        <v>1335</v>
      </c>
      <c r="AH1117">
        <v>0</v>
      </c>
      <c r="AI1117">
        <v>1915057.5</v>
      </c>
      <c r="AJ1117">
        <v>0</v>
      </c>
      <c r="AK1117">
        <v>0</v>
      </c>
      <c r="AL1117">
        <v>499837.18</v>
      </c>
      <c r="AM1117">
        <v>0</v>
      </c>
      <c r="AN1117">
        <v>2414894.6800000002</v>
      </c>
      <c r="AO1117" t="s">
        <v>122</v>
      </c>
      <c r="AP1117">
        <v>15</v>
      </c>
      <c r="AQ1117">
        <v>200.25</v>
      </c>
      <c r="AR1117">
        <v>287258.63</v>
      </c>
      <c r="AT1117">
        <v>18000</v>
      </c>
      <c r="AU1117">
        <v>801</v>
      </c>
      <c r="AV1117">
        <v>25821000</v>
      </c>
      <c r="AW1117">
        <v>1149034.5</v>
      </c>
    </row>
    <row r="1118" spans="1:49" hidden="1" x14ac:dyDescent="0.35">
      <c r="A1118">
        <v>5857410</v>
      </c>
      <c r="B1118">
        <v>1090005857401</v>
      </c>
      <c r="D1118">
        <v>20182620522</v>
      </c>
      <c r="E1118" t="s">
        <v>1648</v>
      </c>
      <c r="F1118" t="s">
        <v>1</v>
      </c>
      <c r="G1118" t="s">
        <v>395</v>
      </c>
      <c r="H1118" t="s">
        <v>56</v>
      </c>
      <c r="I1118">
        <v>6380</v>
      </c>
      <c r="J1118">
        <v>21</v>
      </c>
      <c r="K1118" t="s">
        <v>33</v>
      </c>
      <c r="L1118">
        <v>82963</v>
      </c>
      <c r="M1118" t="s">
        <v>396</v>
      </c>
      <c r="N1118">
        <v>1</v>
      </c>
      <c r="O1118" t="s">
        <v>119</v>
      </c>
      <c r="P1118" t="s">
        <v>1207</v>
      </c>
      <c r="Q1118">
        <v>338.25</v>
      </c>
      <c r="R1118">
        <v>10250</v>
      </c>
      <c r="S1118">
        <v>41</v>
      </c>
      <c r="T1118">
        <v>250</v>
      </c>
      <c r="U1118">
        <v>26</v>
      </c>
      <c r="V1118">
        <v>1434.5</v>
      </c>
      <c r="W1118" t="s">
        <v>121</v>
      </c>
      <c r="X1118" t="s">
        <v>1</v>
      </c>
      <c r="Y1118">
        <v>485219.63</v>
      </c>
      <c r="Z1118">
        <v>14703625</v>
      </c>
      <c r="AA1118">
        <v>358625</v>
      </c>
      <c r="AB1118">
        <v>106</v>
      </c>
      <c r="AC1118" s="34">
        <v>45993</v>
      </c>
      <c r="AD1118" s="34">
        <v>46112</v>
      </c>
      <c r="AE1118" t="s">
        <v>161</v>
      </c>
      <c r="AF1118">
        <v>0</v>
      </c>
      <c r="AG1118">
        <v>1146.75</v>
      </c>
      <c r="AH1118">
        <v>0</v>
      </c>
      <c r="AI1118">
        <v>1645012.88</v>
      </c>
      <c r="AJ1118">
        <v>0</v>
      </c>
      <c r="AK1118">
        <v>0</v>
      </c>
      <c r="AL1118">
        <v>412892.14</v>
      </c>
      <c r="AM1118">
        <v>0</v>
      </c>
      <c r="AN1118">
        <v>2057905.01</v>
      </c>
      <c r="AO1118" t="s">
        <v>122</v>
      </c>
      <c r="AP1118">
        <v>10</v>
      </c>
      <c r="AQ1118">
        <v>114.68</v>
      </c>
      <c r="AR1118">
        <v>164508.46</v>
      </c>
      <c r="AT1118">
        <v>6150</v>
      </c>
      <c r="AU1118">
        <v>202.95</v>
      </c>
      <c r="AV1118">
        <v>8822175</v>
      </c>
      <c r="AW1118">
        <v>291131.78000000003</v>
      </c>
    </row>
    <row r="1119" spans="1:49" hidden="1" x14ac:dyDescent="0.35">
      <c r="A1119">
        <v>5857410</v>
      </c>
      <c r="B1119">
        <v>1090005857401</v>
      </c>
      <c r="D1119">
        <v>20182620522</v>
      </c>
      <c r="E1119" t="s">
        <v>1648</v>
      </c>
      <c r="F1119" t="s">
        <v>1</v>
      </c>
      <c r="G1119" t="s">
        <v>395</v>
      </c>
      <c r="H1119" t="s">
        <v>56</v>
      </c>
      <c r="I1119">
        <v>6380</v>
      </c>
      <c r="J1119">
        <v>21</v>
      </c>
      <c r="K1119" t="s">
        <v>33</v>
      </c>
      <c r="L1119">
        <v>82963</v>
      </c>
      <c r="M1119" t="s">
        <v>396</v>
      </c>
      <c r="N1119">
        <v>2</v>
      </c>
      <c r="O1119" t="s">
        <v>119</v>
      </c>
      <c r="P1119" t="s">
        <v>1206</v>
      </c>
      <c r="Q1119">
        <v>313.5</v>
      </c>
      <c r="R1119">
        <v>9500</v>
      </c>
      <c r="S1119">
        <v>38</v>
      </c>
      <c r="T1119">
        <v>250</v>
      </c>
      <c r="U1119">
        <v>26</v>
      </c>
      <c r="V1119">
        <v>1434.5</v>
      </c>
      <c r="W1119" t="s">
        <v>121</v>
      </c>
      <c r="X1119" t="s">
        <v>1</v>
      </c>
      <c r="Y1119">
        <v>449715.75</v>
      </c>
      <c r="Z1119">
        <v>13627750</v>
      </c>
      <c r="AA1119">
        <v>358625</v>
      </c>
      <c r="AB1119">
        <v>106</v>
      </c>
      <c r="AC1119" s="34">
        <v>45993</v>
      </c>
      <c r="AD1119" s="34">
        <v>46112</v>
      </c>
      <c r="AE1119" t="s">
        <v>161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 t="s">
        <v>122</v>
      </c>
      <c r="AT1119">
        <v>5700</v>
      </c>
      <c r="AU1119">
        <v>188.1</v>
      </c>
      <c r="AV1119">
        <v>8176650</v>
      </c>
      <c r="AW1119">
        <v>269829.45</v>
      </c>
    </row>
    <row r="1120" spans="1:49" hidden="1" x14ac:dyDescent="0.35">
      <c r="A1120">
        <v>5857410</v>
      </c>
      <c r="B1120">
        <v>1090005857401</v>
      </c>
      <c r="D1120">
        <v>20182620522</v>
      </c>
      <c r="E1120" t="s">
        <v>1648</v>
      </c>
      <c r="F1120" t="s">
        <v>1</v>
      </c>
      <c r="G1120" t="s">
        <v>395</v>
      </c>
      <c r="H1120" t="s">
        <v>56</v>
      </c>
      <c r="I1120">
        <v>6380</v>
      </c>
      <c r="J1120">
        <v>21</v>
      </c>
      <c r="K1120" t="s">
        <v>33</v>
      </c>
      <c r="L1120">
        <v>82963</v>
      </c>
      <c r="M1120" t="s">
        <v>396</v>
      </c>
      <c r="N1120">
        <v>3</v>
      </c>
      <c r="O1120" t="s">
        <v>119</v>
      </c>
      <c r="P1120" t="s">
        <v>1649</v>
      </c>
      <c r="Q1120">
        <v>495</v>
      </c>
      <c r="R1120">
        <v>15000</v>
      </c>
      <c r="S1120">
        <v>30</v>
      </c>
      <c r="T1120">
        <v>500</v>
      </c>
      <c r="U1120">
        <v>26</v>
      </c>
      <c r="V1120">
        <v>1434.5</v>
      </c>
      <c r="W1120" t="s">
        <v>121</v>
      </c>
      <c r="X1120" t="s">
        <v>1</v>
      </c>
      <c r="Y1120">
        <v>710077.5</v>
      </c>
      <c r="Z1120">
        <v>21517500</v>
      </c>
      <c r="AA1120">
        <v>717250</v>
      </c>
      <c r="AB1120">
        <v>106</v>
      </c>
      <c r="AC1120" s="34">
        <v>45993</v>
      </c>
      <c r="AD1120" s="34">
        <v>46112</v>
      </c>
      <c r="AE1120" t="s">
        <v>161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 t="s">
        <v>122</v>
      </c>
      <c r="AT1120">
        <v>9000</v>
      </c>
      <c r="AU1120">
        <v>297</v>
      </c>
      <c r="AV1120">
        <v>12910500</v>
      </c>
      <c r="AW1120">
        <v>426046.5</v>
      </c>
    </row>
    <row r="1121" spans="1:49" hidden="1" x14ac:dyDescent="0.35">
      <c r="A1121">
        <v>5857510</v>
      </c>
      <c r="B1121">
        <v>1090005857501</v>
      </c>
      <c r="D1121">
        <v>20073597669</v>
      </c>
      <c r="E1121" t="s">
        <v>527</v>
      </c>
      <c r="F1121" t="s">
        <v>1</v>
      </c>
      <c r="G1121" t="s">
        <v>395</v>
      </c>
      <c r="H1121" t="s">
        <v>56</v>
      </c>
      <c r="I1121">
        <v>6380</v>
      </c>
      <c r="J1121">
        <v>21</v>
      </c>
      <c r="K1121" t="s">
        <v>33</v>
      </c>
      <c r="L1121">
        <v>82963</v>
      </c>
      <c r="M1121" t="s">
        <v>396</v>
      </c>
      <c r="N1121">
        <v>1</v>
      </c>
      <c r="O1121" t="s">
        <v>119</v>
      </c>
      <c r="P1121" t="s">
        <v>1650</v>
      </c>
      <c r="Q1121">
        <v>1650000</v>
      </c>
      <c r="R1121">
        <v>50000000</v>
      </c>
      <c r="S1121">
        <v>100</v>
      </c>
      <c r="T1121">
        <v>500000</v>
      </c>
      <c r="U1121">
        <v>1</v>
      </c>
      <c r="V1121">
        <v>1</v>
      </c>
      <c r="W1121" t="s">
        <v>121</v>
      </c>
      <c r="X1121" t="s">
        <v>1</v>
      </c>
      <c r="Y1121">
        <v>1650000</v>
      </c>
      <c r="Z1121">
        <v>50000000</v>
      </c>
      <c r="AA1121">
        <v>500000</v>
      </c>
      <c r="AB1121">
        <v>105</v>
      </c>
      <c r="AC1121" s="34">
        <v>46015</v>
      </c>
      <c r="AD1121" s="34">
        <v>46112</v>
      </c>
      <c r="AE1121" t="s">
        <v>161</v>
      </c>
      <c r="AF1121">
        <v>0</v>
      </c>
      <c r="AG1121">
        <v>1650000</v>
      </c>
      <c r="AH1121">
        <v>0</v>
      </c>
      <c r="AI1121">
        <v>1650000</v>
      </c>
      <c r="AJ1121">
        <v>0</v>
      </c>
      <c r="AK1121">
        <v>0</v>
      </c>
      <c r="AL1121">
        <v>414150</v>
      </c>
      <c r="AM1121">
        <v>0</v>
      </c>
      <c r="AN1121">
        <v>2064150</v>
      </c>
      <c r="AO1121" t="s">
        <v>122</v>
      </c>
      <c r="AP1121">
        <v>15</v>
      </c>
      <c r="AQ1121">
        <v>247500</v>
      </c>
      <c r="AR1121">
        <v>247500</v>
      </c>
      <c r="AT1121">
        <v>30000000</v>
      </c>
      <c r="AU1121">
        <v>990000</v>
      </c>
      <c r="AV1121">
        <v>30000000</v>
      </c>
      <c r="AW1121">
        <v>990000</v>
      </c>
    </row>
    <row r="1122" spans="1:49" hidden="1" x14ac:dyDescent="0.35">
      <c r="A1122">
        <v>5857610</v>
      </c>
      <c r="B1122">
        <v>1250005857601</v>
      </c>
      <c r="D1122">
        <v>20231871935</v>
      </c>
      <c r="E1122" t="s">
        <v>307</v>
      </c>
      <c r="F1122" t="s">
        <v>1</v>
      </c>
      <c r="G1122" t="s">
        <v>454</v>
      </c>
      <c r="H1122" t="s">
        <v>48</v>
      </c>
      <c r="I1122">
        <v>6123</v>
      </c>
      <c r="J1122">
        <v>3</v>
      </c>
      <c r="K1122" t="s">
        <v>32</v>
      </c>
      <c r="L1122">
        <v>4401</v>
      </c>
      <c r="M1122" t="s">
        <v>132</v>
      </c>
      <c r="N1122">
        <v>1</v>
      </c>
      <c r="O1122" t="s">
        <v>119</v>
      </c>
      <c r="P1122" t="s">
        <v>1651</v>
      </c>
      <c r="Q1122">
        <v>1920000</v>
      </c>
      <c r="R1122">
        <v>48000000</v>
      </c>
      <c r="S1122">
        <v>48</v>
      </c>
      <c r="T1122">
        <v>1000000</v>
      </c>
      <c r="U1122">
        <v>1</v>
      </c>
      <c r="V1122">
        <v>1</v>
      </c>
      <c r="W1122" t="s">
        <v>121</v>
      </c>
      <c r="X1122" t="s">
        <v>1</v>
      </c>
      <c r="Y1122">
        <v>1920000</v>
      </c>
      <c r="Z1122">
        <v>48000000</v>
      </c>
      <c r="AA1122">
        <v>1000000</v>
      </c>
      <c r="AB1122">
        <v>105</v>
      </c>
      <c r="AC1122" s="34">
        <v>46041</v>
      </c>
      <c r="AD1122" s="34">
        <v>46203</v>
      </c>
      <c r="AF1122">
        <v>0</v>
      </c>
      <c r="AG1122">
        <v>1920000</v>
      </c>
      <c r="AH1122">
        <v>0</v>
      </c>
      <c r="AI1122">
        <v>1920000</v>
      </c>
      <c r="AJ1122">
        <v>0</v>
      </c>
      <c r="AK1122">
        <v>0</v>
      </c>
      <c r="AL1122">
        <v>501120</v>
      </c>
      <c r="AM1122">
        <v>0</v>
      </c>
      <c r="AN1122">
        <v>2421120</v>
      </c>
      <c r="AO1122" t="s">
        <v>122</v>
      </c>
      <c r="AP1122">
        <v>15</v>
      </c>
      <c r="AQ1122">
        <v>288000</v>
      </c>
      <c r="AR1122">
        <v>288000</v>
      </c>
      <c r="AT1122">
        <v>28800000</v>
      </c>
      <c r="AU1122">
        <v>1152000</v>
      </c>
      <c r="AV1122">
        <v>28800000</v>
      </c>
      <c r="AW1122">
        <v>1152000</v>
      </c>
    </row>
    <row r="1123" spans="1:49" hidden="1" x14ac:dyDescent="0.35">
      <c r="A1123">
        <v>5857710</v>
      </c>
      <c r="B1123">
        <v>1090005857701</v>
      </c>
      <c r="D1123">
        <v>30715569678</v>
      </c>
      <c r="E1123" t="s">
        <v>654</v>
      </c>
      <c r="F1123" t="s">
        <v>1</v>
      </c>
      <c r="G1123" t="s">
        <v>395</v>
      </c>
      <c r="H1123" t="s">
        <v>56</v>
      </c>
      <c r="I1123">
        <v>6380</v>
      </c>
      <c r="J1123">
        <v>21</v>
      </c>
      <c r="K1123" t="s">
        <v>33</v>
      </c>
      <c r="L1123">
        <v>82963</v>
      </c>
      <c r="M1123" t="s">
        <v>396</v>
      </c>
      <c r="N1123">
        <v>1</v>
      </c>
      <c r="O1123" t="s">
        <v>119</v>
      </c>
      <c r="P1123" t="s">
        <v>1652</v>
      </c>
      <c r="Q1123">
        <v>3349500</v>
      </c>
      <c r="R1123">
        <v>100000000</v>
      </c>
      <c r="S1123">
        <v>250</v>
      </c>
      <c r="T1123">
        <v>400000</v>
      </c>
      <c r="U1123">
        <v>1</v>
      </c>
      <c r="V1123">
        <v>1</v>
      </c>
      <c r="W1123" t="s">
        <v>121</v>
      </c>
      <c r="X1123" t="s">
        <v>1</v>
      </c>
      <c r="Y1123">
        <v>3349500</v>
      </c>
      <c r="Z1123">
        <v>100000000</v>
      </c>
      <c r="AA1123">
        <v>400000</v>
      </c>
      <c r="AB1123">
        <v>105</v>
      </c>
      <c r="AC1123" s="34">
        <v>46025</v>
      </c>
      <c r="AD1123" s="34">
        <v>46203</v>
      </c>
      <c r="AF1123">
        <v>0</v>
      </c>
      <c r="AG1123">
        <v>3349500</v>
      </c>
      <c r="AH1123">
        <v>0</v>
      </c>
      <c r="AI1123">
        <v>3349500</v>
      </c>
      <c r="AJ1123">
        <v>0</v>
      </c>
      <c r="AK1123">
        <v>0</v>
      </c>
      <c r="AL1123">
        <v>840724.5</v>
      </c>
      <c r="AM1123">
        <v>0</v>
      </c>
      <c r="AN1123">
        <v>4190224.5</v>
      </c>
      <c r="AO1123" t="s">
        <v>122</v>
      </c>
      <c r="AP1123">
        <v>15</v>
      </c>
      <c r="AQ1123">
        <v>502425</v>
      </c>
      <c r="AR1123">
        <v>502425</v>
      </c>
      <c r="AT1123">
        <v>60000000</v>
      </c>
      <c r="AU1123">
        <v>2009700</v>
      </c>
      <c r="AV1123">
        <v>60000000</v>
      </c>
      <c r="AW1123">
        <v>2009700</v>
      </c>
    </row>
    <row r="1124" spans="1:49" hidden="1" x14ac:dyDescent="0.35">
      <c r="A1124">
        <v>5857810</v>
      </c>
      <c r="B1124">
        <v>1090005857801</v>
      </c>
      <c r="D1124">
        <v>30710575890</v>
      </c>
      <c r="E1124" t="s">
        <v>1102</v>
      </c>
      <c r="F1124" t="s">
        <v>1</v>
      </c>
      <c r="G1124" t="s">
        <v>395</v>
      </c>
      <c r="H1124" t="s">
        <v>56</v>
      </c>
      <c r="I1124">
        <v>6380</v>
      </c>
      <c r="J1124">
        <v>21</v>
      </c>
      <c r="K1124" t="s">
        <v>33</v>
      </c>
      <c r="L1124">
        <v>82963</v>
      </c>
      <c r="M1124" t="s">
        <v>396</v>
      </c>
      <c r="N1124">
        <v>1</v>
      </c>
      <c r="O1124" t="s">
        <v>119</v>
      </c>
      <c r="P1124" t="s">
        <v>1653</v>
      </c>
      <c r="Q1124">
        <v>3799000</v>
      </c>
      <c r="R1124">
        <v>131000000</v>
      </c>
      <c r="S1124">
        <v>262</v>
      </c>
      <c r="T1124">
        <v>500000</v>
      </c>
      <c r="U1124">
        <v>1</v>
      </c>
      <c r="V1124">
        <v>1</v>
      </c>
      <c r="W1124" t="s">
        <v>121</v>
      </c>
      <c r="X1124" t="s">
        <v>1</v>
      </c>
      <c r="Y1124">
        <v>3799000</v>
      </c>
      <c r="Z1124">
        <v>131000000</v>
      </c>
      <c r="AA1124">
        <v>500000</v>
      </c>
      <c r="AB1124">
        <v>105</v>
      </c>
      <c r="AC1124" s="34">
        <v>46015</v>
      </c>
      <c r="AD1124" s="34">
        <v>46142</v>
      </c>
      <c r="AE1124" t="s">
        <v>161</v>
      </c>
      <c r="AF1124">
        <v>0</v>
      </c>
      <c r="AG1124">
        <v>6481500</v>
      </c>
      <c r="AH1124">
        <v>0</v>
      </c>
      <c r="AI1124">
        <v>6481500</v>
      </c>
      <c r="AJ1124">
        <v>0</v>
      </c>
      <c r="AK1124">
        <v>0</v>
      </c>
      <c r="AL1124">
        <v>1626856.5</v>
      </c>
      <c r="AM1124">
        <v>0</v>
      </c>
      <c r="AN1124">
        <v>8108356.5</v>
      </c>
      <c r="AO1124" t="s">
        <v>122</v>
      </c>
      <c r="AP1124">
        <v>10</v>
      </c>
      <c r="AQ1124">
        <v>648150</v>
      </c>
      <c r="AR1124">
        <v>648150</v>
      </c>
      <c r="AT1124">
        <v>78600000</v>
      </c>
      <c r="AU1124">
        <v>2279400</v>
      </c>
      <c r="AV1124">
        <v>78600000</v>
      </c>
      <c r="AW1124">
        <v>2279400</v>
      </c>
    </row>
    <row r="1125" spans="1:49" hidden="1" x14ac:dyDescent="0.35">
      <c r="A1125">
        <v>5857810</v>
      </c>
      <c r="B1125">
        <v>1090005857801</v>
      </c>
      <c r="D1125">
        <v>30710575890</v>
      </c>
      <c r="E1125" t="s">
        <v>1102</v>
      </c>
      <c r="F1125" t="s">
        <v>1</v>
      </c>
      <c r="G1125" t="s">
        <v>395</v>
      </c>
      <c r="H1125" t="s">
        <v>56</v>
      </c>
      <c r="I1125">
        <v>6380</v>
      </c>
      <c r="J1125">
        <v>21</v>
      </c>
      <c r="K1125" t="s">
        <v>33</v>
      </c>
      <c r="L1125">
        <v>82963</v>
      </c>
      <c r="M1125" t="s">
        <v>396</v>
      </c>
      <c r="N1125">
        <v>2</v>
      </c>
      <c r="O1125" t="s">
        <v>119</v>
      </c>
      <c r="P1125" t="s">
        <v>1654</v>
      </c>
      <c r="Q1125">
        <v>2682500</v>
      </c>
      <c r="R1125">
        <v>92500000</v>
      </c>
      <c r="S1125">
        <v>185</v>
      </c>
      <c r="T1125">
        <v>500000</v>
      </c>
      <c r="U1125">
        <v>1</v>
      </c>
      <c r="V1125">
        <v>1</v>
      </c>
      <c r="W1125" t="s">
        <v>121</v>
      </c>
      <c r="X1125" t="s">
        <v>1</v>
      </c>
      <c r="Y1125">
        <v>2682500</v>
      </c>
      <c r="Z1125">
        <v>92500000</v>
      </c>
      <c r="AA1125">
        <v>500000</v>
      </c>
      <c r="AB1125">
        <v>105</v>
      </c>
      <c r="AC1125" s="34">
        <v>46015</v>
      </c>
      <c r="AD1125" s="34">
        <v>46142</v>
      </c>
      <c r="AE1125" t="s">
        <v>161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 t="s">
        <v>122</v>
      </c>
      <c r="AT1125">
        <v>55500000</v>
      </c>
      <c r="AU1125">
        <v>1609500</v>
      </c>
      <c r="AV1125">
        <v>55500000</v>
      </c>
      <c r="AW1125">
        <v>1609500</v>
      </c>
    </row>
    <row r="1126" spans="1:49" hidden="1" x14ac:dyDescent="0.35">
      <c r="A1126">
        <v>5857910</v>
      </c>
      <c r="B1126">
        <v>1090005857901</v>
      </c>
      <c r="D1126">
        <v>20206313782</v>
      </c>
      <c r="E1126" t="s">
        <v>1655</v>
      </c>
      <c r="F1126" t="s">
        <v>1</v>
      </c>
      <c r="G1126" t="s">
        <v>56</v>
      </c>
      <c r="H1126" t="s">
        <v>56</v>
      </c>
      <c r="I1126">
        <v>6381</v>
      </c>
      <c r="J1126">
        <v>21</v>
      </c>
      <c r="K1126" t="s">
        <v>33</v>
      </c>
      <c r="L1126">
        <v>82963</v>
      </c>
      <c r="M1126" t="s">
        <v>396</v>
      </c>
      <c r="N1126">
        <v>1</v>
      </c>
      <c r="O1126" t="s">
        <v>119</v>
      </c>
      <c r="P1126" t="s">
        <v>1656</v>
      </c>
      <c r="Q1126">
        <v>1507275</v>
      </c>
      <c r="R1126">
        <v>45000000</v>
      </c>
      <c r="S1126">
        <v>90</v>
      </c>
      <c r="T1126">
        <v>500000</v>
      </c>
      <c r="U1126">
        <v>1</v>
      </c>
      <c r="V1126">
        <v>1</v>
      </c>
      <c r="W1126" t="s">
        <v>121</v>
      </c>
      <c r="X1126" t="s">
        <v>1</v>
      </c>
      <c r="Y1126">
        <v>1507275</v>
      </c>
      <c r="Z1126">
        <v>45000000</v>
      </c>
      <c r="AA1126">
        <v>500000</v>
      </c>
      <c r="AB1126">
        <v>105</v>
      </c>
      <c r="AC1126" s="34">
        <v>46019</v>
      </c>
      <c r="AD1126" s="34">
        <v>46142</v>
      </c>
      <c r="AF1126">
        <v>0</v>
      </c>
      <c r="AG1126">
        <v>1507275</v>
      </c>
      <c r="AH1126">
        <v>0</v>
      </c>
      <c r="AI1126">
        <v>1507275</v>
      </c>
      <c r="AJ1126">
        <v>0</v>
      </c>
      <c r="AK1126">
        <v>0</v>
      </c>
      <c r="AL1126">
        <v>378326.03</v>
      </c>
      <c r="AM1126">
        <v>0</v>
      </c>
      <c r="AN1126">
        <v>1885601.03</v>
      </c>
      <c r="AO1126" t="s">
        <v>122</v>
      </c>
      <c r="AP1126">
        <v>15</v>
      </c>
      <c r="AQ1126">
        <v>226091.25</v>
      </c>
      <c r="AR1126">
        <v>226091.25</v>
      </c>
      <c r="AT1126">
        <v>27000000</v>
      </c>
      <c r="AU1126">
        <v>904365</v>
      </c>
      <c r="AV1126">
        <v>27000000</v>
      </c>
      <c r="AW1126">
        <v>904365</v>
      </c>
    </row>
    <row r="1127" spans="1:49" hidden="1" x14ac:dyDescent="0.35">
      <c r="A1127">
        <v>5858010</v>
      </c>
      <c r="B1127">
        <v>1090005858001</v>
      </c>
      <c r="D1127">
        <v>30710575890</v>
      </c>
      <c r="E1127" t="s">
        <v>1102</v>
      </c>
      <c r="F1127" t="s">
        <v>1</v>
      </c>
      <c r="G1127" t="s">
        <v>395</v>
      </c>
      <c r="H1127" t="s">
        <v>56</v>
      </c>
      <c r="I1127">
        <v>6380</v>
      </c>
      <c r="J1127">
        <v>21</v>
      </c>
      <c r="K1127" t="s">
        <v>33</v>
      </c>
      <c r="L1127">
        <v>82963</v>
      </c>
      <c r="M1127" t="s">
        <v>396</v>
      </c>
      <c r="N1127">
        <v>1</v>
      </c>
      <c r="O1127" t="s">
        <v>119</v>
      </c>
      <c r="P1127" t="s">
        <v>1657</v>
      </c>
      <c r="Q1127">
        <v>5130000</v>
      </c>
      <c r="R1127">
        <v>142500000</v>
      </c>
      <c r="S1127">
        <v>285</v>
      </c>
      <c r="T1127">
        <v>500000</v>
      </c>
      <c r="U1127">
        <v>1</v>
      </c>
      <c r="V1127">
        <v>1</v>
      </c>
      <c r="W1127" t="s">
        <v>121</v>
      </c>
      <c r="X1127" t="s">
        <v>1</v>
      </c>
      <c r="Y1127">
        <v>5130000</v>
      </c>
      <c r="Z1127">
        <v>142500000</v>
      </c>
      <c r="AA1127">
        <v>500000</v>
      </c>
      <c r="AB1127">
        <v>105</v>
      </c>
      <c r="AC1127" s="34">
        <v>46015</v>
      </c>
      <c r="AD1127" s="34">
        <v>46173</v>
      </c>
      <c r="AE1127" t="s">
        <v>161</v>
      </c>
      <c r="AF1127">
        <v>0</v>
      </c>
      <c r="AG1127">
        <v>5130000</v>
      </c>
      <c r="AH1127">
        <v>0</v>
      </c>
      <c r="AI1127">
        <v>5130000</v>
      </c>
      <c r="AJ1127">
        <v>0</v>
      </c>
      <c r="AK1127">
        <v>0</v>
      </c>
      <c r="AL1127">
        <v>1287630</v>
      </c>
      <c r="AM1127">
        <v>0</v>
      </c>
      <c r="AN1127">
        <v>6417630</v>
      </c>
      <c r="AO1127" t="s">
        <v>122</v>
      </c>
      <c r="AP1127">
        <v>10</v>
      </c>
      <c r="AQ1127">
        <v>513000</v>
      </c>
      <c r="AR1127">
        <v>513000</v>
      </c>
      <c r="AT1127">
        <v>85500000</v>
      </c>
      <c r="AU1127">
        <v>3078000</v>
      </c>
      <c r="AV1127">
        <v>85500000</v>
      </c>
      <c r="AW1127">
        <v>3078000</v>
      </c>
    </row>
    <row r="1128" spans="1:49" hidden="1" x14ac:dyDescent="0.35">
      <c r="A1128">
        <v>5858110</v>
      </c>
      <c r="B1128">
        <v>1090005858101</v>
      </c>
      <c r="D1128">
        <v>20052679274</v>
      </c>
      <c r="E1128" t="s">
        <v>1658</v>
      </c>
      <c r="F1128" t="s">
        <v>1</v>
      </c>
      <c r="G1128" t="s">
        <v>56</v>
      </c>
      <c r="H1128" t="s">
        <v>56</v>
      </c>
      <c r="I1128">
        <v>6381</v>
      </c>
      <c r="J1128">
        <v>21</v>
      </c>
      <c r="K1128" t="s">
        <v>33</v>
      </c>
      <c r="L1128">
        <v>82963</v>
      </c>
      <c r="M1128" t="s">
        <v>396</v>
      </c>
      <c r="N1128">
        <v>1</v>
      </c>
      <c r="O1128" t="s">
        <v>119</v>
      </c>
      <c r="P1128" t="s">
        <v>1659</v>
      </c>
      <c r="Q1128">
        <v>325</v>
      </c>
      <c r="R1128">
        <v>10000</v>
      </c>
      <c r="S1128">
        <v>100</v>
      </c>
      <c r="T1128">
        <v>100</v>
      </c>
      <c r="U1128">
        <v>26</v>
      </c>
      <c r="V1128">
        <v>1434.5</v>
      </c>
      <c r="W1128" t="s">
        <v>121</v>
      </c>
      <c r="X1128" t="s">
        <v>1</v>
      </c>
      <c r="Y1128">
        <v>466212.5</v>
      </c>
      <c r="Z1128">
        <v>14345000</v>
      </c>
      <c r="AA1128">
        <v>143450</v>
      </c>
      <c r="AB1128">
        <v>106</v>
      </c>
      <c r="AC1128" s="34">
        <v>46006</v>
      </c>
      <c r="AD1128" s="34">
        <v>46112</v>
      </c>
      <c r="AE1128" t="s">
        <v>161</v>
      </c>
      <c r="AF1128">
        <v>0</v>
      </c>
      <c r="AG1128">
        <v>325</v>
      </c>
      <c r="AH1128">
        <v>0</v>
      </c>
      <c r="AI1128">
        <v>466212.5</v>
      </c>
      <c r="AJ1128">
        <v>0</v>
      </c>
      <c r="AK1128">
        <v>0</v>
      </c>
      <c r="AL1128">
        <v>117026.51</v>
      </c>
      <c r="AM1128">
        <v>0</v>
      </c>
      <c r="AN1128">
        <v>583239.01</v>
      </c>
      <c r="AO1128" t="s">
        <v>122</v>
      </c>
      <c r="AP1128">
        <v>10</v>
      </c>
      <c r="AQ1128">
        <v>32.5</v>
      </c>
      <c r="AR1128">
        <v>46621.25</v>
      </c>
      <c r="AT1128">
        <v>6000</v>
      </c>
      <c r="AU1128">
        <v>195</v>
      </c>
      <c r="AV1128">
        <v>8607000</v>
      </c>
      <c r="AW1128">
        <v>279727.5</v>
      </c>
    </row>
    <row r="1129" spans="1:49" hidden="1" x14ac:dyDescent="0.35">
      <c r="A1129">
        <v>5858210</v>
      </c>
      <c r="B1129">
        <v>1090005858201</v>
      </c>
      <c r="D1129">
        <v>23259033349</v>
      </c>
      <c r="E1129" t="s">
        <v>932</v>
      </c>
      <c r="F1129" t="s">
        <v>1</v>
      </c>
      <c r="G1129" t="s">
        <v>1621</v>
      </c>
      <c r="H1129" t="s">
        <v>54</v>
      </c>
      <c r="I1129">
        <v>6326</v>
      </c>
      <c r="J1129">
        <v>21</v>
      </c>
      <c r="K1129" t="s">
        <v>33</v>
      </c>
      <c r="L1129">
        <v>82963</v>
      </c>
      <c r="M1129" t="s">
        <v>396</v>
      </c>
      <c r="N1129">
        <v>1</v>
      </c>
      <c r="O1129" t="s">
        <v>119</v>
      </c>
      <c r="P1129" t="s">
        <v>1660</v>
      </c>
      <c r="Q1129">
        <v>1332.5</v>
      </c>
      <c r="R1129">
        <v>41000</v>
      </c>
      <c r="S1129">
        <v>164</v>
      </c>
      <c r="T1129">
        <v>250</v>
      </c>
      <c r="U1129">
        <v>26</v>
      </c>
      <c r="V1129">
        <v>1434.5</v>
      </c>
      <c r="W1129" t="s">
        <v>121</v>
      </c>
      <c r="X1129" t="s">
        <v>1</v>
      </c>
      <c r="Y1129">
        <v>1911471.25</v>
      </c>
      <c r="Z1129">
        <v>58814500</v>
      </c>
      <c r="AA1129">
        <v>358625</v>
      </c>
      <c r="AB1129">
        <v>106</v>
      </c>
      <c r="AC1129" s="34">
        <v>46016</v>
      </c>
      <c r="AD1129" s="34">
        <v>46112</v>
      </c>
      <c r="AE1129" t="s">
        <v>161</v>
      </c>
      <c r="AF1129">
        <v>0</v>
      </c>
      <c r="AG1129">
        <v>1332.5</v>
      </c>
      <c r="AH1129">
        <v>0</v>
      </c>
      <c r="AI1129">
        <v>1911471.25</v>
      </c>
      <c r="AJ1129">
        <v>0</v>
      </c>
      <c r="AK1129">
        <v>0</v>
      </c>
      <c r="AL1129">
        <v>479797.22</v>
      </c>
      <c r="AM1129">
        <v>0</v>
      </c>
      <c r="AN1129">
        <v>2391268.4700000002</v>
      </c>
      <c r="AO1129" t="s">
        <v>122</v>
      </c>
      <c r="AP1129">
        <v>10</v>
      </c>
      <c r="AQ1129">
        <v>133.25</v>
      </c>
      <c r="AR1129">
        <v>191147.13</v>
      </c>
      <c r="AT1129">
        <v>24600</v>
      </c>
      <c r="AU1129">
        <v>799.5</v>
      </c>
      <c r="AV1129">
        <v>35288700</v>
      </c>
      <c r="AW1129">
        <v>1146882.75</v>
      </c>
    </row>
    <row r="1130" spans="1:49" hidden="1" x14ac:dyDescent="0.35">
      <c r="A1130">
        <v>5858310</v>
      </c>
      <c r="B1130">
        <v>1090005858301</v>
      </c>
      <c r="D1130">
        <v>30716861186</v>
      </c>
      <c r="E1130" t="s">
        <v>937</v>
      </c>
      <c r="F1130" t="s">
        <v>1</v>
      </c>
      <c r="G1130" t="s">
        <v>1621</v>
      </c>
      <c r="H1130" t="s">
        <v>54</v>
      </c>
      <c r="I1130">
        <v>6326</v>
      </c>
      <c r="J1130">
        <v>21</v>
      </c>
      <c r="K1130" t="s">
        <v>33</v>
      </c>
      <c r="L1130">
        <v>82963</v>
      </c>
      <c r="M1130" t="s">
        <v>396</v>
      </c>
      <c r="N1130">
        <v>1</v>
      </c>
      <c r="O1130" t="s">
        <v>119</v>
      </c>
      <c r="P1130" t="s">
        <v>1660</v>
      </c>
      <c r="Q1130">
        <v>1332.5</v>
      </c>
      <c r="R1130">
        <v>41000</v>
      </c>
      <c r="S1130">
        <v>164</v>
      </c>
      <c r="T1130">
        <v>250</v>
      </c>
      <c r="U1130">
        <v>26</v>
      </c>
      <c r="V1130">
        <v>1434.5</v>
      </c>
      <c r="W1130" t="s">
        <v>121</v>
      </c>
      <c r="X1130" t="s">
        <v>1</v>
      </c>
      <c r="Y1130">
        <v>1911471.25</v>
      </c>
      <c r="Z1130">
        <v>58814500</v>
      </c>
      <c r="AA1130">
        <v>358625</v>
      </c>
      <c r="AB1130">
        <v>106</v>
      </c>
      <c r="AC1130" s="34">
        <v>46016</v>
      </c>
      <c r="AD1130" s="34">
        <v>46112</v>
      </c>
      <c r="AE1130" t="s">
        <v>161</v>
      </c>
      <c r="AF1130">
        <v>0</v>
      </c>
      <c r="AG1130">
        <v>1332.5</v>
      </c>
      <c r="AH1130">
        <v>0</v>
      </c>
      <c r="AI1130">
        <v>1911471.25</v>
      </c>
      <c r="AJ1130">
        <v>0</v>
      </c>
      <c r="AK1130">
        <v>0</v>
      </c>
      <c r="AL1130">
        <v>479797.22</v>
      </c>
      <c r="AM1130">
        <v>0</v>
      </c>
      <c r="AN1130">
        <v>2391268.4700000002</v>
      </c>
      <c r="AO1130" t="s">
        <v>122</v>
      </c>
      <c r="AP1130">
        <v>10</v>
      </c>
      <c r="AQ1130">
        <v>133.25</v>
      </c>
      <c r="AR1130">
        <v>191147.13</v>
      </c>
      <c r="AT1130">
        <v>24600</v>
      </c>
      <c r="AU1130">
        <v>799.5</v>
      </c>
      <c r="AV1130">
        <v>35288700</v>
      </c>
      <c r="AW1130">
        <v>1146882.75</v>
      </c>
    </row>
    <row r="1131" spans="1:49" hidden="1" x14ac:dyDescent="0.35">
      <c r="A1131">
        <v>5858410</v>
      </c>
      <c r="B1131">
        <v>1170005858401</v>
      </c>
      <c r="D1131">
        <v>20276899865</v>
      </c>
      <c r="E1131" t="s">
        <v>1661</v>
      </c>
      <c r="F1131" t="s">
        <v>1</v>
      </c>
      <c r="G1131" t="s">
        <v>578</v>
      </c>
      <c r="H1131" t="s">
        <v>297</v>
      </c>
      <c r="I1131">
        <v>2107</v>
      </c>
      <c r="J1131">
        <v>12</v>
      </c>
      <c r="K1131" t="s">
        <v>34</v>
      </c>
      <c r="L1131">
        <v>8519</v>
      </c>
      <c r="M1131" t="s">
        <v>1662</v>
      </c>
      <c r="N1131">
        <v>1</v>
      </c>
      <c r="O1131" t="s">
        <v>119</v>
      </c>
      <c r="P1131" t="s">
        <v>1663</v>
      </c>
      <c r="Q1131">
        <v>1224552</v>
      </c>
      <c r="R1131">
        <v>41370000</v>
      </c>
      <c r="S1131">
        <v>30</v>
      </c>
      <c r="T1131">
        <v>1379000</v>
      </c>
      <c r="U1131">
        <v>1</v>
      </c>
      <c r="V1131">
        <v>1</v>
      </c>
      <c r="W1131" t="s">
        <v>127</v>
      </c>
      <c r="X1131">
        <v>19700</v>
      </c>
      <c r="Y1131">
        <v>1224552</v>
      </c>
      <c r="Z1131">
        <v>41370000</v>
      </c>
      <c r="AA1131">
        <v>1379000</v>
      </c>
      <c r="AB1131">
        <v>105</v>
      </c>
      <c r="AC1131" s="34">
        <v>46043</v>
      </c>
      <c r="AD1131" s="34">
        <v>46142</v>
      </c>
      <c r="AF1131">
        <v>0</v>
      </c>
      <c r="AG1131">
        <v>1224552</v>
      </c>
      <c r="AH1131">
        <v>0</v>
      </c>
      <c r="AI1131">
        <v>1224552</v>
      </c>
      <c r="AJ1131">
        <v>0</v>
      </c>
      <c r="AK1131">
        <v>0</v>
      </c>
      <c r="AL1131">
        <v>313485.31</v>
      </c>
      <c r="AM1131">
        <v>0</v>
      </c>
      <c r="AN1131">
        <v>1538037.31</v>
      </c>
      <c r="AO1131" t="s">
        <v>122</v>
      </c>
      <c r="AP1131">
        <v>10</v>
      </c>
      <c r="AQ1131">
        <v>122455.2</v>
      </c>
      <c r="AR1131">
        <v>122455.2</v>
      </c>
      <c r="AT1131">
        <v>24822000</v>
      </c>
      <c r="AU1131">
        <v>734731.2</v>
      </c>
      <c r="AV1131">
        <v>24822000</v>
      </c>
      <c r="AW1131">
        <v>734731.2</v>
      </c>
    </row>
    <row r="1132" spans="1:49" hidden="1" x14ac:dyDescent="0.35">
      <c r="A1132">
        <v>5858510</v>
      </c>
      <c r="B1132">
        <v>1170005858501</v>
      </c>
      <c r="D1132">
        <v>20276899865</v>
      </c>
      <c r="E1132" t="s">
        <v>1661</v>
      </c>
      <c r="F1132" t="s">
        <v>1</v>
      </c>
      <c r="G1132" t="s">
        <v>578</v>
      </c>
      <c r="H1132" t="s">
        <v>297</v>
      </c>
      <c r="I1132">
        <v>2107</v>
      </c>
      <c r="J1132">
        <v>12</v>
      </c>
      <c r="K1132" t="s">
        <v>34</v>
      </c>
      <c r="L1132">
        <v>8519</v>
      </c>
      <c r="M1132" t="s">
        <v>1662</v>
      </c>
      <c r="N1132">
        <v>1</v>
      </c>
      <c r="O1132" t="s">
        <v>119</v>
      </c>
      <c r="P1132" t="s">
        <v>1664</v>
      </c>
      <c r="Q1132">
        <v>1331955.8999999999</v>
      </c>
      <c r="R1132">
        <v>98010000</v>
      </c>
      <c r="S1132">
        <v>110</v>
      </c>
      <c r="T1132">
        <v>891000</v>
      </c>
      <c r="U1132">
        <v>1</v>
      </c>
      <c r="V1132">
        <v>1</v>
      </c>
      <c r="W1132" t="s">
        <v>127</v>
      </c>
      <c r="X1132">
        <v>29700</v>
      </c>
      <c r="Y1132">
        <v>1331955.8999999999</v>
      </c>
      <c r="Z1132">
        <v>98010000</v>
      </c>
      <c r="AA1132">
        <v>891000</v>
      </c>
      <c r="AB1132">
        <v>105</v>
      </c>
      <c r="AC1132" s="34">
        <v>46043</v>
      </c>
      <c r="AD1132" s="34">
        <v>46173</v>
      </c>
      <c r="AF1132">
        <v>0</v>
      </c>
      <c r="AG1132">
        <v>1816303.5</v>
      </c>
      <c r="AH1132">
        <v>0</v>
      </c>
      <c r="AI1132">
        <v>1816303.5</v>
      </c>
      <c r="AJ1132">
        <v>0</v>
      </c>
      <c r="AK1132">
        <v>0</v>
      </c>
      <c r="AL1132">
        <v>464973.71</v>
      </c>
      <c r="AM1132">
        <v>0</v>
      </c>
      <c r="AN1132">
        <v>2281277.21</v>
      </c>
      <c r="AO1132" t="s">
        <v>122</v>
      </c>
      <c r="AP1132">
        <v>10</v>
      </c>
      <c r="AQ1132">
        <v>181630.35</v>
      </c>
      <c r="AR1132">
        <v>181630.35</v>
      </c>
      <c r="AT1132">
        <v>58806000</v>
      </c>
      <c r="AU1132">
        <v>799173.54</v>
      </c>
      <c r="AV1132">
        <v>58806000</v>
      </c>
      <c r="AW1132">
        <v>799173.54</v>
      </c>
    </row>
    <row r="1133" spans="1:49" hidden="1" x14ac:dyDescent="0.35">
      <c r="A1133">
        <v>5858510</v>
      </c>
      <c r="B1133">
        <v>1170005858501</v>
      </c>
      <c r="D1133">
        <v>20276899865</v>
      </c>
      <c r="E1133" t="s">
        <v>1661</v>
      </c>
      <c r="F1133" t="s">
        <v>1</v>
      </c>
      <c r="G1133" t="s">
        <v>578</v>
      </c>
      <c r="H1133" t="s">
        <v>297</v>
      </c>
      <c r="I1133">
        <v>2107</v>
      </c>
      <c r="J1133">
        <v>12</v>
      </c>
      <c r="K1133" t="s">
        <v>34</v>
      </c>
      <c r="L1133">
        <v>8519</v>
      </c>
      <c r="M1133" t="s">
        <v>1662</v>
      </c>
      <c r="N1133">
        <v>2</v>
      </c>
      <c r="O1133" t="s">
        <v>119</v>
      </c>
      <c r="P1133" t="s">
        <v>1665</v>
      </c>
      <c r="Q1133">
        <v>484347.6</v>
      </c>
      <c r="R1133">
        <v>35640000</v>
      </c>
      <c r="S1133">
        <v>40</v>
      </c>
      <c r="T1133">
        <v>891000</v>
      </c>
      <c r="U1133">
        <v>1</v>
      </c>
      <c r="V1133">
        <v>1</v>
      </c>
      <c r="W1133" t="s">
        <v>127</v>
      </c>
      <c r="X1133">
        <v>29700</v>
      </c>
      <c r="Y1133">
        <v>484347.6</v>
      </c>
      <c r="Z1133">
        <v>35640000</v>
      </c>
      <c r="AA1133">
        <v>891000</v>
      </c>
      <c r="AB1133">
        <v>105</v>
      </c>
      <c r="AC1133" s="34">
        <v>46043</v>
      </c>
      <c r="AD1133" s="34">
        <v>46173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 t="s">
        <v>122</v>
      </c>
      <c r="AT1133">
        <v>21384000</v>
      </c>
      <c r="AU1133">
        <v>290608.56</v>
      </c>
      <c r="AV1133">
        <v>21384000</v>
      </c>
      <c r="AW1133">
        <v>290608.56</v>
      </c>
    </row>
    <row r="1134" spans="1:49" hidden="1" x14ac:dyDescent="0.35">
      <c r="A1134">
        <v>5858610</v>
      </c>
      <c r="B1134">
        <v>1090005858601</v>
      </c>
      <c r="D1134">
        <v>30707560807</v>
      </c>
      <c r="E1134" t="s">
        <v>666</v>
      </c>
      <c r="F1134" t="s">
        <v>1</v>
      </c>
      <c r="G1134" t="s">
        <v>906</v>
      </c>
      <c r="H1134" t="s">
        <v>66</v>
      </c>
      <c r="I1134">
        <v>7540</v>
      </c>
      <c r="J1134">
        <v>1</v>
      </c>
      <c r="K1134" t="s">
        <v>16</v>
      </c>
      <c r="L1134">
        <v>12320</v>
      </c>
      <c r="M1134" t="s">
        <v>403</v>
      </c>
      <c r="N1134">
        <v>1</v>
      </c>
      <c r="O1134" t="s">
        <v>119</v>
      </c>
      <c r="P1134" t="s">
        <v>1666</v>
      </c>
      <c r="Q1134">
        <v>3756367.87</v>
      </c>
      <c r="R1134">
        <v>118400000</v>
      </c>
      <c r="S1134">
        <v>296</v>
      </c>
      <c r="T1134">
        <v>400000</v>
      </c>
      <c r="U1134">
        <v>1</v>
      </c>
      <c r="V1134">
        <v>1</v>
      </c>
      <c r="W1134" t="s">
        <v>121</v>
      </c>
      <c r="X1134" t="s">
        <v>1</v>
      </c>
      <c r="Y1134">
        <v>3756367.87</v>
      </c>
      <c r="Z1134">
        <v>118400000</v>
      </c>
      <c r="AA1134">
        <v>400000</v>
      </c>
      <c r="AB1134">
        <v>211</v>
      </c>
      <c r="AC1134" s="34">
        <v>46015</v>
      </c>
      <c r="AD1134" s="34">
        <v>46112</v>
      </c>
      <c r="AF1134">
        <v>0</v>
      </c>
      <c r="AG1134">
        <v>5052672</v>
      </c>
      <c r="AH1134">
        <v>404213.76000000001</v>
      </c>
      <c r="AI1134">
        <v>5052672</v>
      </c>
      <c r="AJ1134">
        <v>404213.76000000001</v>
      </c>
      <c r="AK1134">
        <v>0</v>
      </c>
      <c r="AL1134">
        <v>1369678.32</v>
      </c>
      <c r="AM1134">
        <v>0</v>
      </c>
      <c r="AN1134">
        <v>6826564.0800000001</v>
      </c>
      <c r="AO1134" t="s">
        <v>122</v>
      </c>
      <c r="AP1134">
        <v>12</v>
      </c>
      <c r="AQ1134">
        <v>606320.64000000001</v>
      </c>
      <c r="AR1134">
        <v>606320.64000000001</v>
      </c>
      <c r="AT1134">
        <v>71040000</v>
      </c>
      <c r="AU1134">
        <v>2253820.7200000002</v>
      </c>
      <c r="AV1134">
        <v>71040000</v>
      </c>
      <c r="AW1134">
        <v>2253820.7200000002</v>
      </c>
    </row>
    <row r="1135" spans="1:49" hidden="1" x14ac:dyDescent="0.35">
      <c r="A1135">
        <v>5858610</v>
      </c>
      <c r="B1135">
        <v>1090005858601</v>
      </c>
      <c r="D1135">
        <v>30707560807</v>
      </c>
      <c r="E1135" t="s">
        <v>666</v>
      </c>
      <c r="F1135" t="s">
        <v>1</v>
      </c>
      <c r="G1135" t="s">
        <v>906</v>
      </c>
      <c r="H1135" t="s">
        <v>66</v>
      </c>
      <c r="I1135">
        <v>7540</v>
      </c>
      <c r="J1135">
        <v>1</v>
      </c>
      <c r="K1135" t="s">
        <v>16</v>
      </c>
      <c r="L1135">
        <v>12320</v>
      </c>
      <c r="M1135" t="s">
        <v>403</v>
      </c>
      <c r="N1135">
        <v>2</v>
      </c>
      <c r="O1135" t="s">
        <v>119</v>
      </c>
      <c r="P1135" t="s">
        <v>1667</v>
      </c>
      <c r="Q1135">
        <v>1700517.89</v>
      </c>
      <c r="R1135">
        <v>53600000</v>
      </c>
      <c r="S1135">
        <v>134</v>
      </c>
      <c r="T1135">
        <v>400000</v>
      </c>
      <c r="U1135">
        <v>1</v>
      </c>
      <c r="V1135">
        <v>1</v>
      </c>
      <c r="W1135" t="s">
        <v>121</v>
      </c>
      <c r="X1135" t="s">
        <v>1</v>
      </c>
      <c r="Y1135">
        <v>1700517.89</v>
      </c>
      <c r="Z1135">
        <v>53600000</v>
      </c>
      <c r="AA1135">
        <v>400000</v>
      </c>
      <c r="AB1135">
        <v>211</v>
      </c>
      <c r="AC1135" s="34">
        <v>46015</v>
      </c>
      <c r="AD1135" s="34">
        <v>46112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 t="s">
        <v>122</v>
      </c>
      <c r="AT1135">
        <v>32160000</v>
      </c>
      <c r="AU1135">
        <v>1020310.73</v>
      </c>
      <c r="AV1135">
        <v>32160000</v>
      </c>
      <c r="AW1135">
        <v>1020310.73</v>
      </c>
    </row>
    <row r="1136" spans="1:49" hidden="1" x14ac:dyDescent="0.35">
      <c r="A1136">
        <v>5858710</v>
      </c>
      <c r="B1136">
        <v>1090005858701</v>
      </c>
      <c r="D1136">
        <v>30707560807</v>
      </c>
      <c r="E1136" t="s">
        <v>666</v>
      </c>
      <c r="F1136" t="s">
        <v>1</v>
      </c>
      <c r="G1136" t="s">
        <v>66</v>
      </c>
      <c r="H1136" t="s">
        <v>66</v>
      </c>
      <c r="I1136">
        <v>7540</v>
      </c>
      <c r="J1136">
        <v>1</v>
      </c>
      <c r="K1136" t="s">
        <v>16</v>
      </c>
      <c r="L1136">
        <v>12320</v>
      </c>
      <c r="M1136" t="s">
        <v>403</v>
      </c>
      <c r="N1136">
        <v>1</v>
      </c>
      <c r="O1136" t="s">
        <v>119</v>
      </c>
      <c r="P1136" t="s">
        <v>1668</v>
      </c>
      <c r="Q1136">
        <v>3692563.2</v>
      </c>
      <c r="R1136">
        <v>167600000</v>
      </c>
      <c r="S1136">
        <v>419</v>
      </c>
      <c r="T1136">
        <v>400000</v>
      </c>
      <c r="U1136">
        <v>1</v>
      </c>
      <c r="V1136">
        <v>1</v>
      </c>
      <c r="W1136" t="s">
        <v>121</v>
      </c>
      <c r="X1136" t="s">
        <v>1</v>
      </c>
      <c r="Y1136">
        <v>3692563.2</v>
      </c>
      <c r="Z1136">
        <v>167600000</v>
      </c>
      <c r="AA1136">
        <v>400000</v>
      </c>
      <c r="AB1136">
        <v>210</v>
      </c>
      <c r="AC1136" s="34">
        <v>46015</v>
      </c>
      <c r="AD1136" s="34">
        <v>46142</v>
      </c>
      <c r="AF1136">
        <v>0</v>
      </c>
      <c r="AG1136">
        <v>3692563.2</v>
      </c>
      <c r="AH1136">
        <v>0</v>
      </c>
      <c r="AI1136">
        <v>3692563.2</v>
      </c>
      <c r="AJ1136">
        <v>0</v>
      </c>
      <c r="AK1136">
        <v>0</v>
      </c>
      <c r="AL1136">
        <v>926833.37</v>
      </c>
      <c r="AM1136">
        <v>0</v>
      </c>
      <c r="AN1136">
        <v>4619396.57</v>
      </c>
      <c r="AO1136" t="s">
        <v>122</v>
      </c>
      <c r="AP1136">
        <v>12</v>
      </c>
      <c r="AQ1136">
        <v>443107.58</v>
      </c>
      <c r="AR1136">
        <v>443107.58</v>
      </c>
      <c r="AT1136">
        <v>100560000</v>
      </c>
      <c r="AU1136">
        <v>2215537.92</v>
      </c>
      <c r="AV1136">
        <v>100560000</v>
      </c>
      <c r="AW1136">
        <v>2215537.92</v>
      </c>
    </row>
    <row r="1137" spans="1:49" hidden="1" x14ac:dyDescent="0.35">
      <c r="A1137">
        <v>5858810</v>
      </c>
      <c r="B1137">
        <v>1090005858801</v>
      </c>
      <c r="D1137">
        <v>30707560807</v>
      </c>
      <c r="E1137" t="s">
        <v>666</v>
      </c>
      <c r="F1137" t="s">
        <v>1</v>
      </c>
      <c r="G1137" t="s">
        <v>906</v>
      </c>
      <c r="H1137" t="s">
        <v>66</v>
      </c>
      <c r="I1137">
        <v>7540</v>
      </c>
      <c r="J1137">
        <v>1</v>
      </c>
      <c r="K1137" t="s">
        <v>16</v>
      </c>
      <c r="L1137">
        <v>12320</v>
      </c>
      <c r="M1137" t="s">
        <v>403</v>
      </c>
      <c r="N1137">
        <v>1</v>
      </c>
      <c r="O1137" t="s">
        <v>119</v>
      </c>
      <c r="P1137" t="s">
        <v>1669</v>
      </c>
      <c r="Q1137">
        <v>2972973.6</v>
      </c>
      <c r="R1137">
        <v>128400000</v>
      </c>
      <c r="S1137">
        <v>321</v>
      </c>
      <c r="T1137">
        <v>400000</v>
      </c>
      <c r="U1137">
        <v>1</v>
      </c>
      <c r="V1137">
        <v>1</v>
      </c>
      <c r="W1137" t="s">
        <v>121</v>
      </c>
      <c r="X1137" t="s">
        <v>1</v>
      </c>
      <c r="Y1137">
        <v>2972973.6</v>
      </c>
      <c r="Z1137">
        <v>128400000</v>
      </c>
      <c r="AA1137">
        <v>400000</v>
      </c>
      <c r="AB1137">
        <v>105</v>
      </c>
      <c r="AC1137" s="34">
        <v>46015</v>
      </c>
      <c r="AD1137" s="34">
        <v>46173</v>
      </c>
      <c r="AF1137">
        <v>0</v>
      </c>
      <c r="AG1137">
        <v>2972973.6</v>
      </c>
      <c r="AH1137">
        <v>0</v>
      </c>
      <c r="AI1137">
        <v>2972973.6</v>
      </c>
      <c r="AJ1137">
        <v>0</v>
      </c>
      <c r="AK1137">
        <v>0</v>
      </c>
      <c r="AL1137">
        <v>746216.38</v>
      </c>
      <c r="AM1137">
        <v>0</v>
      </c>
      <c r="AN1137">
        <v>3719189.98</v>
      </c>
      <c r="AO1137" t="s">
        <v>122</v>
      </c>
      <c r="AP1137">
        <v>12</v>
      </c>
      <c r="AQ1137">
        <v>356756.83</v>
      </c>
      <c r="AR1137">
        <v>356756.83</v>
      </c>
      <c r="AT1137">
        <v>77040000</v>
      </c>
      <c r="AU1137">
        <v>1783784.16</v>
      </c>
      <c r="AV1137">
        <v>77040000</v>
      </c>
      <c r="AW1137">
        <v>1783784.16</v>
      </c>
    </row>
    <row r="1138" spans="1:49" hidden="1" x14ac:dyDescent="0.35">
      <c r="A1138">
        <v>5858910</v>
      </c>
      <c r="B1138">
        <v>1150005858901</v>
      </c>
      <c r="D1138">
        <v>20250426578</v>
      </c>
      <c r="E1138" t="s">
        <v>1196</v>
      </c>
      <c r="F1138" t="s">
        <v>1</v>
      </c>
      <c r="G1138" t="s">
        <v>319</v>
      </c>
      <c r="H1138" t="s">
        <v>50</v>
      </c>
      <c r="I1138">
        <v>2426</v>
      </c>
      <c r="J1138">
        <v>3</v>
      </c>
      <c r="K1138" t="s">
        <v>32</v>
      </c>
      <c r="L1138">
        <v>9262</v>
      </c>
      <c r="M1138" t="s">
        <v>183</v>
      </c>
      <c r="N1138">
        <v>1</v>
      </c>
      <c r="O1138" t="s">
        <v>119</v>
      </c>
      <c r="P1138" t="s">
        <v>1670</v>
      </c>
      <c r="Q1138">
        <v>1284708.75</v>
      </c>
      <c r="R1138">
        <v>27046500</v>
      </c>
      <c r="S1138">
        <v>50</v>
      </c>
      <c r="T1138">
        <v>540930</v>
      </c>
      <c r="U1138">
        <v>1</v>
      </c>
      <c r="V1138">
        <v>1</v>
      </c>
      <c r="W1138" t="s">
        <v>127</v>
      </c>
      <c r="X1138">
        <v>54093</v>
      </c>
      <c r="Y1138">
        <v>1284708.75</v>
      </c>
      <c r="Z1138">
        <v>27046500</v>
      </c>
      <c r="AA1138">
        <v>540930</v>
      </c>
      <c r="AB1138">
        <v>105</v>
      </c>
      <c r="AC1138" s="34">
        <v>46032</v>
      </c>
      <c r="AD1138" s="34">
        <v>46111</v>
      </c>
      <c r="AF1138">
        <v>0</v>
      </c>
      <c r="AG1138">
        <v>1284708.75</v>
      </c>
      <c r="AH1138">
        <v>0</v>
      </c>
      <c r="AI1138">
        <v>1284708.75</v>
      </c>
      <c r="AJ1138">
        <v>0</v>
      </c>
      <c r="AK1138">
        <v>0</v>
      </c>
      <c r="AL1138">
        <v>335308.98</v>
      </c>
      <c r="AM1138">
        <v>0</v>
      </c>
      <c r="AN1138">
        <v>1620017.73</v>
      </c>
      <c r="AO1138" t="s">
        <v>122</v>
      </c>
      <c r="AP1138">
        <v>15</v>
      </c>
      <c r="AQ1138">
        <v>192706.31</v>
      </c>
      <c r="AR1138">
        <v>192706.31</v>
      </c>
      <c r="AT1138">
        <v>16227900</v>
      </c>
      <c r="AU1138">
        <v>770825.25</v>
      </c>
      <c r="AV1138">
        <v>16227900</v>
      </c>
      <c r="AW1138">
        <v>770825.25</v>
      </c>
    </row>
    <row r="1139" spans="1:49" hidden="1" x14ac:dyDescent="0.35">
      <c r="A1139">
        <v>5859010</v>
      </c>
      <c r="B1139">
        <v>5010005859001</v>
      </c>
      <c r="D1139">
        <v>20214456045</v>
      </c>
      <c r="E1139" t="s">
        <v>574</v>
      </c>
      <c r="F1139" t="s">
        <v>1</v>
      </c>
      <c r="G1139" t="s">
        <v>17</v>
      </c>
      <c r="H1139" t="s">
        <v>17</v>
      </c>
      <c r="I1139">
        <v>6500</v>
      </c>
      <c r="J1139">
        <v>1</v>
      </c>
      <c r="K1139" t="s">
        <v>16</v>
      </c>
      <c r="L1139">
        <v>11014</v>
      </c>
      <c r="M1139" t="s">
        <v>232</v>
      </c>
      <c r="N1139">
        <v>1</v>
      </c>
      <c r="O1139" t="s">
        <v>119</v>
      </c>
      <c r="P1139" t="s">
        <v>1671</v>
      </c>
      <c r="Q1139">
        <v>352836</v>
      </c>
      <c r="R1139">
        <v>17820000</v>
      </c>
      <c r="S1139">
        <v>30</v>
      </c>
      <c r="T1139">
        <v>594000</v>
      </c>
      <c r="U1139">
        <v>1</v>
      </c>
      <c r="V1139">
        <v>1</v>
      </c>
      <c r="W1139" t="s">
        <v>127</v>
      </c>
      <c r="X1139">
        <v>29700</v>
      </c>
      <c r="Y1139">
        <v>352836</v>
      </c>
      <c r="Z1139">
        <v>17820000</v>
      </c>
      <c r="AA1139">
        <v>594000</v>
      </c>
      <c r="AB1139">
        <v>105</v>
      </c>
      <c r="AC1139" s="34">
        <v>46046</v>
      </c>
      <c r="AD1139" s="34">
        <v>46188</v>
      </c>
      <c r="AF1139">
        <v>0</v>
      </c>
      <c r="AG1139">
        <v>352836</v>
      </c>
      <c r="AH1139">
        <v>0</v>
      </c>
      <c r="AI1139">
        <v>352836</v>
      </c>
      <c r="AJ1139">
        <v>0</v>
      </c>
      <c r="AK1139">
        <v>0</v>
      </c>
      <c r="AL1139">
        <v>88561.84</v>
      </c>
      <c r="AM1139">
        <v>0</v>
      </c>
      <c r="AN1139">
        <v>441397.84</v>
      </c>
      <c r="AO1139" t="s">
        <v>122</v>
      </c>
      <c r="AP1139">
        <v>15</v>
      </c>
      <c r="AQ1139">
        <v>52925.4</v>
      </c>
      <c r="AR1139">
        <v>52925.4</v>
      </c>
      <c r="AT1139">
        <v>10692000</v>
      </c>
      <c r="AU1139">
        <v>211701.6</v>
      </c>
      <c r="AV1139">
        <v>10692000</v>
      </c>
      <c r="AW1139">
        <v>211701.6</v>
      </c>
    </row>
    <row r="1140" spans="1:49" hidden="1" x14ac:dyDescent="0.35">
      <c r="A1140">
        <v>5859110</v>
      </c>
      <c r="B1140">
        <v>5010005859101</v>
      </c>
      <c r="D1140">
        <v>20214456045</v>
      </c>
      <c r="E1140" t="s">
        <v>574</v>
      </c>
      <c r="F1140" t="s">
        <v>1</v>
      </c>
      <c r="G1140" t="s">
        <v>17</v>
      </c>
      <c r="H1140" t="s">
        <v>17</v>
      </c>
      <c r="I1140">
        <v>6500</v>
      </c>
      <c r="J1140">
        <v>1</v>
      </c>
      <c r="K1140" t="s">
        <v>16</v>
      </c>
      <c r="L1140">
        <v>11014</v>
      </c>
      <c r="M1140" t="s">
        <v>232</v>
      </c>
      <c r="N1140">
        <v>1</v>
      </c>
      <c r="O1140" t="s">
        <v>119</v>
      </c>
      <c r="P1140" t="s">
        <v>1672</v>
      </c>
      <c r="Q1140">
        <v>317552.40000000002</v>
      </c>
      <c r="R1140">
        <v>16038000</v>
      </c>
      <c r="S1140">
        <v>27</v>
      </c>
      <c r="T1140">
        <v>594000</v>
      </c>
      <c r="U1140">
        <v>1</v>
      </c>
      <c r="V1140">
        <v>1</v>
      </c>
      <c r="W1140" t="s">
        <v>127</v>
      </c>
      <c r="X1140">
        <v>29700</v>
      </c>
      <c r="Y1140">
        <v>317552.40000000002</v>
      </c>
      <c r="Z1140">
        <v>16038000</v>
      </c>
      <c r="AA1140">
        <v>594000</v>
      </c>
      <c r="AB1140">
        <v>105</v>
      </c>
      <c r="AC1140" s="34">
        <v>46046</v>
      </c>
      <c r="AD1140" s="34">
        <v>46173</v>
      </c>
      <c r="AF1140">
        <v>0</v>
      </c>
      <c r="AG1140">
        <v>317552.40000000002</v>
      </c>
      <c r="AH1140">
        <v>0</v>
      </c>
      <c r="AI1140">
        <v>317552.40000000002</v>
      </c>
      <c r="AJ1140">
        <v>0</v>
      </c>
      <c r="AK1140">
        <v>0</v>
      </c>
      <c r="AL1140">
        <v>79705.64</v>
      </c>
      <c r="AM1140">
        <v>0</v>
      </c>
      <c r="AN1140">
        <v>397258.04</v>
      </c>
      <c r="AO1140" t="s">
        <v>122</v>
      </c>
      <c r="AP1140">
        <v>15</v>
      </c>
      <c r="AQ1140">
        <v>47632.86</v>
      </c>
      <c r="AR1140">
        <v>47632.86</v>
      </c>
      <c r="AT1140">
        <v>9622800</v>
      </c>
      <c r="AU1140">
        <v>190531.44</v>
      </c>
      <c r="AV1140">
        <v>9622800</v>
      </c>
      <c r="AW1140">
        <v>190531.44</v>
      </c>
    </row>
    <row r="1141" spans="1:49" hidden="1" x14ac:dyDescent="0.35">
      <c r="A1141">
        <v>5859210</v>
      </c>
      <c r="B1141">
        <v>1150005859201</v>
      </c>
      <c r="D1141">
        <v>20237319258</v>
      </c>
      <c r="E1141" t="s">
        <v>1673</v>
      </c>
      <c r="F1141" t="s">
        <v>1</v>
      </c>
      <c r="G1141" t="s">
        <v>319</v>
      </c>
      <c r="H1141" t="s">
        <v>50</v>
      </c>
      <c r="I1141">
        <v>2426</v>
      </c>
      <c r="J1141">
        <v>3</v>
      </c>
      <c r="K1141" t="s">
        <v>32</v>
      </c>
      <c r="L1141">
        <v>9262</v>
      </c>
      <c r="M1141" t="s">
        <v>183</v>
      </c>
      <c r="N1141">
        <v>1</v>
      </c>
      <c r="O1141" t="s">
        <v>119</v>
      </c>
      <c r="P1141" t="s">
        <v>1670</v>
      </c>
      <c r="Q1141">
        <v>1284708.75</v>
      </c>
      <c r="R1141">
        <v>27046500</v>
      </c>
      <c r="S1141">
        <v>50</v>
      </c>
      <c r="T1141">
        <v>540930</v>
      </c>
      <c r="U1141">
        <v>1</v>
      </c>
      <c r="V1141">
        <v>1</v>
      </c>
      <c r="W1141" t="s">
        <v>127</v>
      </c>
      <c r="X1141">
        <v>54093</v>
      </c>
      <c r="Y1141">
        <v>1284708.75</v>
      </c>
      <c r="Z1141">
        <v>27046500</v>
      </c>
      <c r="AA1141">
        <v>540930</v>
      </c>
      <c r="AB1141">
        <v>105</v>
      </c>
      <c r="AC1141" s="34">
        <v>46032</v>
      </c>
      <c r="AD1141" s="34">
        <v>46112</v>
      </c>
      <c r="AF1141">
        <v>0</v>
      </c>
      <c r="AG1141">
        <v>1284708.75</v>
      </c>
      <c r="AH1141">
        <v>0</v>
      </c>
      <c r="AI1141">
        <v>1284708.75</v>
      </c>
      <c r="AJ1141">
        <v>0</v>
      </c>
      <c r="AK1141">
        <v>0</v>
      </c>
      <c r="AL1141">
        <v>296767.71999999997</v>
      </c>
      <c r="AM1141">
        <v>0</v>
      </c>
      <c r="AN1141">
        <v>1581476.47</v>
      </c>
      <c r="AO1141" t="s">
        <v>122</v>
      </c>
      <c r="AP1141">
        <v>15</v>
      </c>
      <c r="AQ1141">
        <v>192706.31</v>
      </c>
      <c r="AR1141">
        <v>192706.31</v>
      </c>
      <c r="AT1141">
        <v>16227900</v>
      </c>
      <c r="AU1141">
        <v>770825.25</v>
      </c>
      <c r="AV1141">
        <v>16227900</v>
      </c>
      <c r="AW1141">
        <v>770825.25</v>
      </c>
    </row>
    <row r="1142" spans="1:49" hidden="1" x14ac:dyDescent="0.35">
      <c r="A1142">
        <v>5859310</v>
      </c>
      <c r="B1142">
        <v>1090005859301</v>
      </c>
      <c r="D1142">
        <v>20206480190</v>
      </c>
      <c r="E1142" t="s">
        <v>1674</v>
      </c>
      <c r="F1142" t="s">
        <v>1</v>
      </c>
      <c r="G1142" t="s">
        <v>45</v>
      </c>
      <c r="H1142" t="s">
        <v>45</v>
      </c>
      <c r="I1142">
        <v>6409</v>
      </c>
      <c r="J1142">
        <v>1</v>
      </c>
      <c r="K1142" t="s">
        <v>16</v>
      </c>
      <c r="L1142">
        <v>9371</v>
      </c>
      <c r="M1142" t="s">
        <v>581</v>
      </c>
      <c r="N1142">
        <v>1</v>
      </c>
      <c r="O1142" t="s">
        <v>119</v>
      </c>
      <c r="P1142" t="s">
        <v>1675</v>
      </c>
      <c r="Q1142">
        <v>889.2</v>
      </c>
      <c r="R1142">
        <v>34200</v>
      </c>
      <c r="S1142">
        <v>57</v>
      </c>
      <c r="T1142">
        <v>600</v>
      </c>
      <c r="U1142">
        <v>26</v>
      </c>
      <c r="V1142">
        <v>1433</v>
      </c>
      <c r="W1142" t="s">
        <v>121</v>
      </c>
      <c r="X1142" t="s">
        <v>1</v>
      </c>
      <c r="Y1142">
        <v>1274223.6000000001</v>
      </c>
      <c r="Z1142">
        <v>49008600</v>
      </c>
      <c r="AA1142">
        <v>859800</v>
      </c>
      <c r="AB1142">
        <v>106</v>
      </c>
      <c r="AC1142" s="34">
        <v>46014</v>
      </c>
      <c r="AD1142" s="34">
        <v>46173</v>
      </c>
      <c r="AF1142">
        <v>0</v>
      </c>
      <c r="AG1142">
        <v>889.2</v>
      </c>
      <c r="AH1142">
        <v>0</v>
      </c>
      <c r="AI1142">
        <v>1274223.6000000001</v>
      </c>
      <c r="AJ1142">
        <v>0</v>
      </c>
      <c r="AK1142">
        <v>0</v>
      </c>
      <c r="AL1142">
        <v>319845.59999999998</v>
      </c>
      <c r="AM1142">
        <v>0</v>
      </c>
      <c r="AN1142">
        <v>1594069.2</v>
      </c>
      <c r="AO1142" t="s">
        <v>122</v>
      </c>
      <c r="AP1142">
        <v>10</v>
      </c>
      <c r="AQ1142">
        <v>88.92</v>
      </c>
      <c r="AR1142">
        <v>127422.36</v>
      </c>
      <c r="AT1142">
        <v>20520</v>
      </c>
      <c r="AU1142">
        <v>533.52</v>
      </c>
      <c r="AV1142">
        <v>29405160</v>
      </c>
      <c r="AW1142">
        <v>764534.16</v>
      </c>
    </row>
    <row r="1143" spans="1:49" hidden="1" x14ac:dyDescent="0.35">
      <c r="A1143">
        <v>5859410</v>
      </c>
      <c r="B1143">
        <v>1090005859401</v>
      </c>
      <c r="D1143">
        <v>20206480190</v>
      </c>
      <c r="E1143" t="s">
        <v>1674</v>
      </c>
      <c r="F1143" t="s">
        <v>1</v>
      </c>
      <c r="G1143" t="s">
        <v>45</v>
      </c>
      <c r="H1143" t="s">
        <v>45</v>
      </c>
      <c r="I1143">
        <v>6409</v>
      </c>
      <c r="J1143">
        <v>1</v>
      </c>
      <c r="K1143" t="s">
        <v>16</v>
      </c>
      <c r="L1143">
        <v>9371</v>
      </c>
      <c r="M1143" t="s">
        <v>581</v>
      </c>
      <c r="N1143">
        <v>1</v>
      </c>
      <c r="O1143" t="s">
        <v>119</v>
      </c>
      <c r="P1143" t="s">
        <v>1676</v>
      </c>
      <c r="Q1143">
        <v>877.2</v>
      </c>
      <c r="R1143">
        <v>34400</v>
      </c>
      <c r="S1143">
        <v>43</v>
      </c>
      <c r="T1143">
        <v>800</v>
      </c>
      <c r="U1143">
        <v>26</v>
      </c>
      <c r="V1143">
        <v>1433</v>
      </c>
      <c r="W1143" t="s">
        <v>121</v>
      </c>
      <c r="X1143" t="s">
        <v>1</v>
      </c>
      <c r="Y1143">
        <v>1257027.6000000001</v>
      </c>
      <c r="Z1143">
        <v>49295200</v>
      </c>
      <c r="AA1143">
        <v>1146400</v>
      </c>
      <c r="AB1143">
        <v>210</v>
      </c>
      <c r="AC1143" s="34">
        <v>46014</v>
      </c>
      <c r="AD1143" s="34">
        <v>46142</v>
      </c>
      <c r="AF1143">
        <v>0</v>
      </c>
      <c r="AG1143">
        <v>877.2</v>
      </c>
      <c r="AH1143">
        <v>0</v>
      </c>
      <c r="AI1143">
        <v>1257027.6000000001</v>
      </c>
      <c r="AJ1143">
        <v>0</v>
      </c>
      <c r="AK1143">
        <v>0</v>
      </c>
      <c r="AL1143">
        <v>315517.94</v>
      </c>
      <c r="AM1143">
        <v>0</v>
      </c>
      <c r="AN1143">
        <v>1572545.54</v>
      </c>
      <c r="AO1143" t="s">
        <v>122</v>
      </c>
      <c r="AP1143">
        <v>10</v>
      </c>
      <c r="AQ1143">
        <v>87.72</v>
      </c>
      <c r="AR1143">
        <v>125702.76</v>
      </c>
      <c r="AT1143">
        <v>20640</v>
      </c>
      <c r="AU1143">
        <v>526.32000000000005</v>
      </c>
      <c r="AV1143">
        <v>29577120</v>
      </c>
      <c r="AW1143">
        <v>754216.56</v>
      </c>
    </row>
    <row r="1144" spans="1:49" hidden="1" x14ac:dyDescent="0.35">
      <c r="A1144">
        <v>5859510</v>
      </c>
      <c r="B1144">
        <v>1090005859501</v>
      </c>
      <c r="D1144">
        <v>20206480190</v>
      </c>
      <c r="E1144" t="s">
        <v>1674</v>
      </c>
      <c r="F1144" t="s">
        <v>1</v>
      </c>
      <c r="G1144" t="s">
        <v>45</v>
      </c>
      <c r="H1144" t="s">
        <v>45</v>
      </c>
      <c r="I1144">
        <v>6409</v>
      </c>
      <c r="J1144">
        <v>1</v>
      </c>
      <c r="K1144" t="s">
        <v>16</v>
      </c>
      <c r="L1144">
        <v>9371</v>
      </c>
      <c r="M1144" t="s">
        <v>581</v>
      </c>
      <c r="N1144">
        <v>1</v>
      </c>
      <c r="O1144" t="s">
        <v>119</v>
      </c>
      <c r="P1144" t="s">
        <v>1677</v>
      </c>
      <c r="Q1144">
        <v>1135.52</v>
      </c>
      <c r="R1144">
        <v>37600</v>
      </c>
      <c r="S1144">
        <v>47</v>
      </c>
      <c r="T1144">
        <v>800</v>
      </c>
      <c r="U1144">
        <v>26</v>
      </c>
      <c r="V1144">
        <v>1433</v>
      </c>
      <c r="W1144" t="s">
        <v>121</v>
      </c>
      <c r="X1144" t="s">
        <v>1</v>
      </c>
      <c r="Y1144">
        <v>1627200.16</v>
      </c>
      <c r="Z1144">
        <v>53880800</v>
      </c>
      <c r="AA1144">
        <v>1146400</v>
      </c>
      <c r="AB1144">
        <v>211</v>
      </c>
      <c r="AC1144" s="34">
        <v>46014</v>
      </c>
      <c r="AD1144" s="34">
        <v>46112</v>
      </c>
      <c r="AF1144">
        <v>0</v>
      </c>
      <c r="AG1144">
        <v>1135.52</v>
      </c>
      <c r="AH1144">
        <v>0</v>
      </c>
      <c r="AI1144">
        <v>1627200.16</v>
      </c>
      <c r="AJ1144">
        <v>0</v>
      </c>
      <c r="AK1144">
        <v>0</v>
      </c>
      <c r="AL1144">
        <v>408433.66</v>
      </c>
      <c r="AM1144">
        <v>0</v>
      </c>
      <c r="AN1144">
        <v>2035633.82</v>
      </c>
      <c r="AO1144" t="s">
        <v>122</v>
      </c>
      <c r="AP1144">
        <v>10</v>
      </c>
      <c r="AQ1144">
        <v>113.55</v>
      </c>
      <c r="AR1144">
        <v>162717.15</v>
      </c>
      <c r="AT1144">
        <v>22560</v>
      </c>
      <c r="AU1144">
        <v>681.31</v>
      </c>
      <c r="AV1144">
        <v>32328480</v>
      </c>
      <c r="AW1144">
        <v>976317.23</v>
      </c>
    </row>
    <row r="1145" spans="1:49" hidden="1" x14ac:dyDescent="0.35">
      <c r="A1145">
        <v>5859610</v>
      </c>
      <c r="B1145">
        <v>5010005859601</v>
      </c>
      <c r="D1145">
        <v>30614483179</v>
      </c>
      <c r="E1145" t="s">
        <v>287</v>
      </c>
      <c r="F1145" t="s">
        <v>1</v>
      </c>
      <c r="G1145" t="s">
        <v>24</v>
      </c>
      <c r="H1145" t="s">
        <v>24</v>
      </c>
      <c r="I1145">
        <v>6070</v>
      </c>
      <c r="J1145">
        <v>1</v>
      </c>
      <c r="K1145" t="s">
        <v>16</v>
      </c>
      <c r="L1145">
        <v>11014</v>
      </c>
      <c r="M1145" t="s">
        <v>232</v>
      </c>
      <c r="N1145">
        <v>1</v>
      </c>
      <c r="O1145" t="s">
        <v>119</v>
      </c>
      <c r="P1145" t="s">
        <v>1678</v>
      </c>
      <c r="Q1145">
        <v>704.88</v>
      </c>
      <c r="R1145">
        <v>39600</v>
      </c>
      <c r="S1145">
        <v>180</v>
      </c>
      <c r="T1145">
        <v>220</v>
      </c>
      <c r="U1145">
        <v>26</v>
      </c>
      <c r="V1145">
        <v>1433</v>
      </c>
      <c r="W1145" t="s">
        <v>121</v>
      </c>
      <c r="X1145" t="s">
        <v>1</v>
      </c>
      <c r="Y1145">
        <v>1010093.04</v>
      </c>
      <c r="Z1145">
        <v>56746800</v>
      </c>
      <c r="AA1145">
        <v>315260</v>
      </c>
      <c r="AB1145">
        <v>106</v>
      </c>
      <c r="AC1145" s="34">
        <v>46012</v>
      </c>
      <c r="AD1145" s="34">
        <v>46188</v>
      </c>
      <c r="AF1145">
        <v>0</v>
      </c>
      <c r="AG1145">
        <v>704.88</v>
      </c>
      <c r="AH1145">
        <v>0</v>
      </c>
      <c r="AI1145">
        <v>1010093.04</v>
      </c>
      <c r="AJ1145">
        <v>0</v>
      </c>
      <c r="AK1145">
        <v>0</v>
      </c>
      <c r="AL1145">
        <v>253526.36</v>
      </c>
      <c r="AM1145">
        <v>0</v>
      </c>
      <c r="AN1145">
        <v>1263619.3999999999</v>
      </c>
      <c r="AO1145" t="s">
        <v>122</v>
      </c>
      <c r="AP1145">
        <v>15</v>
      </c>
      <c r="AQ1145">
        <v>105.73</v>
      </c>
      <c r="AR1145">
        <v>151511.09</v>
      </c>
      <c r="AT1145">
        <v>23760</v>
      </c>
      <c r="AU1145">
        <v>422.93</v>
      </c>
      <c r="AV1145">
        <v>34048080</v>
      </c>
      <c r="AW1145">
        <v>606058.68999999994</v>
      </c>
    </row>
    <row r="1146" spans="1:49" hidden="1" x14ac:dyDescent="0.35">
      <c r="A1146">
        <v>5859710</v>
      </c>
      <c r="B1146">
        <v>1150005859701</v>
      </c>
      <c r="D1146">
        <v>20237319630</v>
      </c>
      <c r="E1146" t="s">
        <v>181</v>
      </c>
      <c r="F1146" t="s">
        <v>1</v>
      </c>
      <c r="G1146" t="s">
        <v>182</v>
      </c>
      <c r="H1146" t="s">
        <v>50</v>
      </c>
      <c r="I1146">
        <v>2426</v>
      </c>
      <c r="J1146">
        <v>3</v>
      </c>
      <c r="K1146" t="s">
        <v>32</v>
      </c>
      <c r="L1146">
        <v>9262</v>
      </c>
      <c r="M1146" t="s">
        <v>183</v>
      </c>
      <c r="N1146">
        <v>1</v>
      </c>
      <c r="O1146" t="s">
        <v>119</v>
      </c>
      <c r="P1146" t="s">
        <v>1679</v>
      </c>
      <c r="Q1146">
        <v>429302.4</v>
      </c>
      <c r="R1146">
        <v>18912000</v>
      </c>
      <c r="S1146">
        <v>24</v>
      </c>
      <c r="T1146">
        <v>788000</v>
      </c>
      <c r="U1146">
        <v>1</v>
      </c>
      <c r="V1146">
        <v>1</v>
      </c>
      <c r="W1146" t="s">
        <v>127</v>
      </c>
      <c r="X1146">
        <v>19700</v>
      </c>
      <c r="Y1146">
        <v>429302.4</v>
      </c>
      <c r="Z1146">
        <v>18912000</v>
      </c>
      <c r="AA1146">
        <v>788000</v>
      </c>
      <c r="AB1146">
        <v>105</v>
      </c>
      <c r="AC1146" s="34">
        <v>46041</v>
      </c>
      <c r="AD1146" s="34">
        <v>46203</v>
      </c>
      <c r="AF1146">
        <v>0</v>
      </c>
      <c r="AG1146">
        <v>429302.4</v>
      </c>
      <c r="AH1146">
        <v>0</v>
      </c>
      <c r="AI1146">
        <v>429302.4</v>
      </c>
      <c r="AJ1146">
        <v>0</v>
      </c>
      <c r="AK1146">
        <v>0</v>
      </c>
      <c r="AL1146">
        <v>112047.91</v>
      </c>
      <c r="AM1146">
        <v>0</v>
      </c>
      <c r="AN1146">
        <v>541350.31000000006</v>
      </c>
      <c r="AO1146" t="s">
        <v>122</v>
      </c>
      <c r="AP1146">
        <v>15</v>
      </c>
      <c r="AQ1146">
        <v>64395.360000000001</v>
      </c>
      <c r="AR1146">
        <v>64395.360000000001</v>
      </c>
      <c r="AT1146">
        <v>11347200</v>
      </c>
      <c r="AU1146">
        <v>257581.44</v>
      </c>
      <c r="AV1146">
        <v>11347200</v>
      </c>
      <c r="AW1146">
        <v>257581.44</v>
      </c>
    </row>
    <row r="1147" spans="1:49" hidden="1" x14ac:dyDescent="0.35">
      <c r="A1147">
        <v>5859810</v>
      </c>
      <c r="B1147">
        <v>1090005859801</v>
      </c>
      <c r="D1147">
        <v>20271081864</v>
      </c>
      <c r="E1147" t="s">
        <v>1586</v>
      </c>
      <c r="F1147" t="s">
        <v>1</v>
      </c>
      <c r="G1147" t="s">
        <v>395</v>
      </c>
      <c r="H1147" t="s">
        <v>56</v>
      </c>
      <c r="I1147">
        <v>6380</v>
      </c>
      <c r="J1147">
        <v>21</v>
      </c>
      <c r="K1147" t="s">
        <v>33</v>
      </c>
      <c r="L1147">
        <v>82963</v>
      </c>
      <c r="M1147" t="s">
        <v>396</v>
      </c>
      <c r="N1147">
        <v>1</v>
      </c>
      <c r="O1147" t="s">
        <v>119</v>
      </c>
      <c r="P1147" t="s">
        <v>1680</v>
      </c>
      <c r="Q1147">
        <v>4644000</v>
      </c>
      <c r="R1147">
        <v>129000000</v>
      </c>
      <c r="S1147">
        <v>172</v>
      </c>
      <c r="T1147">
        <v>750000</v>
      </c>
      <c r="U1147">
        <v>1</v>
      </c>
      <c r="V1147">
        <v>1</v>
      </c>
      <c r="W1147" t="s">
        <v>121</v>
      </c>
      <c r="X1147" t="s">
        <v>1</v>
      </c>
      <c r="Y1147">
        <v>4644000</v>
      </c>
      <c r="Z1147">
        <v>129000000</v>
      </c>
      <c r="AA1147">
        <v>750000</v>
      </c>
      <c r="AB1147">
        <v>105</v>
      </c>
      <c r="AC1147" s="34">
        <v>46047</v>
      </c>
      <c r="AD1147" s="34">
        <v>46173</v>
      </c>
      <c r="AF1147">
        <v>0</v>
      </c>
      <c r="AG1147">
        <v>4644000</v>
      </c>
      <c r="AH1147">
        <v>0</v>
      </c>
      <c r="AI1147">
        <v>4644000</v>
      </c>
      <c r="AJ1147">
        <v>0</v>
      </c>
      <c r="AK1147">
        <v>0</v>
      </c>
      <c r="AL1147">
        <v>1165644</v>
      </c>
      <c r="AM1147">
        <v>0</v>
      </c>
      <c r="AN1147">
        <v>5809644</v>
      </c>
      <c r="AO1147" t="s">
        <v>122</v>
      </c>
      <c r="AP1147">
        <v>10</v>
      </c>
      <c r="AQ1147">
        <v>464400</v>
      </c>
      <c r="AR1147">
        <v>464400</v>
      </c>
      <c r="AT1147">
        <v>77400000</v>
      </c>
      <c r="AU1147">
        <v>2786400</v>
      </c>
      <c r="AV1147">
        <v>77400000</v>
      </c>
      <c r="AW1147">
        <v>2786400</v>
      </c>
    </row>
    <row r="1148" spans="1:49" hidden="1" x14ac:dyDescent="0.35">
      <c r="A1148">
        <v>5859910</v>
      </c>
      <c r="B1148">
        <v>5010005859901</v>
      </c>
      <c r="D1148">
        <v>20128021923</v>
      </c>
      <c r="E1148" t="s">
        <v>1681</v>
      </c>
      <c r="F1148" t="s">
        <v>1</v>
      </c>
      <c r="G1148" t="s">
        <v>1682</v>
      </c>
      <c r="H1148" t="s">
        <v>1682</v>
      </c>
      <c r="I1148">
        <v>2752</v>
      </c>
      <c r="J1148">
        <v>1</v>
      </c>
      <c r="K1148" t="s">
        <v>16</v>
      </c>
      <c r="L1148">
        <v>8214</v>
      </c>
      <c r="M1148" t="s">
        <v>1683</v>
      </c>
      <c r="N1148">
        <v>1</v>
      </c>
      <c r="O1148" t="s">
        <v>119</v>
      </c>
      <c r="P1148" t="s">
        <v>1684</v>
      </c>
      <c r="Q1148">
        <v>383011.2</v>
      </c>
      <c r="R1148">
        <v>18414000</v>
      </c>
      <c r="S1148">
        <v>31</v>
      </c>
      <c r="T1148">
        <v>594000</v>
      </c>
      <c r="U1148">
        <v>1</v>
      </c>
      <c r="V1148">
        <v>1</v>
      </c>
      <c r="W1148" t="s">
        <v>127</v>
      </c>
      <c r="X1148">
        <v>29700</v>
      </c>
      <c r="Y1148">
        <v>383011.2</v>
      </c>
      <c r="Z1148">
        <v>18414000</v>
      </c>
      <c r="AA1148">
        <v>594000</v>
      </c>
      <c r="AB1148">
        <v>105</v>
      </c>
      <c r="AC1148" s="34">
        <v>46040</v>
      </c>
      <c r="AD1148" s="34">
        <v>46173</v>
      </c>
      <c r="AF1148">
        <v>0</v>
      </c>
      <c r="AG1148">
        <v>383011.2</v>
      </c>
      <c r="AH1148">
        <v>0</v>
      </c>
      <c r="AI1148">
        <v>383011.2</v>
      </c>
      <c r="AJ1148">
        <v>0</v>
      </c>
      <c r="AK1148">
        <v>0</v>
      </c>
      <c r="AL1148">
        <v>96135.82</v>
      </c>
      <c r="AM1148">
        <v>0</v>
      </c>
      <c r="AN1148">
        <v>479147.02</v>
      </c>
      <c r="AO1148" t="s">
        <v>122</v>
      </c>
      <c r="AP1148">
        <v>12</v>
      </c>
      <c r="AQ1148">
        <v>45961.34</v>
      </c>
      <c r="AR1148">
        <v>45961.34</v>
      </c>
      <c r="AT1148">
        <v>11048400</v>
      </c>
      <c r="AU1148">
        <v>229806.72</v>
      </c>
      <c r="AV1148">
        <v>11048400</v>
      </c>
      <c r="AW1148">
        <v>229806.72</v>
      </c>
    </row>
    <row r="1149" spans="1:49" hidden="1" x14ac:dyDescent="0.35">
      <c r="A1149">
        <v>5860010</v>
      </c>
      <c r="B1149">
        <v>5010005860001</v>
      </c>
      <c r="D1149">
        <v>30718042301</v>
      </c>
      <c r="E1149" t="s">
        <v>292</v>
      </c>
      <c r="F1149" t="s">
        <v>1</v>
      </c>
      <c r="G1149" t="s">
        <v>24</v>
      </c>
      <c r="H1149" t="s">
        <v>24</v>
      </c>
      <c r="I1149">
        <v>6070</v>
      </c>
      <c r="J1149">
        <v>1</v>
      </c>
      <c r="K1149" t="s">
        <v>16</v>
      </c>
      <c r="L1149">
        <v>11014</v>
      </c>
      <c r="M1149" t="s">
        <v>232</v>
      </c>
      <c r="N1149">
        <v>1</v>
      </c>
      <c r="O1149" t="s">
        <v>119</v>
      </c>
      <c r="P1149" t="s">
        <v>1685</v>
      </c>
      <c r="Q1149">
        <v>152.72</v>
      </c>
      <c r="R1149">
        <v>8580</v>
      </c>
      <c r="S1149">
        <v>39</v>
      </c>
      <c r="T1149">
        <v>220</v>
      </c>
      <c r="U1149">
        <v>26</v>
      </c>
      <c r="V1149">
        <v>1437.5</v>
      </c>
      <c r="W1149" t="s">
        <v>121</v>
      </c>
      <c r="X1149" t="s">
        <v>1</v>
      </c>
      <c r="Y1149">
        <v>219535</v>
      </c>
      <c r="Z1149">
        <v>12333750</v>
      </c>
      <c r="AA1149">
        <v>316250</v>
      </c>
      <c r="AB1149">
        <v>106</v>
      </c>
      <c r="AC1149" s="34">
        <v>46012</v>
      </c>
      <c r="AD1149" s="34">
        <v>46188</v>
      </c>
      <c r="AF1149">
        <v>0</v>
      </c>
      <c r="AG1149">
        <v>152.72</v>
      </c>
      <c r="AH1149">
        <v>0</v>
      </c>
      <c r="AI1149">
        <v>219535</v>
      </c>
      <c r="AJ1149">
        <v>0</v>
      </c>
      <c r="AK1149">
        <v>0</v>
      </c>
      <c r="AL1149">
        <v>55099.38</v>
      </c>
      <c r="AM1149">
        <v>0</v>
      </c>
      <c r="AN1149">
        <v>274634.38</v>
      </c>
      <c r="AO1149" t="s">
        <v>122</v>
      </c>
      <c r="AP1149">
        <v>15.000999999999999</v>
      </c>
      <c r="AQ1149">
        <v>22.91</v>
      </c>
      <c r="AR1149">
        <v>32933.129999999997</v>
      </c>
      <c r="AT1149">
        <v>5148</v>
      </c>
      <c r="AU1149">
        <v>91.63</v>
      </c>
      <c r="AV1149">
        <v>7400250</v>
      </c>
      <c r="AW1149">
        <v>131718.13</v>
      </c>
    </row>
    <row r="1150" spans="1:49" hidden="1" x14ac:dyDescent="0.35">
      <c r="A1150">
        <v>5860110</v>
      </c>
      <c r="B1150">
        <v>1090005860101</v>
      </c>
      <c r="D1150">
        <v>20275971791</v>
      </c>
      <c r="E1150" t="s">
        <v>1686</v>
      </c>
      <c r="F1150" t="s">
        <v>1</v>
      </c>
      <c r="G1150" t="s">
        <v>412</v>
      </c>
      <c r="H1150" t="s">
        <v>412</v>
      </c>
      <c r="I1150">
        <v>6369</v>
      </c>
      <c r="J1150">
        <v>21</v>
      </c>
      <c r="K1150" t="s">
        <v>33</v>
      </c>
      <c r="L1150">
        <v>6127</v>
      </c>
      <c r="M1150" t="s">
        <v>118</v>
      </c>
      <c r="N1150">
        <v>1</v>
      </c>
      <c r="O1150" t="s">
        <v>119</v>
      </c>
      <c r="P1150" t="s">
        <v>1687</v>
      </c>
      <c r="Q1150">
        <v>988.43</v>
      </c>
      <c r="R1150">
        <v>34440</v>
      </c>
      <c r="S1150">
        <v>123</v>
      </c>
      <c r="T1150">
        <v>280</v>
      </c>
      <c r="U1150">
        <v>26</v>
      </c>
      <c r="V1150">
        <v>1442.5</v>
      </c>
      <c r="W1150" t="s">
        <v>121</v>
      </c>
      <c r="X1150" t="s">
        <v>1</v>
      </c>
      <c r="Y1150">
        <v>1425810.28</v>
      </c>
      <c r="Z1150">
        <v>49679700</v>
      </c>
      <c r="AA1150">
        <v>403900</v>
      </c>
      <c r="AB1150">
        <v>211</v>
      </c>
      <c r="AC1150" s="34">
        <v>45993</v>
      </c>
      <c r="AD1150" s="34">
        <v>46112</v>
      </c>
      <c r="AF1150">
        <v>0</v>
      </c>
      <c r="AG1150">
        <v>7382.08</v>
      </c>
      <c r="AH1150">
        <v>0</v>
      </c>
      <c r="AI1150">
        <v>10648650.4</v>
      </c>
      <c r="AJ1150">
        <v>0</v>
      </c>
      <c r="AK1150">
        <v>0</v>
      </c>
      <c r="AL1150">
        <v>2672808.25</v>
      </c>
      <c r="AM1150">
        <v>0</v>
      </c>
      <c r="AN1150">
        <v>13321458.65</v>
      </c>
      <c r="AO1150" t="s">
        <v>122</v>
      </c>
      <c r="AP1150">
        <v>12</v>
      </c>
      <c r="AQ1150">
        <v>885.85</v>
      </c>
      <c r="AR1150">
        <v>1277838.6299999999</v>
      </c>
      <c r="AT1150">
        <v>20664</v>
      </c>
      <c r="AU1150">
        <v>593.05999999999995</v>
      </c>
      <c r="AV1150">
        <v>29807820</v>
      </c>
      <c r="AW1150">
        <v>855489.05</v>
      </c>
    </row>
    <row r="1151" spans="1:49" hidden="1" x14ac:dyDescent="0.35">
      <c r="A1151">
        <v>5860110</v>
      </c>
      <c r="B1151">
        <v>1090005860101</v>
      </c>
      <c r="D1151">
        <v>20275971791</v>
      </c>
      <c r="E1151" t="s">
        <v>1686</v>
      </c>
      <c r="F1151" t="s">
        <v>1</v>
      </c>
      <c r="G1151" t="s">
        <v>1688</v>
      </c>
      <c r="H1151" t="s">
        <v>1637</v>
      </c>
      <c r="I1151">
        <v>6385</v>
      </c>
      <c r="J1151">
        <v>21</v>
      </c>
      <c r="K1151" t="s">
        <v>33</v>
      </c>
      <c r="L1151">
        <v>6127</v>
      </c>
      <c r="M1151" t="s">
        <v>118</v>
      </c>
      <c r="N1151">
        <v>2</v>
      </c>
      <c r="O1151" t="s">
        <v>119</v>
      </c>
      <c r="P1151" t="s">
        <v>1689</v>
      </c>
      <c r="Q1151">
        <v>316.42</v>
      </c>
      <c r="R1151">
        <v>11025</v>
      </c>
      <c r="S1151">
        <v>63</v>
      </c>
      <c r="T1151">
        <v>175</v>
      </c>
      <c r="U1151">
        <v>26</v>
      </c>
      <c r="V1151">
        <v>1442.5</v>
      </c>
      <c r="W1151" t="s">
        <v>121</v>
      </c>
      <c r="X1151" t="s">
        <v>1</v>
      </c>
      <c r="Y1151">
        <v>456435.85</v>
      </c>
      <c r="Z1151">
        <v>15903562.5</v>
      </c>
      <c r="AA1151">
        <v>252437.5</v>
      </c>
      <c r="AB1151">
        <v>211</v>
      </c>
      <c r="AC1151" s="34">
        <v>45993</v>
      </c>
      <c r="AD1151" s="34">
        <v>46112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 t="s">
        <v>122</v>
      </c>
      <c r="AT1151">
        <v>6615</v>
      </c>
      <c r="AU1151">
        <v>189.85</v>
      </c>
      <c r="AV1151">
        <v>9542137.5</v>
      </c>
      <c r="AW1151">
        <v>273858.63</v>
      </c>
    </row>
    <row r="1152" spans="1:49" hidden="1" x14ac:dyDescent="0.35">
      <c r="A1152">
        <v>5860110</v>
      </c>
      <c r="B1152">
        <v>1090005860101</v>
      </c>
      <c r="D1152">
        <v>20275971791</v>
      </c>
      <c r="E1152" t="s">
        <v>1686</v>
      </c>
      <c r="F1152" t="s">
        <v>1</v>
      </c>
      <c r="G1152" t="s">
        <v>1062</v>
      </c>
      <c r="H1152" t="s">
        <v>1062</v>
      </c>
      <c r="I1152">
        <v>6330</v>
      </c>
      <c r="J1152">
        <v>21</v>
      </c>
      <c r="K1152" t="s">
        <v>33</v>
      </c>
      <c r="L1152">
        <v>6127</v>
      </c>
      <c r="M1152" t="s">
        <v>118</v>
      </c>
      <c r="N1152">
        <v>3</v>
      </c>
      <c r="O1152" t="s">
        <v>119</v>
      </c>
      <c r="P1152" t="s">
        <v>1690</v>
      </c>
      <c r="Q1152">
        <v>2440.94</v>
      </c>
      <c r="R1152">
        <v>85050</v>
      </c>
      <c r="S1152">
        <v>243</v>
      </c>
      <c r="T1152">
        <v>350</v>
      </c>
      <c r="U1152">
        <v>26</v>
      </c>
      <c r="V1152">
        <v>1442.5</v>
      </c>
      <c r="W1152" t="s">
        <v>121</v>
      </c>
      <c r="X1152" t="s">
        <v>1</v>
      </c>
      <c r="Y1152">
        <v>3521055.95</v>
      </c>
      <c r="Z1152">
        <v>122684625</v>
      </c>
      <c r="AA1152">
        <v>504875</v>
      </c>
      <c r="AB1152">
        <v>211</v>
      </c>
      <c r="AC1152" s="34">
        <v>45993</v>
      </c>
      <c r="AD1152" s="34">
        <v>46112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 t="s">
        <v>122</v>
      </c>
      <c r="AT1152">
        <v>51030</v>
      </c>
      <c r="AU1152">
        <v>1464.56</v>
      </c>
      <c r="AV1152">
        <v>73610775</v>
      </c>
      <c r="AW1152">
        <v>2112627.7999999998</v>
      </c>
    </row>
    <row r="1153" spans="1:49" hidden="1" x14ac:dyDescent="0.35">
      <c r="A1153">
        <v>5860110</v>
      </c>
      <c r="B1153">
        <v>1090005860101</v>
      </c>
      <c r="D1153">
        <v>20275971791</v>
      </c>
      <c r="E1153" t="s">
        <v>1686</v>
      </c>
      <c r="F1153" t="s">
        <v>1</v>
      </c>
      <c r="G1153" t="s">
        <v>412</v>
      </c>
      <c r="H1153" t="s">
        <v>412</v>
      </c>
      <c r="I1153">
        <v>6369</v>
      </c>
      <c r="J1153">
        <v>21</v>
      </c>
      <c r="K1153" t="s">
        <v>33</v>
      </c>
      <c r="L1153">
        <v>6127</v>
      </c>
      <c r="M1153" t="s">
        <v>118</v>
      </c>
      <c r="N1153">
        <v>4</v>
      </c>
      <c r="O1153" t="s">
        <v>119</v>
      </c>
      <c r="P1153" t="s">
        <v>1691</v>
      </c>
      <c r="Q1153">
        <v>602.70000000000005</v>
      </c>
      <c r="R1153">
        <v>21000</v>
      </c>
      <c r="S1153">
        <v>75</v>
      </c>
      <c r="T1153">
        <v>280</v>
      </c>
      <c r="U1153">
        <v>26</v>
      </c>
      <c r="V1153">
        <v>1442.5</v>
      </c>
      <c r="W1153" t="s">
        <v>121</v>
      </c>
      <c r="X1153" t="s">
        <v>1</v>
      </c>
      <c r="Y1153">
        <v>869394.75</v>
      </c>
      <c r="Z1153">
        <v>30292500</v>
      </c>
      <c r="AA1153">
        <v>403900</v>
      </c>
      <c r="AB1153">
        <v>211</v>
      </c>
      <c r="AC1153" s="34">
        <v>45993</v>
      </c>
      <c r="AD1153" s="34">
        <v>46112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 t="s">
        <v>122</v>
      </c>
      <c r="AT1153">
        <v>12600</v>
      </c>
      <c r="AU1153">
        <v>361.62</v>
      </c>
      <c r="AV1153">
        <v>18175500</v>
      </c>
      <c r="AW1153">
        <v>521636.85</v>
      </c>
    </row>
    <row r="1154" spans="1:49" hidden="1" x14ac:dyDescent="0.35">
      <c r="A1154">
        <v>5860110</v>
      </c>
      <c r="B1154">
        <v>1090005860101</v>
      </c>
      <c r="D1154">
        <v>20275971791</v>
      </c>
      <c r="E1154" t="s">
        <v>1686</v>
      </c>
      <c r="F1154" t="s">
        <v>1</v>
      </c>
      <c r="G1154" t="s">
        <v>1688</v>
      </c>
      <c r="H1154" t="s">
        <v>1637</v>
      </c>
      <c r="I1154">
        <v>6385</v>
      </c>
      <c r="J1154">
        <v>21</v>
      </c>
      <c r="K1154" t="s">
        <v>33</v>
      </c>
      <c r="L1154">
        <v>6127</v>
      </c>
      <c r="M1154" t="s">
        <v>118</v>
      </c>
      <c r="N1154">
        <v>5</v>
      </c>
      <c r="O1154" t="s">
        <v>119</v>
      </c>
      <c r="P1154" t="s">
        <v>1692</v>
      </c>
      <c r="Q1154">
        <v>3033.59</v>
      </c>
      <c r="R1154">
        <v>105700</v>
      </c>
      <c r="S1154">
        <v>604</v>
      </c>
      <c r="T1154">
        <v>175</v>
      </c>
      <c r="U1154">
        <v>26</v>
      </c>
      <c r="V1154">
        <v>1442.5</v>
      </c>
      <c r="W1154" t="s">
        <v>121</v>
      </c>
      <c r="X1154" t="s">
        <v>1</v>
      </c>
      <c r="Y1154">
        <v>4375953.58</v>
      </c>
      <c r="Z1154">
        <v>152472250</v>
      </c>
      <c r="AA1154">
        <v>252437.5</v>
      </c>
      <c r="AB1154">
        <v>211</v>
      </c>
      <c r="AC1154" s="34">
        <v>45993</v>
      </c>
      <c r="AD1154" s="34">
        <v>46112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 t="s">
        <v>122</v>
      </c>
      <c r="AT1154">
        <v>63420</v>
      </c>
      <c r="AU1154">
        <v>1820.15</v>
      </c>
      <c r="AV1154">
        <v>91483350</v>
      </c>
      <c r="AW1154">
        <v>2625566.38</v>
      </c>
    </row>
    <row r="1155" spans="1:49" hidden="1" x14ac:dyDescent="0.35">
      <c r="A1155">
        <v>5860210</v>
      </c>
      <c r="B1155">
        <v>1090005860201</v>
      </c>
      <c r="D1155">
        <v>30712215646</v>
      </c>
      <c r="E1155" t="s">
        <v>1072</v>
      </c>
      <c r="F1155" t="s">
        <v>1</v>
      </c>
      <c r="G1155" t="s">
        <v>412</v>
      </c>
      <c r="H1155" t="s">
        <v>412</v>
      </c>
      <c r="I1155">
        <v>6369</v>
      </c>
      <c r="J1155">
        <v>21</v>
      </c>
      <c r="K1155" t="s">
        <v>33</v>
      </c>
      <c r="L1155">
        <v>6127</v>
      </c>
      <c r="M1155" t="s">
        <v>118</v>
      </c>
      <c r="N1155">
        <v>1</v>
      </c>
      <c r="O1155" t="s">
        <v>119</v>
      </c>
      <c r="P1155" t="s">
        <v>1693</v>
      </c>
      <c r="Q1155">
        <v>423.61</v>
      </c>
      <c r="R1155">
        <v>14760</v>
      </c>
      <c r="S1155">
        <v>123</v>
      </c>
      <c r="T1155">
        <v>120</v>
      </c>
      <c r="U1155">
        <v>26</v>
      </c>
      <c r="V1155">
        <v>1442.5</v>
      </c>
      <c r="W1155" t="s">
        <v>121</v>
      </c>
      <c r="X1155" t="s">
        <v>1</v>
      </c>
      <c r="Y1155">
        <v>611057.43000000005</v>
      </c>
      <c r="Z1155">
        <v>21291300</v>
      </c>
      <c r="AA1155">
        <v>173100</v>
      </c>
      <c r="AB1155">
        <v>211</v>
      </c>
      <c r="AC1155" s="34">
        <v>45993</v>
      </c>
      <c r="AD1155" s="34">
        <v>46112</v>
      </c>
      <c r="AF1155">
        <v>0</v>
      </c>
      <c r="AG1155">
        <v>3163.75</v>
      </c>
      <c r="AH1155">
        <v>0</v>
      </c>
      <c r="AI1155">
        <v>4563709.38</v>
      </c>
      <c r="AJ1155">
        <v>0</v>
      </c>
      <c r="AK1155">
        <v>0</v>
      </c>
      <c r="AL1155">
        <v>1145489.25</v>
      </c>
      <c r="AM1155">
        <v>0</v>
      </c>
      <c r="AN1155">
        <v>5709198.6299999999</v>
      </c>
      <c r="AO1155" t="s">
        <v>122</v>
      </c>
      <c r="AP1155">
        <v>12</v>
      </c>
      <c r="AQ1155">
        <v>379.65</v>
      </c>
      <c r="AR1155">
        <v>547645.13</v>
      </c>
      <c r="AT1155">
        <v>8856</v>
      </c>
      <c r="AU1155">
        <v>254.17</v>
      </c>
      <c r="AV1155">
        <v>12774780</v>
      </c>
      <c r="AW1155">
        <v>366640.23</v>
      </c>
    </row>
    <row r="1156" spans="1:49" hidden="1" x14ac:dyDescent="0.35">
      <c r="A1156">
        <v>5860210</v>
      </c>
      <c r="B1156">
        <v>1090005860201</v>
      </c>
      <c r="D1156">
        <v>30712215646</v>
      </c>
      <c r="E1156" t="s">
        <v>1072</v>
      </c>
      <c r="F1156" t="s">
        <v>1</v>
      </c>
      <c r="G1156" t="s">
        <v>1688</v>
      </c>
      <c r="H1156" t="s">
        <v>1637</v>
      </c>
      <c r="I1156">
        <v>6385</v>
      </c>
      <c r="J1156">
        <v>21</v>
      </c>
      <c r="K1156" t="s">
        <v>33</v>
      </c>
      <c r="L1156">
        <v>6127</v>
      </c>
      <c r="M1156" t="s">
        <v>118</v>
      </c>
      <c r="N1156">
        <v>2</v>
      </c>
      <c r="O1156" t="s">
        <v>119</v>
      </c>
      <c r="P1156" t="s">
        <v>1689</v>
      </c>
      <c r="Q1156">
        <v>135.61000000000001</v>
      </c>
      <c r="R1156">
        <v>4725</v>
      </c>
      <c r="S1156">
        <v>63</v>
      </c>
      <c r="T1156">
        <v>75</v>
      </c>
      <c r="U1156">
        <v>26</v>
      </c>
      <c r="V1156">
        <v>1442.5</v>
      </c>
      <c r="W1156" t="s">
        <v>121</v>
      </c>
      <c r="X1156" t="s">
        <v>1</v>
      </c>
      <c r="Y1156">
        <v>195617.43</v>
      </c>
      <c r="Z1156">
        <v>6815812.5</v>
      </c>
      <c r="AA1156">
        <v>108187.5</v>
      </c>
      <c r="AB1156">
        <v>211</v>
      </c>
      <c r="AC1156" s="34">
        <v>45993</v>
      </c>
      <c r="AD1156" s="34">
        <v>46112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 t="s">
        <v>122</v>
      </c>
      <c r="AT1156">
        <v>2835</v>
      </c>
      <c r="AU1156">
        <v>81.37</v>
      </c>
      <c r="AV1156">
        <v>4089487.5</v>
      </c>
      <c r="AW1156">
        <v>117376.23</v>
      </c>
    </row>
    <row r="1157" spans="1:49" hidden="1" x14ac:dyDescent="0.35">
      <c r="A1157">
        <v>5860210</v>
      </c>
      <c r="B1157">
        <v>1090005860201</v>
      </c>
      <c r="D1157">
        <v>30712215646</v>
      </c>
      <c r="E1157" t="s">
        <v>1072</v>
      </c>
      <c r="F1157" t="s">
        <v>1</v>
      </c>
      <c r="G1157" t="s">
        <v>1062</v>
      </c>
      <c r="H1157" t="s">
        <v>1062</v>
      </c>
      <c r="I1157">
        <v>6330</v>
      </c>
      <c r="J1157">
        <v>21</v>
      </c>
      <c r="K1157" t="s">
        <v>33</v>
      </c>
      <c r="L1157">
        <v>6127</v>
      </c>
      <c r="M1157" t="s">
        <v>118</v>
      </c>
      <c r="N1157">
        <v>3</v>
      </c>
      <c r="O1157" t="s">
        <v>119</v>
      </c>
      <c r="P1157" t="s">
        <v>1694</v>
      </c>
      <c r="Q1157">
        <v>1046.1199999999999</v>
      </c>
      <c r="R1157">
        <v>36450</v>
      </c>
      <c r="S1157">
        <v>243</v>
      </c>
      <c r="T1157">
        <v>150</v>
      </c>
      <c r="U1157">
        <v>26</v>
      </c>
      <c r="V1157">
        <v>1442.5</v>
      </c>
      <c r="W1157" t="s">
        <v>121</v>
      </c>
      <c r="X1157" t="s">
        <v>1</v>
      </c>
      <c r="Y1157">
        <v>1509028.1</v>
      </c>
      <c r="Z1157">
        <v>52579125</v>
      </c>
      <c r="AA1157">
        <v>216375</v>
      </c>
      <c r="AB1157">
        <v>211</v>
      </c>
      <c r="AC1157" s="34">
        <v>45993</v>
      </c>
      <c r="AD1157" s="34">
        <v>46112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 t="s">
        <v>122</v>
      </c>
      <c r="AT1157">
        <v>21870</v>
      </c>
      <c r="AU1157">
        <v>627.66999999999996</v>
      </c>
      <c r="AV1157">
        <v>31547475</v>
      </c>
      <c r="AW1157">
        <v>905413.98</v>
      </c>
    </row>
    <row r="1158" spans="1:49" hidden="1" x14ac:dyDescent="0.35">
      <c r="A1158">
        <v>5860210</v>
      </c>
      <c r="B1158">
        <v>1090005860201</v>
      </c>
      <c r="D1158">
        <v>30712215646</v>
      </c>
      <c r="E1158" t="s">
        <v>1072</v>
      </c>
      <c r="F1158" t="s">
        <v>1</v>
      </c>
      <c r="G1158" t="s">
        <v>412</v>
      </c>
      <c r="H1158" t="s">
        <v>412</v>
      </c>
      <c r="I1158">
        <v>6369</v>
      </c>
      <c r="J1158">
        <v>21</v>
      </c>
      <c r="K1158" t="s">
        <v>33</v>
      </c>
      <c r="L1158">
        <v>6127</v>
      </c>
      <c r="M1158" t="s">
        <v>118</v>
      </c>
      <c r="N1158">
        <v>4</v>
      </c>
      <c r="O1158" t="s">
        <v>119</v>
      </c>
      <c r="P1158" t="s">
        <v>1691</v>
      </c>
      <c r="Q1158">
        <v>258.3</v>
      </c>
      <c r="R1158">
        <v>9000</v>
      </c>
      <c r="S1158">
        <v>75</v>
      </c>
      <c r="T1158">
        <v>120</v>
      </c>
      <c r="U1158">
        <v>26</v>
      </c>
      <c r="V1158">
        <v>1442.5</v>
      </c>
      <c r="W1158" t="s">
        <v>121</v>
      </c>
      <c r="X1158" t="s">
        <v>1</v>
      </c>
      <c r="Y1158">
        <v>372597.75</v>
      </c>
      <c r="Z1158">
        <v>12982500</v>
      </c>
      <c r="AA1158">
        <v>173100</v>
      </c>
      <c r="AB1158">
        <v>211</v>
      </c>
      <c r="AC1158" s="34">
        <v>45993</v>
      </c>
      <c r="AD1158" s="34">
        <v>46112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 t="s">
        <v>122</v>
      </c>
      <c r="AT1158">
        <v>5400</v>
      </c>
      <c r="AU1158">
        <v>154.97999999999999</v>
      </c>
      <c r="AV1158">
        <v>7789500</v>
      </c>
      <c r="AW1158">
        <v>223558.65</v>
      </c>
    </row>
    <row r="1159" spans="1:49" hidden="1" x14ac:dyDescent="0.35">
      <c r="A1159">
        <v>5860210</v>
      </c>
      <c r="B1159">
        <v>1090005860201</v>
      </c>
      <c r="D1159">
        <v>30712215646</v>
      </c>
      <c r="E1159" t="s">
        <v>1072</v>
      </c>
      <c r="F1159" t="s">
        <v>1</v>
      </c>
      <c r="G1159" t="s">
        <v>1688</v>
      </c>
      <c r="H1159" t="s">
        <v>1637</v>
      </c>
      <c r="I1159">
        <v>6385</v>
      </c>
      <c r="J1159">
        <v>21</v>
      </c>
      <c r="K1159" t="s">
        <v>33</v>
      </c>
      <c r="L1159">
        <v>6127</v>
      </c>
      <c r="M1159" t="s">
        <v>118</v>
      </c>
      <c r="N1159">
        <v>5</v>
      </c>
      <c r="O1159" t="s">
        <v>119</v>
      </c>
      <c r="P1159" t="s">
        <v>1695</v>
      </c>
      <c r="Q1159">
        <v>1300.1099999999999</v>
      </c>
      <c r="R1159">
        <v>45300</v>
      </c>
      <c r="S1159">
        <v>604</v>
      </c>
      <c r="T1159">
        <v>75</v>
      </c>
      <c r="U1159">
        <v>26</v>
      </c>
      <c r="V1159">
        <v>1442.5</v>
      </c>
      <c r="W1159" t="s">
        <v>121</v>
      </c>
      <c r="X1159" t="s">
        <v>1</v>
      </c>
      <c r="Y1159">
        <v>1875408.68</v>
      </c>
      <c r="Z1159">
        <v>65345250</v>
      </c>
      <c r="AA1159">
        <v>108187.5</v>
      </c>
      <c r="AB1159">
        <v>211</v>
      </c>
      <c r="AC1159" s="34">
        <v>45993</v>
      </c>
      <c r="AD1159" s="34">
        <v>46112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 t="s">
        <v>122</v>
      </c>
      <c r="AT1159">
        <v>27180</v>
      </c>
      <c r="AU1159">
        <v>780.07</v>
      </c>
      <c r="AV1159">
        <v>39207150</v>
      </c>
      <c r="AW1159">
        <v>1125250.98</v>
      </c>
    </row>
    <row r="1160" spans="1:49" hidden="1" x14ac:dyDescent="0.35">
      <c r="A1160">
        <v>5860310</v>
      </c>
      <c r="B1160">
        <v>1090005860301</v>
      </c>
      <c r="D1160">
        <v>27036171877</v>
      </c>
      <c r="E1160" t="s">
        <v>1696</v>
      </c>
      <c r="F1160" t="s">
        <v>1</v>
      </c>
      <c r="G1160" t="s">
        <v>1697</v>
      </c>
      <c r="H1160" t="s">
        <v>422</v>
      </c>
      <c r="I1160">
        <v>6551</v>
      </c>
      <c r="J1160">
        <v>1</v>
      </c>
      <c r="K1160" t="s">
        <v>16</v>
      </c>
      <c r="L1160">
        <v>10272</v>
      </c>
      <c r="M1160" t="s">
        <v>1698</v>
      </c>
      <c r="N1160">
        <v>1</v>
      </c>
      <c r="O1160" t="s">
        <v>119</v>
      </c>
      <c r="P1160" t="s">
        <v>1699</v>
      </c>
      <c r="Q1160">
        <v>348300</v>
      </c>
      <c r="R1160">
        <v>13500000</v>
      </c>
      <c r="S1160">
        <v>18</v>
      </c>
      <c r="T1160">
        <v>750000</v>
      </c>
      <c r="U1160">
        <v>1</v>
      </c>
      <c r="V1160">
        <v>1</v>
      </c>
      <c r="W1160" t="s">
        <v>121</v>
      </c>
      <c r="X1160" t="s">
        <v>1</v>
      </c>
      <c r="Y1160">
        <v>348300</v>
      </c>
      <c r="Z1160">
        <v>13500000</v>
      </c>
      <c r="AA1160">
        <v>750000</v>
      </c>
      <c r="AB1160">
        <v>105</v>
      </c>
      <c r="AC1160" s="34">
        <v>46033</v>
      </c>
      <c r="AD1160" s="34">
        <v>46173</v>
      </c>
      <c r="AF1160">
        <v>0</v>
      </c>
      <c r="AG1160">
        <v>348300</v>
      </c>
      <c r="AH1160">
        <v>0</v>
      </c>
      <c r="AI1160">
        <v>348300</v>
      </c>
      <c r="AJ1160">
        <v>0</v>
      </c>
      <c r="AK1160">
        <v>0</v>
      </c>
      <c r="AL1160">
        <v>76974.3</v>
      </c>
      <c r="AM1160">
        <v>0</v>
      </c>
      <c r="AN1160">
        <v>425274.3</v>
      </c>
      <c r="AO1160" t="s">
        <v>122</v>
      </c>
      <c r="AP1160">
        <v>10</v>
      </c>
      <c r="AQ1160">
        <v>34830</v>
      </c>
      <c r="AR1160">
        <v>34830</v>
      </c>
      <c r="AT1160">
        <v>8100000</v>
      </c>
      <c r="AU1160">
        <v>208980</v>
      </c>
      <c r="AV1160">
        <v>8100000</v>
      </c>
      <c r="AW1160">
        <v>208980</v>
      </c>
    </row>
    <row r="1161" spans="1:49" hidden="1" x14ac:dyDescent="0.35">
      <c r="A1161">
        <v>5860410</v>
      </c>
      <c r="B1161">
        <v>1090005860401</v>
      </c>
      <c r="D1161">
        <v>20275971791</v>
      </c>
      <c r="E1161" t="s">
        <v>1686</v>
      </c>
      <c r="F1161" t="s">
        <v>1</v>
      </c>
      <c r="G1161" t="s">
        <v>412</v>
      </c>
      <c r="H1161" t="s">
        <v>412</v>
      </c>
      <c r="I1161">
        <v>6369</v>
      </c>
      <c r="J1161">
        <v>21</v>
      </c>
      <c r="K1161" t="s">
        <v>33</v>
      </c>
      <c r="L1161">
        <v>6127</v>
      </c>
      <c r="M1161" t="s">
        <v>118</v>
      </c>
      <c r="N1161">
        <v>1</v>
      </c>
      <c r="O1161" t="s">
        <v>119</v>
      </c>
      <c r="P1161" t="s">
        <v>1700</v>
      </c>
      <c r="Q1161">
        <v>2104.84</v>
      </c>
      <c r="R1161">
        <v>81900</v>
      </c>
      <c r="S1161">
        <v>234</v>
      </c>
      <c r="T1161">
        <v>350</v>
      </c>
      <c r="U1161">
        <v>26</v>
      </c>
      <c r="V1161">
        <v>1444.5</v>
      </c>
      <c r="W1161" t="s">
        <v>121</v>
      </c>
      <c r="X1161" t="s">
        <v>1</v>
      </c>
      <c r="Y1161">
        <v>3040441.38</v>
      </c>
      <c r="Z1161">
        <v>118304550</v>
      </c>
      <c r="AA1161">
        <v>505575</v>
      </c>
      <c r="AB1161">
        <v>210</v>
      </c>
      <c r="AC1161" s="34">
        <v>45993</v>
      </c>
      <c r="AD1161" s="34">
        <v>46142</v>
      </c>
      <c r="AF1161">
        <v>0</v>
      </c>
      <c r="AG1161">
        <v>27629.21</v>
      </c>
      <c r="AH1161">
        <v>0</v>
      </c>
      <c r="AI1161">
        <v>39910393.850000001</v>
      </c>
      <c r="AJ1161">
        <v>0</v>
      </c>
      <c r="AK1161">
        <v>0</v>
      </c>
      <c r="AL1161">
        <v>10017506.390000001</v>
      </c>
      <c r="AM1161">
        <v>0</v>
      </c>
      <c r="AN1161">
        <v>49927900.229999997</v>
      </c>
      <c r="AO1161" t="s">
        <v>122</v>
      </c>
      <c r="AP1161">
        <v>12</v>
      </c>
      <c r="AQ1161">
        <v>3315.5</v>
      </c>
      <c r="AR1161">
        <v>4789239.75</v>
      </c>
      <c r="AT1161">
        <v>49140</v>
      </c>
      <c r="AU1161">
        <v>1262.9100000000001</v>
      </c>
      <c r="AV1161">
        <v>70982730</v>
      </c>
      <c r="AW1161">
        <v>1824273.5</v>
      </c>
    </row>
    <row r="1162" spans="1:49" hidden="1" x14ac:dyDescent="0.35">
      <c r="A1162">
        <v>5860410</v>
      </c>
      <c r="B1162">
        <v>1090005860401</v>
      </c>
      <c r="D1162">
        <v>20275971791</v>
      </c>
      <c r="E1162" t="s">
        <v>1686</v>
      </c>
      <c r="F1162" t="s">
        <v>1</v>
      </c>
      <c r="G1162" t="s">
        <v>412</v>
      </c>
      <c r="H1162" t="s">
        <v>412</v>
      </c>
      <c r="I1162">
        <v>6369</v>
      </c>
      <c r="J1162">
        <v>21</v>
      </c>
      <c r="K1162" t="s">
        <v>33</v>
      </c>
      <c r="L1162">
        <v>6127</v>
      </c>
      <c r="M1162" t="s">
        <v>118</v>
      </c>
      <c r="N1162">
        <v>2</v>
      </c>
      <c r="O1162" t="s">
        <v>119</v>
      </c>
      <c r="P1162" t="s">
        <v>1701</v>
      </c>
      <c r="Q1162">
        <v>2356.6999999999998</v>
      </c>
      <c r="R1162">
        <v>91700</v>
      </c>
      <c r="S1162">
        <v>262</v>
      </c>
      <c r="T1162">
        <v>350</v>
      </c>
      <c r="U1162">
        <v>26</v>
      </c>
      <c r="V1162">
        <v>1444.5</v>
      </c>
      <c r="W1162" t="s">
        <v>121</v>
      </c>
      <c r="X1162" t="s">
        <v>1</v>
      </c>
      <c r="Y1162">
        <v>3404253.15</v>
      </c>
      <c r="Z1162">
        <v>132460650</v>
      </c>
      <c r="AA1162">
        <v>505575</v>
      </c>
      <c r="AB1162">
        <v>210</v>
      </c>
      <c r="AC1162" s="34">
        <v>45993</v>
      </c>
      <c r="AD1162" s="34">
        <v>46142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 t="s">
        <v>122</v>
      </c>
      <c r="AT1162">
        <v>55020</v>
      </c>
      <c r="AU1162">
        <v>1414.02</v>
      </c>
      <c r="AV1162">
        <v>79476390</v>
      </c>
      <c r="AW1162">
        <v>2042551.89</v>
      </c>
    </row>
    <row r="1163" spans="1:49" hidden="1" x14ac:dyDescent="0.35">
      <c r="A1163">
        <v>5860410</v>
      </c>
      <c r="B1163">
        <v>1090005860401</v>
      </c>
      <c r="D1163">
        <v>20275971791</v>
      </c>
      <c r="E1163" t="s">
        <v>1686</v>
      </c>
      <c r="F1163" t="s">
        <v>1</v>
      </c>
      <c r="G1163" t="s">
        <v>395</v>
      </c>
      <c r="H1163" t="s">
        <v>56</v>
      </c>
      <c r="I1163">
        <v>6380</v>
      </c>
      <c r="J1163">
        <v>21</v>
      </c>
      <c r="K1163" t="s">
        <v>33</v>
      </c>
      <c r="L1163">
        <v>6127</v>
      </c>
      <c r="M1163" t="s">
        <v>118</v>
      </c>
      <c r="N1163">
        <v>3</v>
      </c>
      <c r="O1163" t="s">
        <v>119</v>
      </c>
      <c r="P1163" t="s">
        <v>1702</v>
      </c>
      <c r="Q1163">
        <v>764.59</v>
      </c>
      <c r="R1163">
        <v>29750</v>
      </c>
      <c r="S1163">
        <v>85</v>
      </c>
      <c r="T1163">
        <v>350</v>
      </c>
      <c r="U1163">
        <v>26</v>
      </c>
      <c r="V1163">
        <v>1444.5</v>
      </c>
      <c r="W1163" t="s">
        <v>121</v>
      </c>
      <c r="X1163" t="s">
        <v>1</v>
      </c>
      <c r="Y1163">
        <v>1104450.26</v>
      </c>
      <c r="Z1163">
        <v>42973875</v>
      </c>
      <c r="AA1163">
        <v>505575</v>
      </c>
      <c r="AB1163">
        <v>210</v>
      </c>
      <c r="AC1163" s="34">
        <v>45993</v>
      </c>
      <c r="AD1163" s="34">
        <v>46142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 t="s">
        <v>122</v>
      </c>
      <c r="AT1163">
        <v>17850</v>
      </c>
      <c r="AU1163">
        <v>458.76</v>
      </c>
      <c r="AV1163">
        <v>25784325</v>
      </c>
      <c r="AW1163">
        <v>662678.81999999995</v>
      </c>
    </row>
    <row r="1164" spans="1:49" hidden="1" x14ac:dyDescent="0.35">
      <c r="A1164">
        <v>5860410</v>
      </c>
      <c r="B1164">
        <v>1090005860401</v>
      </c>
      <c r="D1164">
        <v>20275971791</v>
      </c>
      <c r="E1164" t="s">
        <v>1686</v>
      </c>
      <c r="F1164" t="s">
        <v>1</v>
      </c>
      <c r="G1164" t="s">
        <v>568</v>
      </c>
      <c r="H1164" t="s">
        <v>57</v>
      </c>
      <c r="I1164">
        <v>6360</v>
      </c>
      <c r="J1164">
        <v>21</v>
      </c>
      <c r="K1164" t="s">
        <v>33</v>
      </c>
      <c r="L1164">
        <v>6127</v>
      </c>
      <c r="M1164" t="s">
        <v>118</v>
      </c>
      <c r="N1164">
        <v>4</v>
      </c>
      <c r="O1164" t="s">
        <v>119</v>
      </c>
      <c r="P1164" t="s">
        <v>1703</v>
      </c>
      <c r="Q1164">
        <v>854.54</v>
      </c>
      <c r="R1164">
        <v>33250</v>
      </c>
      <c r="S1164">
        <v>95</v>
      </c>
      <c r="T1164">
        <v>350</v>
      </c>
      <c r="U1164">
        <v>26</v>
      </c>
      <c r="V1164">
        <v>1444.5</v>
      </c>
      <c r="W1164" t="s">
        <v>121</v>
      </c>
      <c r="X1164" t="s">
        <v>1</v>
      </c>
      <c r="Y1164">
        <v>1234383.03</v>
      </c>
      <c r="Z1164">
        <v>48029625</v>
      </c>
      <c r="AA1164">
        <v>505575</v>
      </c>
      <c r="AB1164">
        <v>210</v>
      </c>
      <c r="AC1164" s="34">
        <v>45993</v>
      </c>
      <c r="AD1164" s="34">
        <v>46142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 t="s">
        <v>122</v>
      </c>
      <c r="AT1164">
        <v>19950</v>
      </c>
      <c r="AU1164">
        <v>512.73</v>
      </c>
      <c r="AV1164">
        <v>28817775</v>
      </c>
      <c r="AW1164">
        <v>740638.49</v>
      </c>
    </row>
    <row r="1165" spans="1:49" hidden="1" x14ac:dyDescent="0.35">
      <c r="A1165">
        <v>5860410</v>
      </c>
      <c r="B1165">
        <v>1090005860401</v>
      </c>
      <c r="D1165">
        <v>20275971791</v>
      </c>
      <c r="E1165" t="s">
        <v>1686</v>
      </c>
      <c r="F1165" t="s">
        <v>1</v>
      </c>
      <c r="G1165" t="s">
        <v>568</v>
      </c>
      <c r="H1165" t="s">
        <v>57</v>
      </c>
      <c r="I1165">
        <v>6360</v>
      </c>
      <c r="J1165">
        <v>21</v>
      </c>
      <c r="K1165" t="s">
        <v>33</v>
      </c>
      <c r="L1165">
        <v>6127</v>
      </c>
      <c r="M1165" t="s">
        <v>118</v>
      </c>
      <c r="N1165">
        <v>5</v>
      </c>
      <c r="O1165" t="s">
        <v>119</v>
      </c>
      <c r="P1165" t="s">
        <v>1704</v>
      </c>
      <c r="Q1165">
        <v>611.66999999999996</v>
      </c>
      <c r="R1165">
        <v>23800</v>
      </c>
      <c r="S1165">
        <v>242</v>
      </c>
      <c r="T1165">
        <v>98.35</v>
      </c>
      <c r="U1165">
        <v>26</v>
      </c>
      <c r="V1165">
        <v>1444.5</v>
      </c>
      <c r="W1165" t="s">
        <v>121</v>
      </c>
      <c r="X1165" t="s">
        <v>1</v>
      </c>
      <c r="Y1165">
        <v>883557.32</v>
      </c>
      <c r="Z1165">
        <v>34379100</v>
      </c>
      <c r="AA1165">
        <v>142062.39999999999</v>
      </c>
      <c r="AB1165">
        <v>210</v>
      </c>
      <c r="AC1165" s="34">
        <v>45993</v>
      </c>
      <c r="AD1165" s="34">
        <v>46142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 t="s">
        <v>122</v>
      </c>
      <c r="AT1165">
        <v>14280</v>
      </c>
      <c r="AU1165">
        <v>367</v>
      </c>
      <c r="AV1165">
        <v>20627460</v>
      </c>
      <c r="AW1165">
        <v>530131.5</v>
      </c>
    </row>
    <row r="1166" spans="1:49" hidden="1" x14ac:dyDescent="0.35">
      <c r="A1166">
        <v>5860410</v>
      </c>
      <c r="B1166">
        <v>1090005860401</v>
      </c>
      <c r="D1166">
        <v>20275971791</v>
      </c>
      <c r="E1166" t="s">
        <v>1686</v>
      </c>
      <c r="F1166" t="s">
        <v>1</v>
      </c>
      <c r="G1166" t="s">
        <v>568</v>
      </c>
      <c r="H1166" t="s">
        <v>57</v>
      </c>
      <c r="I1166">
        <v>6360</v>
      </c>
      <c r="J1166">
        <v>21</v>
      </c>
      <c r="K1166" t="s">
        <v>33</v>
      </c>
      <c r="L1166">
        <v>6127</v>
      </c>
      <c r="M1166" t="s">
        <v>118</v>
      </c>
      <c r="N1166">
        <v>6</v>
      </c>
      <c r="O1166" t="s">
        <v>119</v>
      </c>
      <c r="P1166" t="s">
        <v>1705</v>
      </c>
      <c r="Q1166">
        <v>410.18</v>
      </c>
      <c r="R1166">
        <v>15960</v>
      </c>
      <c r="S1166">
        <v>57</v>
      </c>
      <c r="T1166">
        <v>280</v>
      </c>
      <c r="U1166">
        <v>26</v>
      </c>
      <c r="V1166">
        <v>1444.5</v>
      </c>
      <c r="W1166" t="s">
        <v>121</v>
      </c>
      <c r="X1166" t="s">
        <v>1</v>
      </c>
      <c r="Y1166">
        <v>592505.01</v>
      </c>
      <c r="Z1166">
        <v>23054220</v>
      </c>
      <c r="AA1166">
        <v>404460</v>
      </c>
      <c r="AB1166">
        <v>210</v>
      </c>
      <c r="AC1166" s="34">
        <v>45993</v>
      </c>
      <c r="AD1166" s="34">
        <v>46142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 t="s">
        <v>122</v>
      </c>
      <c r="AT1166">
        <v>9576</v>
      </c>
      <c r="AU1166">
        <v>246.11</v>
      </c>
      <c r="AV1166">
        <v>13832532</v>
      </c>
      <c r="AW1166">
        <v>355505.9</v>
      </c>
    </row>
    <row r="1167" spans="1:49" hidden="1" x14ac:dyDescent="0.35">
      <c r="A1167">
        <v>5860410</v>
      </c>
      <c r="B1167">
        <v>1090005860401</v>
      </c>
      <c r="D1167">
        <v>20275971791</v>
      </c>
      <c r="E1167" t="s">
        <v>1686</v>
      </c>
      <c r="F1167" t="s">
        <v>1</v>
      </c>
      <c r="G1167" t="s">
        <v>370</v>
      </c>
      <c r="H1167" t="s">
        <v>58</v>
      </c>
      <c r="I1167">
        <v>6333</v>
      </c>
      <c r="J1167">
        <v>21</v>
      </c>
      <c r="K1167" t="s">
        <v>33</v>
      </c>
      <c r="L1167">
        <v>6127</v>
      </c>
      <c r="M1167" t="s">
        <v>118</v>
      </c>
      <c r="N1167">
        <v>7</v>
      </c>
      <c r="O1167" t="s">
        <v>119</v>
      </c>
      <c r="P1167" t="s">
        <v>1706</v>
      </c>
      <c r="Q1167">
        <v>4533.49</v>
      </c>
      <c r="R1167">
        <v>176400</v>
      </c>
      <c r="S1167">
        <v>504</v>
      </c>
      <c r="T1167">
        <v>350</v>
      </c>
      <c r="U1167">
        <v>26</v>
      </c>
      <c r="V1167">
        <v>1444.5</v>
      </c>
      <c r="W1167" t="s">
        <v>121</v>
      </c>
      <c r="X1167" t="s">
        <v>1</v>
      </c>
      <c r="Y1167">
        <v>6548626.3099999996</v>
      </c>
      <c r="Z1167">
        <v>254809800</v>
      </c>
      <c r="AA1167">
        <v>505575</v>
      </c>
      <c r="AB1167">
        <v>210</v>
      </c>
      <c r="AC1167" s="34">
        <v>45993</v>
      </c>
      <c r="AD1167" s="34">
        <v>46142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 t="s">
        <v>122</v>
      </c>
      <c r="AT1167">
        <v>105840</v>
      </c>
      <c r="AU1167">
        <v>2720.1</v>
      </c>
      <c r="AV1167">
        <v>152885880</v>
      </c>
      <c r="AW1167">
        <v>3929184.45</v>
      </c>
    </row>
    <row r="1168" spans="1:49" hidden="1" x14ac:dyDescent="0.35">
      <c r="A1168">
        <v>5860410</v>
      </c>
      <c r="B1168">
        <v>1090005860401</v>
      </c>
      <c r="D1168">
        <v>20275971791</v>
      </c>
      <c r="E1168" t="s">
        <v>1686</v>
      </c>
      <c r="F1168" t="s">
        <v>1</v>
      </c>
      <c r="G1168" t="s">
        <v>370</v>
      </c>
      <c r="H1168" t="s">
        <v>58</v>
      </c>
      <c r="I1168">
        <v>6333</v>
      </c>
      <c r="J1168">
        <v>21</v>
      </c>
      <c r="K1168" t="s">
        <v>33</v>
      </c>
      <c r="L1168">
        <v>6127</v>
      </c>
      <c r="M1168" t="s">
        <v>118</v>
      </c>
      <c r="N1168">
        <v>8</v>
      </c>
      <c r="O1168" t="s">
        <v>119</v>
      </c>
      <c r="P1168" t="s">
        <v>1707</v>
      </c>
      <c r="Q1168">
        <v>1277.3</v>
      </c>
      <c r="R1168">
        <v>49700</v>
      </c>
      <c r="S1168">
        <v>142</v>
      </c>
      <c r="T1168">
        <v>350</v>
      </c>
      <c r="U1168">
        <v>26</v>
      </c>
      <c r="V1168">
        <v>1444.5</v>
      </c>
      <c r="W1168" t="s">
        <v>121</v>
      </c>
      <c r="X1168" t="s">
        <v>1</v>
      </c>
      <c r="Y1168">
        <v>1845059.85</v>
      </c>
      <c r="Z1168">
        <v>71791650</v>
      </c>
      <c r="AA1168">
        <v>505575</v>
      </c>
      <c r="AB1168">
        <v>210</v>
      </c>
      <c r="AC1168" s="34">
        <v>45993</v>
      </c>
      <c r="AD1168" s="34">
        <v>46142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 t="s">
        <v>122</v>
      </c>
      <c r="AT1168">
        <v>29820</v>
      </c>
      <c r="AU1168">
        <v>766.38</v>
      </c>
      <c r="AV1168">
        <v>43074990</v>
      </c>
      <c r="AW1168">
        <v>1107035.9099999999</v>
      </c>
    </row>
    <row r="1169" spans="1:49" hidden="1" x14ac:dyDescent="0.35">
      <c r="A1169">
        <v>5860410</v>
      </c>
      <c r="B1169">
        <v>1090005860401</v>
      </c>
      <c r="D1169">
        <v>20275971791</v>
      </c>
      <c r="E1169" t="s">
        <v>1686</v>
      </c>
      <c r="F1169" t="s">
        <v>1</v>
      </c>
      <c r="G1169" t="s">
        <v>370</v>
      </c>
      <c r="H1169" t="s">
        <v>58</v>
      </c>
      <c r="I1169">
        <v>6333</v>
      </c>
      <c r="J1169">
        <v>21</v>
      </c>
      <c r="K1169" t="s">
        <v>33</v>
      </c>
      <c r="L1169">
        <v>6127</v>
      </c>
      <c r="M1169" t="s">
        <v>118</v>
      </c>
      <c r="N1169">
        <v>9</v>
      </c>
      <c r="O1169" t="s">
        <v>119</v>
      </c>
      <c r="P1169" t="s">
        <v>1708</v>
      </c>
      <c r="Q1169">
        <v>1781.02</v>
      </c>
      <c r="R1169">
        <v>69300</v>
      </c>
      <c r="S1169">
        <v>198</v>
      </c>
      <c r="T1169">
        <v>350</v>
      </c>
      <c r="U1169">
        <v>26</v>
      </c>
      <c r="V1169">
        <v>1444.5</v>
      </c>
      <c r="W1169" t="s">
        <v>121</v>
      </c>
      <c r="X1169" t="s">
        <v>1</v>
      </c>
      <c r="Y1169">
        <v>2572683.39</v>
      </c>
      <c r="Z1169">
        <v>100103850</v>
      </c>
      <c r="AA1169">
        <v>505575</v>
      </c>
      <c r="AB1169">
        <v>210</v>
      </c>
      <c r="AC1169" s="34">
        <v>45993</v>
      </c>
      <c r="AD1169" s="34">
        <v>46142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 t="s">
        <v>122</v>
      </c>
      <c r="AT1169">
        <v>41580</v>
      </c>
      <c r="AU1169">
        <v>1068.6199999999999</v>
      </c>
      <c r="AV1169">
        <v>60062310</v>
      </c>
      <c r="AW1169">
        <v>1543621.59</v>
      </c>
    </row>
    <row r="1170" spans="1:49" hidden="1" x14ac:dyDescent="0.35">
      <c r="A1170">
        <v>5860410</v>
      </c>
      <c r="B1170">
        <v>1090005860401</v>
      </c>
      <c r="D1170">
        <v>20275971791</v>
      </c>
      <c r="E1170" t="s">
        <v>1686</v>
      </c>
      <c r="F1170" t="s">
        <v>1</v>
      </c>
      <c r="G1170" t="s">
        <v>1062</v>
      </c>
      <c r="H1170" t="s">
        <v>1062</v>
      </c>
      <c r="I1170">
        <v>6330</v>
      </c>
      <c r="J1170">
        <v>21</v>
      </c>
      <c r="K1170" t="s">
        <v>33</v>
      </c>
      <c r="L1170">
        <v>6127</v>
      </c>
      <c r="M1170" t="s">
        <v>118</v>
      </c>
      <c r="N1170">
        <v>10</v>
      </c>
      <c r="O1170" t="s">
        <v>119</v>
      </c>
      <c r="P1170" t="s">
        <v>1709</v>
      </c>
      <c r="Q1170">
        <v>1942.93</v>
      </c>
      <c r="R1170">
        <v>75600</v>
      </c>
      <c r="S1170">
        <v>216</v>
      </c>
      <c r="T1170">
        <v>350</v>
      </c>
      <c r="U1170">
        <v>26</v>
      </c>
      <c r="V1170">
        <v>1444.5</v>
      </c>
      <c r="W1170" t="s">
        <v>121</v>
      </c>
      <c r="X1170" t="s">
        <v>1</v>
      </c>
      <c r="Y1170">
        <v>2806562.39</v>
      </c>
      <c r="Z1170">
        <v>109204200</v>
      </c>
      <c r="AA1170">
        <v>505575</v>
      </c>
      <c r="AB1170">
        <v>210</v>
      </c>
      <c r="AC1170" s="34">
        <v>45993</v>
      </c>
      <c r="AD1170" s="34">
        <v>46142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 t="s">
        <v>122</v>
      </c>
      <c r="AT1170">
        <v>45360</v>
      </c>
      <c r="AU1170">
        <v>1165.76</v>
      </c>
      <c r="AV1170">
        <v>65522520</v>
      </c>
      <c r="AW1170">
        <v>1683940.32</v>
      </c>
    </row>
    <row r="1171" spans="1:49" hidden="1" x14ac:dyDescent="0.35">
      <c r="A1171">
        <v>5860410</v>
      </c>
      <c r="B1171">
        <v>1090005860401</v>
      </c>
      <c r="D1171">
        <v>20275971791</v>
      </c>
      <c r="E1171" t="s">
        <v>1686</v>
      </c>
      <c r="F1171" t="s">
        <v>1</v>
      </c>
      <c r="G1171" t="s">
        <v>1062</v>
      </c>
      <c r="H1171" t="s">
        <v>1062</v>
      </c>
      <c r="I1171">
        <v>6330</v>
      </c>
      <c r="J1171">
        <v>21</v>
      </c>
      <c r="K1171" t="s">
        <v>33</v>
      </c>
      <c r="L1171">
        <v>6127</v>
      </c>
      <c r="M1171" t="s">
        <v>118</v>
      </c>
      <c r="N1171">
        <v>11</v>
      </c>
      <c r="O1171" t="s">
        <v>119</v>
      </c>
      <c r="P1171" t="s">
        <v>1710</v>
      </c>
      <c r="Q1171">
        <v>1349.26</v>
      </c>
      <c r="R1171">
        <v>52500</v>
      </c>
      <c r="S1171">
        <v>150</v>
      </c>
      <c r="T1171">
        <v>350</v>
      </c>
      <c r="U1171">
        <v>26</v>
      </c>
      <c r="V1171">
        <v>1444.5</v>
      </c>
      <c r="W1171" t="s">
        <v>121</v>
      </c>
      <c r="X1171" t="s">
        <v>1</v>
      </c>
      <c r="Y1171">
        <v>1949006.07</v>
      </c>
      <c r="Z1171">
        <v>75836250</v>
      </c>
      <c r="AA1171">
        <v>505575</v>
      </c>
      <c r="AB1171">
        <v>210</v>
      </c>
      <c r="AC1171" s="34">
        <v>45993</v>
      </c>
      <c r="AD1171" s="34">
        <v>46142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 t="s">
        <v>122</v>
      </c>
      <c r="AT1171">
        <v>31500</v>
      </c>
      <c r="AU1171">
        <v>809.56</v>
      </c>
      <c r="AV1171">
        <v>45501750</v>
      </c>
      <c r="AW1171">
        <v>1169409.42</v>
      </c>
    </row>
    <row r="1172" spans="1:49" hidden="1" x14ac:dyDescent="0.35">
      <c r="A1172">
        <v>5860410</v>
      </c>
      <c r="B1172">
        <v>1090005860401</v>
      </c>
      <c r="D1172">
        <v>20275971791</v>
      </c>
      <c r="E1172" t="s">
        <v>1686</v>
      </c>
      <c r="F1172" t="s">
        <v>1</v>
      </c>
      <c r="G1172" t="s">
        <v>1062</v>
      </c>
      <c r="H1172" t="s">
        <v>1062</v>
      </c>
      <c r="I1172">
        <v>6330</v>
      </c>
      <c r="J1172">
        <v>21</v>
      </c>
      <c r="K1172" t="s">
        <v>33</v>
      </c>
      <c r="L1172">
        <v>6127</v>
      </c>
      <c r="M1172" t="s">
        <v>118</v>
      </c>
      <c r="N1172">
        <v>12</v>
      </c>
      <c r="O1172" t="s">
        <v>119</v>
      </c>
      <c r="P1172" t="s">
        <v>1711</v>
      </c>
      <c r="Q1172">
        <v>2266.75</v>
      </c>
      <c r="R1172">
        <v>88200</v>
      </c>
      <c r="S1172">
        <v>252</v>
      </c>
      <c r="T1172">
        <v>350</v>
      </c>
      <c r="U1172">
        <v>26</v>
      </c>
      <c r="V1172">
        <v>1444.5</v>
      </c>
      <c r="W1172" t="s">
        <v>121</v>
      </c>
      <c r="X1172" t="s">
        <v>1</v>
      </c>
      <c r="Y1172">
        <v>3274320.38</v>
      </c>
      <c r="Z1172">
        <v>127404900</v>
      </c>
      <c r="AA1172">
        <v>505575</v>
      </c>
      <c r="AB1172">
        <v>210</v>
      </c>
      <c r="AC1172" s="34">
        <v>45993</v>
      </c>
      <c r="AD1172" s="34">
        <v>46142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 t="s">
        <v>122</v>
      </c>
      <c r="AT1172">
        <v>52920</v>
      </c>
      <c r="AU1172">
        <v>1360.05</v>
      </c>
      <c r="AV1172">
        <v>76442940</v>
      </c>
      <c r="AW1172">
        <v>1964592.23</v>
      </c>
    </row>
    <row r="1173" spans="1:49" hidden="1" x14ac:dyDescent="0.35">
      <c r="A1173">
        <v>5860410</v>
      </c>
      <c r="B1173">
        <v>1090005860401</v>
      </c>
      <c r="D1173">
        <v>20275971791</v>
      </c>
      <c r="E1173" t="s">
        <v>1686</v>
      </c>
      <c r="F1173" t="s">
        <v>1</v>
      </c>
      <c r="G1173" t="s">
        <v>1712</v>
      </c>
      <c r="H1173" t="s">
        <v>1637</v>
      </c>
      <c r="I1173">
        <v>6387</v>
      </c>
      <c r="J1173">
        <v>21</v>
      </c>
      <c r="K1173" t="s">
        <v>33</v>
      </c>
      <c r="L1173">
        <v>6127</v>
      </c>
      <c r="M1173" t="s">
        <v>118</v>
      </c>
      <c r="N1173">
        <v>13</v>
      </c>
      <c r="O1173" t="s">
        <v>119</v>
      </c>
      <c r="P1173" t="s">
        <v>1713</v>
      </c>
      <c r="Q1173">
        <v>881.52</v>
      </c>
      <c r="R1173">
        <v>34300</v>
      </c>
      <c r="S1173">
        <v>98</v>
      </c>
      <c r="T1173">
        <v>350</v>
      </c>
      <c r="U1173">
        <v>26</v>
      </c>
      <c r="V1173">
        <v>1444.5</v>
      </c>
      <c r="W1173" t="s">
        <v>121</v>
      </c>
      <c r="X1173" t="s">
        <v>1</v>
      </c>
      <c r="Y1173">
        <v>1273355.6399999999</v>
      </c>
      <c r="Z1173">
        <v>49546350</v>
      </c>
      <c r="AA1173">
        <v>505575</v>
      </c>
      <c r="AB1173">
        <v>210</v>
      </c>
      <c r="AC1173" s="34">
        <v>45993</v>
      </c>
      <c r="AD1173" s="34">
        <v>46142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 t="s">
        <v>122</v>
      </c>
      <c r="AT1173">
        <v>20580</v>
      </c>
      <c r="AU1173">
        <v>528.91999999999996</v>
      </c>
      <c r="AV1173">
        <v>29727810</v>
      </c>
      <c r="AW1173">
        <v>764024.94</v>
      </c>
    </row>
    <row r="1174" spans="1:49" hidden="1" x14ac:dyDescent="0.35">
      <c r="A1174">
        <v>5860410</v>
      </c>
      <c r="B1174">
        <v>1090005860401</v>
      </c>
      <c r="D1174">
        <v>20275971791</v>
      </c>
      <c r="E1174" t="s">
        <v>1686</v>
      </c>
      <c r="F1174" t="s">
        <v>1</v>
      </c>
      <c r="G1174" t="s">
        <v>1712</v>
      </c>
      <c r="H1174" t="s">
        <v>1637</v>
      </c>
      <c r="I1174">
        <v>6387</v>
      </c>
      <c r="J1174">
        <v>21</v>
      </c>
      <c r="K1174" t="s">
        <v>33</v>
      </c>
      <c r="L1174">
        <v>6127</v>
      </c>
      <c r="M1174" t="s">
        <v>118</v>
      </c>
      <c r="N1174">
        <v>14</v>
      </c>
      <c r="O1174" t="s">
        <v>119</v>
      </c>
      <c r="P1174" t="s">
        <v>1714</v>
      </c>
      <c r="Q1174">
        <v>1295.29</v>
      </c>
      <c r="R1174">
        <v>50400</v>
      </c>
      <c r="S1174">
        <v>144</v>
      </c>
      <c r="T1174">
        <v>350</v>
      </c>
      <c r="U1174">
        <v>26</v>
      </c>
      <c r="V1174">
        <v>1444.5</v>
      </c>
      <c r="W1174" t="s">
        <v>121</v>
      </c>
      <c r="X1174" t="s">
        <v>1</v>
      </c>
      <c r="Y1174">
        <v>1871046.41</v>
      </c>
      <c r="Z1174">
        <v>72802800</v>
      </c>
      <c r="AA1174">
        <v>505575</v>
      </c>
      <c r="AB1174">
        <v>210</v>
      </c>
      <c r="AC1174" s="34">
        <v>45993</v>
      </c>
      <c r="AD1174" s="34">
        <v>46142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 t="s">
        <v>122</v>
      </c>
      <c r="AT1174">
        <v>30240</v>
      </c>
      <c r="AU1174">
        <v>777.18</v>
      </c>
      <c r="AV1174">
        <v>43681680</v>
      </c>
      <c r="AW1174">
        <v>1122636.51</v>
      </c>
    </row>
    <row r="1175" spans="1:49" hidden="1" x14ac:dyDescent="0.35">
      <c r="A1175">
        <v>5860410</v>
      </c>
      <c r="B1175">
        <v>1090005860401</v>
      </c>
      <c r="D1175">
        <v>20275971791</v>
      </c>
      <c r="E1175" t="s">
        <v>1686</v>
      </c>
      <c r="F1175" t="s">
        <v>1</v>
      </c>
      <c r="G1175" t="s">
        <v>1712</v>
      </c>
      <c r="H1175" t="s">
        <v>1637</v>
      </c>
      <c r="I1175">
        <v>6387</v>
      </c>
      <c r="J1175">
        <v>21</v>
      </c>
      <c r="K1175" t="s">
        <v>33</v>
      </c>
      <c r="L1175">
        <v>6127</v>
      </c>
      <c r="M1175" t="s">
        <v>118</v>
      </c>
      <c r="N1175">
        <v>15</v>
      </c>
      <c r="O1175" t="s">
        <v>119</v>
      </c>
      <c r="P1175" t="s">
        <v>1715</v>
      </c>
      <c r="Q1175">
        <v>2658.03</v>
      </c>
      <c r="R1175">
        <v>103425</v>
      </c>
      <c r="S1175">
        <v>591</v>
      </c>
      <c r="T1175">
        <v>175</v>
      </c>
      <c r="U1175">
        <v>26</v>
      </c>
      <c r="V1175">
        <v>1444.5</v>
      </c>
      <c r="W1175" t="s">
        <v>121</v>
      </c>
      <c r="X1175" t="s">
        <v>1</v>
      </c>
      <c r="Y1175">
        <v>3839524.34</v>
      </c>
      <c r="Z1175">
        <v>149397412.5</v>
      </c>
      <c r="AA1175">
        <v>252787.5</v>
      </c>
      <c r="AB1175">
        <v>210</v>
      </c>
      <c r="AC1175" s="34">
        <v>45993</v>
      </c>
      <c r="AD1175" s="34">
        <v>46142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 t="s">
        <v>122</v>
      </c>
      <c r="AT1175">
        <v>62055</v>
      </c>
      <c r="AU1175">
        <v>1594.82</v>
      </c>
      <c r="AV1175">
        <v>89638447.5</v>
      </c>
      <c r="AW1175">
        <v>2303717.4900000002</v>
      </c>
    </row>
    <row r="1176" spans="1:49" hidden="1" x14ac:dyDescent="0.35">
      <c r="A1176">
        <v>5860410</v>
      </c>
      <c r="B1176">
        <v>1090005860401</v>
      </c>
      <c r="D1176">
        <v>20275971791</v>
      </c>
      <c r="E1176" t="s">
        <v>1686</v>
      </c>
      <c r="F1176" t="s">
        <v>1</v>
      </c>
      <c r="G1176" t="s">
        <v>1712</v>
      </c>
      <c r="H1176" t="s">
        <v>1637</v>
      </c>
      <c r="I1176">
        <v>6387</v>
      </c>
      <c r="J1176">
        <v>21</v>
      </c>
      <c r="K1176" t="s">
        <v>33</v>
      </c>
      <c r="L1176">
        <v>6127</v>
      </c>
      <c r="M1176" t="s">
        <v>118</v>
      </c>
      <c r="N1176">
        <v>16</v>
      </c>
      <c r="O1176" t="s">
        <v>119</v>
      </c>
      <c r="P1176" t="s">
        <v>1716</v>
      </c>
      <c r="Q1176">
        <v>2541.1</v>
      </c>
      <c r="R1176">
        <v>98875</v>
      </c>
      <c r="S1176">
        <v>565</v>
      </c>
      <c r="T1176">
        <v>175</v>
      </c>
      <c r="U1176">
        <v>26</v>
      </c>
      <c r="V1176">
        <v>1444.5</v>
      </c>
      <c r="W1176" t="s">
        <v>121</v>
      </c>
      <c r="X1176" t="s">
        <v>1</v>
      </c>
      <c r="Y1176">
        <v>3670618.95</v>
      </c>
      <c r="Z1176">
        <v>142824937.5</v>
      </c>
      <c r="AA1176">
        <v>252787.5</v>
      </c>
      <c r="AB1176">
        <v>210</v>
      </c>
      <c r="AC1176" s="34">
        <v>45993</v>
      </c>
      <c r="AD1176" s="34">
        <v>46142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 t="s">
        <v>122</v>
      </c>
      <c r="AT1176">
        <v>59325</v>
      </c>
      <c r="AU1176">
        <v>1524.66</v>
      </c>
      <c r="AV1176">
        <v>85694962.5</v>
      </c>
      <c r="AW1176">
        <v>2202371.37</v>
      </c>
    </row>
    <row r="1177" spans="1:49" hidden="1" x14ac:dyDescent="0.35">
      <c r="A1177">
        <v>5860510</v>
      </c>
      <c r="B1177">
        <v>1090005860501</v>
      </c>
      <c r="D1177">
        <v>30712215646</v>
      </c>
      <c r="E1177" t="s">
        <v>1072</v>
      </c>
      <c r="F1177" t="s">
        <v>1</v>
      </c>
      <c r="G1177" t="s">
        <v>412</v>
      </c>
      <c r="H1177" t="s">
        <v>412</v>
      </c>
      <c r="I1177">
        <v>6369</v>
      </c>
      <c r="J1177">
        <v>21</v>
      </c>
      <c r="K1177" t="s">
        <v>33</v>
      </c>
      <c r="L1177">
        <v>6127</v>
      </c>
      <c r="M1177" t="s">
        <v>118</v>
      </c>
      <c r="N1177">
        <v>1</v>
      </c>
      <c r="O1177" t="s">
        <v>119</v>
      </c>
      <c r="P1177" t="s">
        <v>1700</v>
      </c>
      <c r="Q1177">
        <v>902.08</v>
      </c>
      <c r="R1177">
        <v>35100</v>
      </c>
      <c r="S1177">
        <v>234</v>
      </c>
      <c r="T1177">
        <v>150</v>
      </c>
      <c r="U1177">
        <v>26</v>
      </c>
      <c r="V1177">
        <v>1444.5</v>
      </c>
      <c r="W1177" t="s">
        <v>121</v>
      </c>
      <c r="X1177" t="s">
        <v>1</v>
      </c>
      <c r="Y1177">
        <v>1303054.56</v>
      </c>
      <c r="Z1177">
        <v>50701950</v>
      </c>
      <c r="AA1177">
        <v>216675</v>
      </c>
      <c r="AB1177">
        <v>210</v>
      </c>
      <c r="AC1177" s="34">
        <v>45993</v>
      </c>
      <c r="AD1177" s="34">
        <v>46142</v>
      </c>
      <c r="AF1177">
        <v>0</v>
      </c>
      <c r="AG1177">
        <v>11841.19</v>
      </c>
      <c r="AH1177">
        <v>0</v>
      </c>
      <c r="AI1177">
        <v>17104598.960000001</v>
      </c>
      <c r="AJ1177">
        <v>0</v>
      </c>
      <c r="AK1177">
        <v>0</v>
      </c>
      <c r="AL1177">
        <v>4293256.2300000004</v>
      </c>
      <c r="AM1177">
        <v>0</v>
      </c>
      <c r="AN1177">
        <v>21397855.190000001</v>
      </c>
      <c r="AO1177" t="s">
        <v>122</v>
      </c>
      <c r="AP1177">
        <v>12</v>
      </c>
      <c r="AQ1177">
        <v>1420.95</v>
      </c>
      <c r="AR1177">
        <v>2052562.28</v>
      </c>
      <c r="AT1177">
        <v>21060</v>
      </c>
      <c r="AU1177">
        <v>541.25</v>
      </c>
      <c r="AV1177">
        <v>30421170</v>
      </c>
      <c r="AW1177">
        <v>781835.63</v>
      </c>
    </row>
    <row r="1178" spans="1:49" hidden="1" x14ac:dyDescent="0.35">
      <c r="A1178">
        <v>5860510</v>
      </c>
      <c r="B1178">
        <v>1090005860501</v>
      </c>
      <c r="D1178">
        <v>30712215646</v>
      </c>
      <c r="E1178" t="s">
        <v>1072</v>
      </c>
      <c r="F1178" t="s">
        <v>1</v>
      </c>
      <c r="G1178" t="s">
        <v>412</v>
      </c>
      <c r="H1178" t="s">
        <v>412</v>
      </c>
      <c r="I1178">
        <v>6369</v>
      </c>
      <c r="J1178">
        <v>21</v>
      </c>
      <c r="K1178" t="s">
        <v>33</v>
      </c>
      <c r="L1178">
        <v>6127</v>
      </c>
      <c r="M1178" t="s">
        <v>118</v>
      </c>
      <c r="N1178">
        <v>2</v>
      </c>
      <c r="O1178" t="s">
        <v>119</v>
      </c>
      <c r="P1178" t="s">
        <v>1701</v>
      </c>
      <c r="Q1178">
        <v>1010.02</v>
      </c>
      <c r="R1178">
        <v>39300</v>
      </c>
      <c r="S1178">
        <v>262</v>
      </c>
      <c r="T1178">
        <v>150</v>
      </c>
      <c r="U1178">
        <v>26</v>
      </c>
      <c r="V1178">
        <v>1444.5</v>
      </c>
      <c r="W1178" t="s">
        <v>121</v>
      </c>
      <c r="X1178" t="s">
        <v>1</v>
      </c>
      <c r="Y1178">
        <v>1458973.89</v>
      </c>
      <c r="Z1178">
        <v>56768850</v>
      </c>
      <c r="AA1178">
        <v>216675</v>
      </c>
      <c r="AB1178">
        <v>210</v>
      </c>
      <c r="AC1178" s="34">
        <v>45993</v>
      </c>
      <c r="AD1178" s="34">
        <v>46142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 t="s">
        <v>122</v>
      </c>
      <c r="AT1178">
        <v>23580</v>
      </c>
      <c r="AU1178">
        <v>606.02</v>
      </c>
      <c r="AV1178">
        <v>34061310</v>
      </c>
      <c r="AW1178">
        <v>875395.89</v>
      </c>
    </row>
    <row r="1179" spans="1:49" hidden="1" x14ac:dyDescent="0.35">
      <c r="A1179">
        <v>5860510</v>
      </c>
      <c r="B1179">
        <v>1090005860501</v>
      </c>
      <c r="D1179">
        <v>30712215646</v>
      </c>
      <c r="E1179" t="s">
        <v>1072</v>
      </c>
      <c r="F1179" t="s">
        <v>1</v>
      </c>
      <c r="G1179" t="s">
        <v>395</v>
      </c>
      <c r="H1179" t="s">
        <v>56</v>
      </c>
      <c r="I1179">
        <v>6380</v>
      </c>
      <c r="J1179">
        <v>21</v>
      </c>
      <c r="K1179" t="s">
        <v>33</v>
      </c>
      <c r="L1179">
        <v>6127</v>
      </c>
      <c r="M1179" t="s">
        <v>118</v>
      </c>
      <c r="N1179">
        <v>3</v>
      </c>
      <c r="O1179" t="s">
        <v>119</v>
      </c>
      <c r="P1179" t="s">
        <v>1702</v>
      </c>
      <c r="Q1179">
        <v>327.69</v>
      </c>
      <c r="R1179">
        <v>12750</v>
      </c>
      <c r="S1179">
        <v>85</v>
      </c>
      <c r="T1179">
        <v>150</v>
      </c>
      <c r="U1179">
        <v>26</v>
      </c>
      <c r="V1179">
        <v>1444.5</v>
      </c>
      <c r="W1179" t="s">
        <v>121</v>
      </c>
      <c r="X1179" t="s">
        <v>1</v>
      </c>
      <c r="Y1179">
        <v>473348.21</v>
      </c>
      <c r="Z1179">
        <v>18417375</v>
      </c>
      <c r="AA1179">
        <v>216675</v>
      </c>
      <c r="AB1179">
        <v>210</v>
      </c>
      <c r="AC1179" s="34">
        <v>45993</v>
      </c>
      <c r="AD1179" s="34">
        <v>46142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 t="s">
        <v>122</v>
      </c>
      <c r="AT1179">
        <v>7650</v>
      </c>
      <c r="AU1179">
        <v>196.62</v>
      </c>
      <c r="AV1179">
        <v>11050425</v>
      </c>
      <c r="AW1179">
        <v>284017.59000000003</v>
      </c>
    </row>
    <row r="1180" spans="1:49" hidden="1" x14ac:dyDescent="0.35">
      <c r="A1180">
        <v>5860510</v>
      </c>
      <c r="B1180">
        <v>1090005860501</v>
      </c>
      <c r="D1180">
        <v>30712215646</v>
      </c>
      <c r="E1180" t="s">
        <v>1072</v>
      </c>
      <c r="F1180" t="s">
        <v>1</v>
      </c>
      <c r="G1180" t="s">
        <v>568</v>
      </c>
      <c r="H1180" t="s">
        <v>57</v>
      </c>
      <c r="I1180">
        <v>6360</v>
      </c>
      <c r="J1180">
        <v>21</v>
      </c>
      <c r="K1180" t="s">
        <v>33</v>
      </c>
      <c r="L1180">
        <v>6127</v>
      </c>
      <c r="M1180" t="s">
        <v>118</v>
      </c>
      <c r="N1180">
        <v>4</v>
      </c>
      <c r="O1180" t="s">
        <v>119</v>
      </c>
      <c r="P1180" t="s">
        <v>1703</v>
      </c>
      <c r="Q1180">
        <v>366.24</v>
      </c>
      <c r="R1180">
        <v>14250</v>
      </c>
      <c r="S1180">
        <v>95</v>
      </c>
      <c r="T1180">
        <v>150</v>
      </c>
      <c r="U1180">
        <v>26</v>
      </c>
      <c r="V1180">
        <v>1444.5</v>
      </c>
      <c r="W1180" t="s">
        <v>121</v>
      </c>
      <c r="X1180" t="s">
        <v>1</v>
      </c>
      <c r="Y1180">
        <v>529033.68000000005</v>
      </c>
      <c r="Z1180">
        <v>20584125</v>
      </c>
      <c r="AA1180">
        <v>216675</v>
      </c>
      <c r="AB1180">
        <v>210</v>
      </c>
      <c r="AC1180" s="34">
        <v>45993</v>
      </c>
      <c r="AD1180" s="34">
        <v>46142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 t="s">
        <v>122</v>
      </c>
      <c r="AT1180">
        <v>8550</v>
      </c>
      <c r="AU1180">
        <v>219.75</v>
      </c>
      <c r="AV1180">
        <v>12350475</v>
      </c>
      <c r="AW1180">
        <v>317428.88</v>
      </c>
    </row>
    <row r="1181" spans="1:49" hidden="1" x14ac:dyDescent="0.35">
      <c r="A1181">
        <v>5860510</v>
      </c>
      <c r="B1181">
        <v>1090005860501</v>
      </c>
      <c r="D1181">
        <v>30712215646</v>
      </c>
      <c r="E1181" t="s">
        <v>1072</v>
      </c>
      <c r="F1181" t="s">
        <v>1</v>
      </c>
      <c r="G1181" t="s">
        <v>568</v>
      </c>
      <c r="H1181" t="s">
        <v>57</v>
      </c>
      <c r="I1181">
        <v>6360</v>
      </c>
      <c r="J1181">
        <v>21</v>
      </c>
      <c r="K1181" t="s">
        <v>33</v>
      </c>
      <c r="L1181">
        <v>6127</v>
      </c>
      <c r="M1181" t="s">
        <v>118</v>
      </c>
      <c r="N1181">
        <v>5</v>
      </c>
      <c r="O1181" t="s">
        <v>119</v>
      </c>
      <c r="P1181" t="s">
        <v>1704</v>
      </c>
      <c r="Q1181">
        <v>262.14999999999998</v>
      </c>
      <c r="R1181">
        <v>10200</v>
      </c>
      <c r="S1181">
        <v>242</v>
      </c>
      <c r="T1181">
        <v>42.15</v>
      </c>
      <c r="U1181">
        <v>26</v>
      </c>
      <c r="V1181">
        <v>1444.5</v>
      </c>
      <c r="W1181" t="s">
        <v>121</v>
      </c>
      <c r="X1181" t="s">
        <v>1</v>
      </c>
      <c r="Y1181">
        <v>378675.68</v>
      </c>
      <c r="Z1181">
        <v>14733900</v>
      </c>
      <c r="AA1181">
        <v>60883.88</v>
      </c>
      <c r="AB1181">
        <v>210</v>
      </c>
      <c r="AC1181" s="34">
        <v>45993</v>
      </c>
      <c r="AD1181" s="34">
        <v>46142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 t="s">
        <v>122</v>
      </c>
      <c r="AT1181">
        <v>6120</v>
      </c>
      <c r="AU1181">
        <v>157.29</v>
      </c>
      <c r="AV1181">
        <v>8840340</v>
      </c>
      <c r="AW1181">
        <v>227205.41</v>
      </c>
    </row>
    <row r="1182" spans="1:49" hidden="1" x14ac:dyDescent="0.35">
      <c r="A1182">
        <v>5860510</v>
      </c>
      <c r="B1182">
        <v>1090005860501</v>
      </c>
      <c r="D1182">
        <v>30712215646</v>
      </c>
      <c r="E1182" t="s">
        <v>1072</v>
      </c>
      <c r="F1182" t="s">
        <v>1</v>
      </c>
      <c r="G1182" t="s">
        <v>568</v>
      </c>
      <c r="H1182" t="s">
        <v>57</v>
      </c>
      <c r="I1182">
        <v>6360</v>
      </c>
      <c r="J1182">
        <v>21</v>
      </c>
      <c r="K1182" t="s">
        <v>33</v>
      </c>
      <c r="L1182">
        <v>6127</v>
      </c>
      <c r="M1182" t="s">
        <v>118</v>
      </c>
      <c r="N1182">
        <v>6</v>
      </c>
      <c r="O1182" t="s">
        <v>119</v>
      </c>
      <c r="P1182" t="s">
        <v>1705</v>
      </c>
      <c r="Q1182">
        <v>175.8</v>
      </c>
      <c r="R1182">
        <v>6840</v>
      </c>
      <c r="S1182">
        <v>57</v>
      </c>
      <c r="T1182">
        <v>120</v>
      </c>
      <c r="U1182">
        <v>26</v>
      </c>
      <c r="V1182">
        <v>1444.5</v>
      </c>
      <c r="W1182" t="s">
        <v>121</v>
      </c>
      <c r="X1182" t="s">
        <v>1</v>
      </c>
      <c r="Y1182">
        <v>253943.1</v>
      </c>
      <c r="Z1182">
        <v>9880380</v>
      </c>
      <c r="AA1182">
        <v>173340</v>
      </c>
      <c r="AB1182">
        <v>210</v>
      </c>
      <c r="AC1182" s="34">
        <v>45993</v>
      </c>
      <c r="AD1182" s="34">
        <v>46142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 t="s">
        <v>122</v>
      </c>
      <c r="AT1182">
        <v>4104</v>
      </c>
      <c r="AU1182">
        <v>105.48</v>
      </c>
      <c r="AV1182">
        <v>5928228</v>
      </c>
      <c r="AW1182">
        <v>152365.85999999999</v>
      </c>
    </row>
    <row r="1183" spans="1:49" hidden="1" x14ac:dyDescent="0.35">
      <c r="A1183">
        <v>5860510</v>
      </c>
      <c r="B1183">
        <v>1090005860501</v>
      </c>
      <c r="D1183">
        <v>30712215646</v>
      </c>
      <c r="E1183" t="s">
        <v>1072</v>
      </c>
      <c r="F1183" t="s">
        <v>1</v>
      </c>
      <c r="G1183" t="s">
        <v>370</v>
      </c>
      <c r="H1183" t="s">
        <v>58</v>
      </c>
      <c r="I1183">
        <v>6333</v>
      </c>
      <c r="J1183">
        <v>21</v>
      </c>
      <c r="K1183" t="s">
        <v>33</v>
      </c>
      <c r="L1183">
        <v>6127</v>
      </c>
      <c r="M1183" t="s">
        <v>118</v>
      </c>
      <c r="N1183">
        <v>7</v>
      </c>
      <c r="O1183" t="s">
        <v>119</v>
      </c>
      <c r="P1183" t="s">
        <v>1706</v>
      </c>
      <c r="Q1183">
        <v>1942.93</v>
      </c>
      <c r="R1183">
        <v>75600</v>
      </c>
      <c r="S1183">
        <v>504</v>
      </c>
      <c r="T1183">
        <v>150</v>
      </c>
      <c r="U1183">
        <v>26</v>
      </c>
      <c r="V1183">
        <v>1444.5</v>
      </c>
      <c r="W1183" t="s">
        <v>121</v>
      </c>
      <c r="X1183" t="s">
        <v>1</v>
      </c>
      <c r="Y1183">
        <v>2806562.39</v>
      </c>
      <c r="Z1183">
        <v>109204200</v>
      </c>
      <c r="AA1183">
        <v>216675</v>
      </c>
      <c r="AB1183">
        <v>210</v>
      </c>
      <c r="AC1183" s="34">
        <v>45993</v>
      </c>
      <c r="AD1183" s="34">
        <v>46142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 t="s">
        <v>122</v>
      </c>
      <c r="AT1183">
        <v>45360</v>
      </c>
      <c r="AU1183">
        <v>1165.76</v>
      </c>
      <c r="AV1183">
        <v>65522520</v>
      </c>
      <c r="AW1183">
        <v>1683940.32</v>
      </c>
    </row>
    <row r="1184" spans="1:49" hidden="1" x14ac:dyDescent="0.35">
      <c r="A1184">
        <v>5860510</v>
      </c>
      <c r="B1184">
        <v>1090005860501</v>
      </c>
      <c r="D1184">
        <v>30712215646</v>
      </c>
      <c r="E1184" t="s">
        <v>1072</v>
      </c>
      <c r="F1184" t="s">
        <v>1</v>
      </c>
      <c r="G1184" t="s">
        <v>370</v>
      </c>
      <c r="H1184" t="s">
        <v>58</v>
      </c>
      <c r="I1184">
        <v>6333</v>
      </c>
      <c r="J1184">
        <v>21</v>
      </c>
      <c r="K1184" t="s">
        <v>33</v>
      </c>
      <c r="L1184">
        <v>6127</v>
      </c>
      <c r="M1184" t="s">
        <v>118</v>
      </c>
      <c r="N1184">
        <v>8</v>
      </c>
      <c r="O1184" t="s">
        <v>119</v>
      </c>
      <c r="P1184" t="s">
        <v>1717</v>
      </c>
      <c r="Q1184">
        <v>547.41999999999996</v>
      </c>
      <c r="R1184">
        <v>21300</v>
      </c>
      <c r="S1184">
        <v>142</v>
      </c>
      <c r="T1184">
        <v>150</v>
      </c>
      <c r="U1184">
        <v>26</v>
      </c>
      <c r="V1184">
        <v>1444.5</v>
      </c>
      <c r="W1184" t="s">
        <v>121</v>
      </c>
      <c r="X1184" t="s">
        <v>1</v>
      </c>
      <c r="Y1184">
        <v>790748.19</v>
      </c>
      <c r="Z1184">
        <v>30767850</v>
      </c>
      <c r="AA1184">
        <v>216675</v>
      </c>
      <c r="AB1184">
        <v>210</v>
      </c>
      <c r="AC1184" s="34">
        <v>45993</v>
      </c>
      <c r="AD1184" s="34">
        <v>46142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 t="s">
        <v>122</v>
      </c>
      <c r="AT1184">
        <v>12780</v>
      </c>
      <c r="AU1184">
        <v>328.46</v>
      </c>
      <c r="AV1184">
        <v>18460710</v>
      </c>
      <c r="AW1184">
        <v>474460.47</v>
      </c>
    </row>
    <row r="1185" spans="1:49" hidden="1" x14ac:dyDescent="0.35">
      <c r="A1185">
        <v>5860510</v>
      </c>
      <c r="B1185">
        <v>1090005860501</v>
      </c>
      <c r="D1185">
        <v>30712215646</v>
      </c>
      <c r="E1185" t="s">
        <v>1072</v>
      </c>
      <c r="F1185" t="s">
        <v>1</v>
      </c>
      <c r="G1185" t="s">
        <v>370</v>
      </c>
      <c r="H1185" t="s">
        <v>58</v>
      </c>
      <c r="I1185">
        <v>6333</v>
      </c>
      <c r="J1185">
        <v>21</v>
      </c>
      <c r="K1185" t="s">
        <v>33</v>
      </c>
      <c r="L1185">
        <v>6127</v>
      </c>
      <c r="M1185" t="s">
        <v>118</v>
      </c>
      <c r="N1185">
        <v>9</v>
      </c>
      <c r="O1185" t="s">
        <v>119</v>
      </c>
      <c r="P1185" t="s">
        <v>1718</v>
      </c>
      <c r="Q1185">
        <v>763.3</v>
      </c>
      <c r="R1185">
        <v>29700</v>
      </c>
      <c r="S1185">
        <v>198</v>
      </c>
      <c r="T1185">
        <v>150</v>
      </c>
      <c r="U1185">
        <v>26</v>
      </c>
      <c r="V1185">
        <v>1444.5</v>
      </c>
      <c r="W1185" t="s">
        <v>121</v>
      </c>
      <c r="X1185" t="s">
        <v>1</v>
      </c>
      <c r="Y1185">
        <v>1102586.8500000001</v>
      </c>
      <c r="Z1185">
        <v>42901650</v>
      </c>
      <c r="AA1185">
        <v>216675</v>
      </c>
      <c r="AB1185">
        <v>210</v>
      </c>
      <c r="AC1185" s="34">
        <v>45993</v>
      </c>
      <c r="AD1185" s="34">
        <v>46142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 t="s">
        <v>122</v>
      </c>
      <c r="AT1185">
        <v>17820</v>
      </c>
      <c r="AU1185">
        <v>457.98</v>
      </c>
      <c r="AV1185">
        <v>25740990</v>
      </c>
      <c r="AW1185">
        <v>661552.11</v>
      </c>
    </row>
    <row r="1186" spans="1:49" hidden="1" x14ac:dyDescent="0.35">
      <c r="A1186">
        <v>5860510</v>
      </c>
      <c r="B1186">
        <v>1090005860501</v>
      </c>
      <c r="D1186">
        <v>30712215646</v>
      </c>
      <c r="E1186" t="s">
        <v>1072</v>
      </c>
      <c r="F1186" t="s">
        <v>1</v>
      </c>
      <c r="G1186" t="s">
        <v>1062</v>
      </c>
      <c r="H1186" t="s">
        <v>1062</v>
      </c>
      <c r="I1186">
        <v>6330</v>
      </c>
      <c r="J1186">
        <v>21</v>
      </c>
      <c r="K1186" t="s">
        <v>33</v>
      </c>
      <c r="L1186">
        <v>6127</v>
      </c>
      <c r="M1186" t="s">
        <v>118</v>
      </c>
      <c r="N1186">
        <v>10</v>
      </c>
      <c r="O1186" t="s">
        <v>119</v>
      </c>
      <c r="P1186" t="s">
        <v>1709</v>
      </c>
      <c r="Q1186">
        <v>832.69</v>
      </c>
      <c r="R1186">
        <v>32400</v>
      </c>
      <c r="S1186">
        <v>216</v>
      </c>
      <c r="T1186">
        <v>150</v>
      </c>
      <c r="U1186">
        <v>26</v>
      </c>
      <c r="V1186">
        <v>1444.5</v>
      </c>
      <c r="W1186" t="s">
        <v>121</v>
      </c>
      <c r="X1186" t="s">
        <v>1</v>
      </c>
      <c r="Y1186">
        <v>1202820.71</v>
      </c>
      <c r="Z1186">
        <v>46801800</v>
      </c>
      <c r="AA1186">
        <v>216675</v>
      </c>
      <c r="AB1186">
        <v>210</v>
      </c>
      <c r="AC1186" s="34">
        <v>45993</v>
      </c>
      <c r="AD1186" s="34">
        <v>46142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 t="s">
        <v>122</v>
      </c>
      <c r="AT1186">
        <v>19440</v>
      </c>
      <c r="AU1186">
        <v>499.62</v>
      </c>
      <c r="AV1186">
        <v>28081080</v>
      </c>
      <c r="AW1186">
        <v>721701.09</v>
      </c>
    </row>
    <row r="1187" spans="1:49" hidden="1" x14ac:dyDescent="0.35">
      <c r="A1187">
        <v>5860510</v>
      </c>
      <c r="B1187">
        <v>1090005860501</v>
      </c>
      <c r="D1187">
        <v>30712215646</v>
      </c>
      <c r="E1187" t="s">
        <v>1072</v>
      </c>
      <c r="F1187" t="s">
        <v>1</v>
      </c>
      <c r="G1187" t="s">
        <v>1062</v>
      </c>
      <c r="H1187" t="s">
        <v>1062</v>
      </c>
      <c r="I1187">
        <v>6330</v>
      </c>
      <c r="J1187">
        <v>21</v>
      </c>
      <c r="K1187" t="s">
        <v>33</v>
      </c>
      <c r="L1187">
        <v>6127</v>
      </c>
      <c r="M1187" t="s">
        <v>118</v>
      </c>
      <c r="N1187">
        <v>11</v>
      </c>
      <c r="O1187" t="s">
        <v>119</v>
      </c>
      <c r="P1187" t="s">
        <v>1710</v>
      </c>
      <c r="Q1187">
        <v>578.26</v>
      </c>
      <c r="R1187">
        <v>22500</v>
      </c>
      <c r="S1187">
        <v>150</v>
      </c>
      <c r="T1187">
        <v>150</v>
      </c>
      <c r="U1187">
        <v>26</v>
      </c>
      <c r="V1187">
        <v>1444.5</v>
      </c>
      <c r="W1187" t="s">
        <v>121</v>
      </c>
      <c r="X1187" t="s">
        <v>1</v>
      </c>
      <c r="Y1187">
        <v>835296.57</v>
      </c>
      <c r="Z1187">
        <v>32501250</v>
      </c>
      <c r="AA1187">
        <v>216675</v>
      </c>
      <c r="AB1187">
        <v>210</v>
      </c>
      <c r="AC1187" s="34">
        <v>45993</v>
      </c>
      <c r="AD1187" s="34">
        <v>46142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 t="s">
        <v>122</v>
      </c>
      <c r="AT1187">
        <v>13500</v>
      </c>
      <c r="AU1187">
        <v>346.96</v>
      </c>
      <c r="AV1187">
        <v>19500750</v>
      </c>
      <c r="AW1187">
        <v>501183.72</v>
      </c>
    </row>
    <row r="1188" spans="1:49" hidden="1" x14ac:dyDescent="0.35">
      <c r="A1188">
        <v>5860510</v>
      </c>
      <c r="B1188">
        <v>1090005860501</v>
      </c>
      <c r="D1188">
        <v>30712215646</v>
      </c>
      <c r="E1188" t="s">
        <v>1072</v>
      </c>
      <c r="F1188" t="s">
        <v>1</v>
      </c>
      <c r="G1188" t="s">
        <v>1062</v>
      </c>
      <c r="H1188" t="s">
        <v>1062</v>
      </c>
      <c r="I1188">
        <v>6330</v>
      </c>
      <c r="J1188">
        <v>21</v>
      </c>
      <c r="K1188" t="s">
        <v>33</v>
      </c>
      <c r="L1188">
        <v>6127</v>
      </c>
      <c r="M1188" t="s">
        <v>118</v>
      </c>
      <c r="N1188">
        <v>12</v>
      </c>
      <c r="O1188" t="s">
        <v>119</v>
      </c>
      <c r="P1188" t="s">
        <v>1711</v>
      </c>
      <c r="Q1188">
        <v>971.47</v>
      </c>
      <c r="R1188">
        <v>37800</v>
      </c>
      <c r="S1188">
        <v>252</v>
      </c>
      <c r="T1188">
        <v>150</v>
      </c>
      <c r="U1188">
        <v>26</v>
      </c>
      <c r="V1188">
        <v>1444.5</v>
      </c>
      <c r="W1188" t="s">
        <v>121</v>
      </c>
      <c r="X1188" t="s">
        <v>1</v>
      </c>
      <c r="Y1188">
        <v>1403288.42</v>
      </c>
      <c r="Z1188">
        <v>54602100</v>
      </c>
      <c r="AA1188">
        <v>216675</v>
      </c>
      <c r="AB1188">
        <v>210</v>
      </c>
      <c r="AC1188" s="34">
        <v>45993</v>
      </c>
      <c r="AD1188" s="34">
        <v>46142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 t="s">
        <v>122</v>
      </c>
      <c r="AT1188">
        <v>22680</v>
      </c>
      <c r="AU1188">
        <v>582.89</v>
      </c>
      <c r="AV1188">
        <v>32761260</v>
      </c>
      <c r="AW1188">
        <v>841984.61</v>
      </c>
    </row>
    <row r="1189" spans="1:49" hidden="1" x14ac:dyDescent="0.35">
      <c r="A1189">
        <v>5860510</v>
      </c>
      <c r="B1189">
        <v>1090005860501</v>
      </c>
      <c r="D1189">
        <v>30712215646</v>
      </c>
      <c r="E1189" t="s">
        <v>1072</v>
      </c>
      <c r="F1189" t="s">
        <v>1</v>
      </c>
      <c r="G1189" t="s">
        <v>1712</v>
      </c>
      <c r="H1189" t="s">
        <v>1637</v>
      </c>
      <c r="I1189">
        <v>6387</v>
      </c>
      <c r="J1189">
        <v>21</v>
      </c>
      <c r="K1189" t="s">
        <v>33</v>
      </c>
      <c r="L1189">
        <v>6127</v>
      </c>
      <c r="M1189" t="s">
        <v>118</v>
      </c>
      <c r="N1189">
        <v>13</v>
      </c>
      <c r="O1189" t="s">
        <v>119</v>
      </c>
      <c r="P1189" t="s">
        <v>1713</v>
      </c>
      <c r="Q1189">
        <v>377.8</v>
      </c>
      <c r="R1189">
        <v>14700</v>
      </c>
      <c r="S1189">
        <v>98</v>
      </c>
      <c r="T1189">
        <v>150</v>
      </c>
      <c r="U1189">
        <v>26</v>
      </c>
      <c r="V1189">
        <v>1444.5</v>
      </c>
      <c r="W1189" t="s">
        <v>121</v>
      </c>
      <c r="X1189" t="s">
        <v>1</v>
      </c>
      <c r="Y1189">
        <v>545732.1</v>
      </c>
      <c r="Z1189">
        <v>21234150</v>
      </c>
      <c r="AA1189">
        <v>216675</v>
      </c>
      <c r="AB1189">
        <v>210</v>
      </c>
      <c r="AC1189" s="34">
        <v>45993</v>
      </c>
      <c r="AD1189" s="34">
        <v>46142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 t="s">
        <v>122</v>
      </c>
      <c r="AT1189">
        <v>8820</v>
      </c>
      <c r="AU1189">
        <v>226.68</v>
      </c>
      <c r="AV1189">
        <v>12740490</v>
      </c>
      <c r="AW1189">
        <v>327439.26</v>
      </c>
    </row>
    <row r="1190" spans="1:49" hidden="1" x14ac:dyDescent="0.35">
      <c r="A1190">
        <v>5860510</v>
      </c>
      <c r="B1190">
        <v>1090005860501</v>
      </c>
      <c r="D1190">
        <v>30712215646</v>
      </c>
      <c r="E1190" t="s">
        <v>1072</v>
      </c>
      <c r="F1190" t="s">
        <v>1</v>
      </c>
      <c r="G1190" t="s">
        <v>1712</v>
      </c>
      <c r="H1190" t="s">
        <v>1637</v>
      </c>
      <c r="I1190">
        <v>6387</v>
      </c>
      <c r="J1190">
        <v>21</v>
      </c>
      <c r="K1190" t="s">
        <v>33</v>
      </c>
      <c r="L1190">
        <v>6127</v>
      </c>
      <c r="M1190" t="s">
        <v>118</v>
      </c>
      <c r="N1190">
        <v>14</v>
      </c>
      <c r="O1190" t="s">
        <v>119</v>
      </c>
      <c r="P1190" t="s">
        <v>1714</v>
      </c>
      <c r="Q1190">
        <v>555.13</v>
      </c>
      <c r="R1190">
        <v>21600</v>
      </c>
      <c r="S1190">
        <v>144</v>
      </c>
      <c r="T1190">
        <v>150</v>
      </c>
      <c r="U1190">
        <v>26</v>
      </c>
      <c r="V1190">
        <v>1444.5</v>
      </c>
      <c r="W1190" t="s">
        <v>121</v>
      </c>
      <c r="X1190" t="s">
        <v>1</v>
      </c>
      <c r="Y1190">
        <v>801885.29</v>
      </c>
      <c r="Z1190">
        <v>31201200</v>
      </c>
      <c r="AA1190">
        <v>216675</v>
      </c>
      <c r="AB1190">
        <v>210</v>
      </c>
      <c r="AC1190" s="34">
        <v>45993</v>
      </c>
      <c r="AD1190" s="34">
        <v>46142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 t="s">
        <v>122</v>
      </c>
      <c r="AT1190">
        <v>12960</v>
      </c>
      <c r="AU1190">
        <v>333.08</v>
      </c>
      <c r="AV1190">
        <v>18720720</v>
      </c>
      <c r="AW1190">
        <v>481134.06</v>
      </c>
    </row>
    <row r="1191" spans="1:49" hidden="1" x14ac:dyDescent="0.35">
      <c r="A1191">
        <v>5860510</v>
      </c>
      <c r="B1191">
        <v>1090005860501</v>
      </c>
      <c r="D1191">
        <v>30712215646</v>
      </c>
      <c r="E1191" t="s">
        <v>1072</v>
      </c>
      <c r="F1191" t="s">
        <v>1</v>
      </c>
      <c r="G1191" t="s">
        <v>1712</v>
      </c>
      <c r="H1191" t="s">
        <v>1637</v>
      </c>
      <c r="I1191">
        <v>6387</v>
      </c>
      <c r="J1191">
        <v>21</v>
      </c>
      <c r="K1191" t="s">
        <v>33</v>
      </c>
      <c r="L1191">
        <v>6127</v>
      </c>
      <c r="M1191" t="s">
        <v>118</v>
      </c>
      <c r="N1191">
        <v>15</v>
      </c>
      <c r="O1191" t="s">
        <v>119</v>
      </c>
      <c r="P1191" t="s">
        <v>1715</v>
      </c>
      <c r="Q1191">
        <v>1139.1600000000001</v>
      </c>
      <c r="R1191">
        <v>44325</v>
      </c>
      <c r="S1191">
        <v>591</v>
      </c>
      <c r="T1191">
        <v>75</v>
      </c>
      <c r="U1191">
        <v>26</v>
      </c>
      <c r="V1191">
        <v>1444.5</v>
      </c>
      <c r="W1191" t="s">
        <v>121</v>
      </c>
      <c r="X1191" t="s">
        <v>1</v>
      </c>
      <c r="Y1191">
        <v>1645516.62</v>
      </c>
      <c r="Z1191">
        <v>64027462.5</v>
      </c>
      <c r="AA1191">
        <v>108337.5</v>
      </c>
      <c r="AB1191">
        <v>210</v>
      </c>
      <c r="AC1191" s="34">
        <v>45993</v>
      </c>
      <c r="AD1191" s="34">
        <v>46142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 t="s">
        <v>122</v>
      </c>
      <c r="AT1191">
        <v>26595</v>
      </c>
      <c r="AU1191">
        <v>683.5</v>
      </c>
      <c r="AV1191">
        <v>38416477.5</v>
      </c>
      <c r="AW1191">
        <v>987315.75</v>
      </c>
    </row>
    <row r="1192" spans="1:49" hidden="1" x14ac:dyDescent="0.35">
      <c r="A1192">
        <v>5860510</v>
      </c>
      <c r="B1192">
        <v>1090005860501</v>
      </c>
      <c r="D1192">
        <v>30712215646</v>
      </c>
      <c r="E1192" t="s">
        <v>1072</v>
      </c>
      <c r="F1192" t="s">
        <v>1</v>
      </c>
      <c r="G1192" t="s">
        <v>1712</v>
      </c>
      <c r="H1192" t="s">
        <v>1637</v>
      </c>
      <c r="I1192">
        <v>6387</v>
      </c>
      <c r="J1192">
        <v>21</v>
      </c>
      <c r="K1192" t="s">
        <v>33</v>
      </c>
      <c r="L1192">
        <v>6127</v>
      </c>
      <c r="M1192" t="s">
        <v>118</v>
      </c>
      <c r="N1192">
        <v>16</v>
      </c>
      <c r="O1192" t="s">
        <v>119</v>
      </c>
      <c r="P1192" t="s">
        <v>1719</v>
      </c>
      <c r="Q1192">
        <v>1089.05</v>
      </c>
      <c r="R1192">
        <v>42375</v>
      </c>
      <c r="S1192">
        <v>565</v>
      </c>
      <c r="T1192">
        <v>75</v>
      </c>
      <c r="U1192">
        <v>26</v>
      </c>
      <c r="V1192">
        <v>1444.5</v>
      </c>
      <c r="W1192" t="s">
        <v>121</v>
      </c>
      <c r="X1192" t="s">
        <v>1</v>
      </c>
      <c r="Y1192">
        <v>1573132.73</v>
      </c>
      <c r="Z1192">
        <v>61210687.5</v>
      </c>
      <c r="AA1192">
        <v>108337.5</v>
      </c>
      <c r="AB1192">
        <v>210</v>
      </c>
      <c r="AC1192" s="34">
        <v>45993</v>
      </c>
      <c r="AD1192" s="34">
        <v>46142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 t="s">
        <v>122</v>
      </c>
      <c r="AT1192">
        <v>25425</v>
      </c>
      <c r="AU1192">
        <v>653.42999999999995</v>
      </c>
      <c r="AV1192">
        <v>36726412.5</v>
      </c>
      <c r="AW1192">
        <v>943879.64</v>
      </c>
    </row>
    <row r="1193" spans="1:49" hidden="1" x14ac:dyDescent="0.35">
      <c r="A1193">
        <v>5860610</v>
      </c>
      <c r="B1193">
        <v>1250005860601</v>
      </c>
      <c r="D1193">
        <v>27103193848</v>
      </c>
      <c r="E1193" t="s">
        <v>1720</v>
      </c>
      <c r="F1193" t="s">
        <v>1</v>
      </c>
      <c r="G1193" t="s">
        <v>159</v>
      </c>
      <c r="H1193" t="s">
        <v>48</v>
      </c>
      <c r="I1193">
        <v>6120</v>
      </c>
      <c r="J1193">
        <v>3</v>
      </c>
      <c r="K1193" t="s">
        <v>32</v>
      </c>
      <c r="L1193">
        <v>4401</v>
      </c>
      <c r="M1193" t="s">
        <v>132</v>
      </c>
      <c r="N1193">
        <v>1</v>
      </c>
      <c r="O1193" t="s">
        <v>119</v>
      </c>
      <c r="P1193" t="s">
        <v>1721</v>
      </c>
      <c r="Q1193">
        <v>400000</v>
      </c>
      <c r="R1193">
        <v>10000000</v>
      </c>
      <c r="S1193">
        <v>50</v>
      </c>
      <c r="T1193">
        <v>200000</v>
      </c>
      <c r="U1193">
        <v>1</v>
      </c>
      <c r="V1193">
        <v>1</v>
      </c>
      <c r="W1193" t="s">
        <v>121</v>
      </c>
      <c r="X1193" t="s">
        <v>1</v>
      </c>
      <c r="Y1193">
        <v>400000</v>
      </c>
      <c r="Z1193">
        <v>10000000</v>
      </c>
      <c r="AA1193">
        <v>200000</v>
      </c>
      <c r="AB1193">
        <v>105</v>
      </c>
      <c r="AC1193" s="34">
        <v>46047</v>
      </c>
      <c r="AD1193" s="34">
        <v>46173</v>
      </c>
      <c r="AE1193" t="s">
        <v>161</v>
      </c>
      <c r="AF1193">
        <v>0</v>
      </c>
      <c r="AG1193">
        <v>400000</v>
      </c>
      <c r="AH1193">
        <v>0</v>
      </c>
      <c r="AI1193">
        <v>400000</v>
      </c>
      <c r="AJ1193">
        <v>0</v>
      </c>
      <c r="AK1193">
        <v>0</v>
      </c>
      <c r="AL1193">
        <v>104400</v>
      </c>
      <c r="AM1193">
        <v>0</v>
      </c>
      <c r="AN1193">
        <v>504400</v>
      </c>
      <c r="AO1193" t="s">
        <v>122</v>
      </c>
      <c r="AP1193">
        <v>15</v>
      </c>
      <c r="AQ1193">
        <v>60000</v>
      </c>
      <c r="AR1193">
        <v>60000</v>
      </c>
      <c r="AT1193">
        <v>6000000</v>
      </c>
      <c r="AU1193">
        <v>240000</v>
      </c>
      <c r="AV1193">
        <v>6000000</v>
      </c>
      <c r="AW1193">
        <v>240000</v>
      </c>
    </row>
    <row r="1194" spans="1:49" hidden="1" x14ac:dyDescent="0.35">
      <c r="A1194">
        <v>5860710</v>
      </c>
      <c r="B1194">
        <v>1250005860701</v>
      </c>
      <c r="D1194">
        <v>27103193848</v>
      </c>
      <c r="E1194" t="s">
        <v>1720</v>
      </c>
      <c r="F1194" t="s">
        <v>1</v>
      </c>
      <c r="G1194" t="s">
        <v>159</v>
      </c>
      <c r="H1194" t="s">
        <v>48</v>
      </c>
      <c r="I1194">
        <v>6120</v>
      </c>
      <c r="J1194">
        <v>3</v>
      </c>
      <c r="K1194" t="s">
        <v>32</v>
      </c>
      <c r="L1194">
        <v>4401</v>
      </c>
      <c r="M1194" t="s">
        <v>132</v>
      </c>
      <c r="N1194">
        <v>1</v>
      </c>
      <c r="O1194" t="s">
        <v>119</v>
      </c>
      <c r="P1194" t="s">
        <v>1722</v>
      </c>
      <c r="Q1194">
        <v>480000</v>
      </c>
      <c r="R1194">
        <v>12000000</v>
      </c>
      <c r="S1194">
        <v>60</v>
      </c>
      <c r="T1194">
        <v>200000</v>
      </c>
      <c r="U1194">
        <v>1</v>
      </c>
      <c r="V1194">
        <v>1</v>
      </c>
      <c r="W1194" t="s">
        <v>121</v>
      </c>
      <c r="X1194" t="s">
        <v>1</v>
      </c>
      <c r="Y1194">
        <v>480000</v>
      </c>
      <c r="Z1194">
        <v>12000000</v>
      </c>
      <c r="AA1194">
        <v>200000</v>
      </c>
      <c r="AB1194">
        <v>105</v>
      </c>
      <c r="AC1194" s="34">
        <v>46047</v>
      </c>
      <c r="AD1194" s="34">
        <v>46188</v>
      </c>
      <c r="AE1194" t="s">
        <v>161</v>
      </c>
      <c r="AF1194">
        <v>0</v>
      </c>
      <c r="AG1194">
        <v>480000</v>
      </c>
      <c r="AH1194">
        <v>0</v>
      </c>
      <c r="AI1194">
        <v>480000</v>
      </c>
      <c r="AJ1194">
        <v>0</v>
      </c>
      <c r="AK1194">
        <v>0</v>
      </c>
      <c r="AL1194">
        <v>125280</v>
      </c>
      <c r="AM1194">
        <v>0</v>
      </c>
      <c r="AN1194">
        <v>605280</v>
      </c>
      <c r="AO1194" t="s">
        <v>122</v>
      </c>
      <c r="AP1194">
        <v>15</v>
      </c>
      <c r="AQ1194">
        <v>72000</v>
      </c>
      <c r="AR1194">
        <v>72000</v>
      </c>
      <c r="AT1194">
        <v>7200000</v>
      </c>
      <c r="AU1194">
        <v>288000</v>
      </c>
      <c r="AV1194">
        <v>7200000</v>
      </c>
      <c r="AW1194">
        <v>288000</v>
      </c>
    </row>
    <row r="1195" spans="1:49" hidden="1" x14ac:dyDescent="0.35">
      <c r="A1195">
        <v>5860810</v>
      </c>
      <c r="B1195">
        <v>1090005860801</v>
      </c>
      <c r="D1195">
        <v>30712215646</v>
      </c>
      <c r="E1195" t="s">
        <v>1072</v>
      </c>
      <c r="F1195" t="s">
        <v>1</v>
      </c>
      <c r="G1195" t="s">
        <v>370</v>
      </c>
      <c r="H1195" t="s">
        <v>58</v>
      </c>
      <c r="I1195">
        <v>6333</v>
      </c>
      <c r="J1195">
        <v>21</v>
      </c>
      <c r="K1195" t="s">
        <v>33</v>
      </c>
      <c r="L1195">
        <v>6127</v>
      </c>
      <c r="M1195" t="s">
        <v>118</v>
      </c>
      <c r="N1195">
        <v>1</v>
      </c>
      <c r="O1195" t="s">
        <v>119</v>
      </c>
      <c r="P1195" t="s">
        <v>1723</v>
      </c>
      <c r="Q1195">
        <v>1901.8</v>
      </c>
      <c r="R1195">
        <v>74000</v>
      </c>
      <c r="S1195">
        <v>185</v>
      </c>
      <c r="T1195">
        <v>400</v>
      </c>
      <c r="U1195">
        <v>26</v>
      </c>
      <c r="V1195">
        <v>1447</v>
      </c>
      <c r="W1195" t="s">
        <v>121</v>
      </c>
      <c r="X1195" t="s">
        <v>1</v>
      </c>
      <c r="Y1195">
        <v>2751904.6</v>
      </c>
      <c r="Z1195">
        <v>107078000</v>
      </c>
      <c r="AA1195">
        <v>578800</v>
      </c>
      <c r="AB1195">
        <v>106</v>
      </c>
      <c r="AC1195" s="34">
        <v>45977</v>
      </c>
      <c r="AD1195" s="34">
        <v>46188</v>
      </c>
      <c r="AF1195">
        <v>0</v>
      </c>
      <c r="AG1195">
        <v>2621.4</v>
      </c>
      <c r="AH1195">
        <v>0</v>
      </c>
      <c r="AI1195">
        <v>3793165.8</v>
      </c>
      <c r="AJ1195">
        <v>0</v>
      </c>
      <c r="AK1195">
        <v>0</v>
      </c>
      <c r="AL1195">
        <v>952082.59</v>
      </c>
      <c r="AM1195">
        <v>0</v>
      </c>
      <c r="AN1195">
        <v>4745248.3899999997</v>
      </c>
      <c r="AO1195" t="s">
        <v>122</v>
      </c>
      <c r="AP1195">
        <v>12</v>
      </c>
      <c r="AQ1195">
        <v>314.57</v>
      </c>
      <c r="AR1195">
        <v>455182.79</v>
      </c>
      <c r="AT1195">
        <v>44400</v>
      </c>
      <c r="AU1195">
        <v>1141.08</v>
      </c>
      <c r="AV1195">
        <v>64246800</v>
      </c>
      <c r="AW1195">
        <v>1651142.76</v>
      </c>
    </row>
    <row r="1196" spans="1:49" hidden="1" x14ac:dyDescent="0.35">
      <c r="A1196">
        <v>5860810</v>
      </c>
      <c r="B1196">
        <v>1090005860801</v>
      </c>
      <c r="D1196">
        <v>30712215646</v>
      </c>
      <c r="E1196" t="s">
        <v>1072</v>
      </c>
      <c r="F1196" t="s">
        <v>1</v>
      </c>
      <c r="G1196" t="s">
        <v>56</v>
      </c>
      <c r="H1196" t="s">
        <v>56</v>
      </c>
      <c r="I1196">
        <v>6381</v>
      </c>
      <c r="J1196">
        <v>21</v>
      </c>
      <c r="K1196" t="s">
        <v>33</v>
      </c>
      <c r="L1196">
        <v>6127</v>
      </c>
      <c r="M1196" t="s">
        <v>118</v>
      </c>
      <c r="N1196">
        <v>2</v>
      </c>
      <c r="O1196" t="s">
        <v>119</v>
      </c>
      <c r="P1196" t="s">
        <v>1724</v>
      </c>
      <c r="Q1196">
        <v>719.6</v>
      </c>
      <c r="R1196">
        <v>28000</v>
      </c>
      <c r="S1196">
        <v>70</v>
      </c>
      <c r="T1196">
        <v>400</v>
      </c>
      <c r="U1196">
        <v>26</v>
      </c>
      <c r="V1196">
        <v>1447</v>
      </c>
      <c r="W1196" t="s">
        <v>121</v>
      </c>
      <c r="X1196" t="s">
        <v>1</v>
      </c>
      <c r="Y1196">
        <v>1041261.2</v>
      </c>
      <c r="Z1196">
        <v>40516000</v>
      </c>
      <c r="AA1196">
        <v>578800</v>
      </c>
      <c r="AB1196">
        <v>106</v>
      </c>
      <c r="AC1196" s="34">
        <v>45977</v>
      </c>
      <c r="AD1196" s="34">
        <v>46188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 t="s">
        <v>122</v>
      </c>
      <c r="AT1196">
        <v>16800</v>
      </c>
      <c r="AU1196">
        <v>431.76</v>
      </c>
      <c r="AV1196">
        <v>24309600</v>
      </c>
      <c r="AW1196">
        <v>624756.72</v>
      </c>
    </row>
    <row r="1197" spans="1:49" hidden="1" x14ac:dyDescent="0.35">
      <c r="A1197">
        <v>5860910</v>
      </c>
      <c r="B1197">
        <v>1080005860901</v>
      </c>
      <c r="D1197">
        <v>30665274442</v>
      </c>
      <c r="E1197" t="s">
        <v>807</v>
      </c>
      <c r="F1197" t="s">
        <v>1</v>
      </c>
      <c r="G1197" t="s">
        <v>25</v>
      </c>
      <c r="H1197" t="s">
        <v>25</v>
      </c>
      <c r="I1197">
        <v>7160</v>
      </c>
      <c r="J1197">
        <v>1</v>
      </c>
      <c r="K1197" t="s">
        <v>16</v>
      </c>
      <c r="L1197">
        <v>7999</v>
      </c>
      <c r="M1197" t="s">
        <v>691</v>
      </c>
      <c r="N1197">
        <v>1</v>
      </c>
      <c r="O1197" t="s">
        <v>119</v>
      </c>
      <c r="P1197" t="s">
        <v>1725</v>
      </c>
      <c r="Q1197">
        <v>3484.8</v>
      </c>
      <c r="R1197">
        <v>88000</v>
      </c>
      <c r="S1197">
        <v>110</v>
      </c>
      <c r="T1197">
        <v>800</v>
      </c>
      <c r="U1197">
        <v>26</v>
      </c>
      <c r="V1197">
        <v>1447</v>
      </c>
      <c r="W1197" t="s">
        <v>121</v>
      </c>
      <c r="X1197" t="s">
        <v>1</v>
      </c>
      <c r="Y1197">
        <v>5042505.5999999996</v>
      </c>
      <c r="Z1197">
        <v>127336000</v>
      </c>
      <c r="AA1197">
        <v>1157600</v>
      </c>
      <c r="AB1197">
        <v>211</v>
      </c>
      <c r="AC1197" s="34">
        <v>46017</v>
      </c>
      <c r="AD1197" s="34">
        <v>46112</v>
      </c>
      <c r="AE1197" t="s">
        <v>355</v>
      </c>
      <c r="AF1197">
        <v>0</v>
      </c>
      <c r="AG1197">
        <v>5398.27</v>
      </c>
      <c r="AH1197">
        <v>0</v>
      </c>
      <c r="AI1197">
        <v>7811296.6900000004</v>
      </c>
      <c r="AJ1197">
        <v>0</v>
      </c>
      <c r="AK1197">
        <v>0</v>
      </c>
      <c r="AL1197">
        <v>2015323.72</v>
      </c>
      <c r="AM1197">
        <v>0</v>
      </c>
      <c r="AN1197">
        <v>9826620.4100000001</v>
      </c>
      <c r="AO1197" t="s">
        <v>122</v>
      </c>
      <c r="AP1197">
        <v>12</v>
      </c>
      <c r="AQ1197">
        <v>647.79</v>
      </c>
      <c r="AR1197">
        <v>937352.13</v>
      </c>
      <c r="AT1197">
        <v>52800</v>
      </c>
      <c r="AU1197">
        <v>2090.88</v>
      </c>
      <c r="AV1197">
        <v>76401600</v>
      </c>
      <c r="AW1197">
        <v>3025503.36</v>
      </c>
    </row>
    <row r="1198" spans="1:49" hidden="1" x14ac:dyDescent="0.35">
      <c r="A1198">
        <v>5860910</v>
      </c>
      <c r="B1198">
        <v>1080005860901</v>
      </c>
      <c r="D1198">
        <v>30665274442</v>
      </c>
      <c r="E1198" t="s">
        <v>807</v>
      </c>
      <c r="F1198" t="s">
        <v>1</v>
      </c>
      <c r="G1198" t="s">
        <v>25</v>
      </c>
      <c r="H1198" t="s">
        <v>25</v>
      </c>
      <c r="I1198">
        <v>7160</v>
      </c>
      <c r="J1198">
        <v>1</v>
      </c>
      <c r="K1198" t="s">
        <v>16</v>
      </c>
      <c r="L1198">
        <v>7999</v>
      </c>
      <c r="M1198" t="s">
        <v>691</v>
      </c>
      <c r="N1198">
        <v>2</v>
      </c>
      <c r="O1198" t="s">
        <v>119</v>
      </c>
      <c r="P1198" t="s">
        <v>1726</v>
      </c>
      <c r="Q1198">
        <v>1913.47</v>
      </c>
      <c r="R1198">
        <v>48320</v>
      </c>
      <c r="S1198">
        <v>60.4</v>
      </c>
      <c r="T1198">
        <v>800</v>
      </c>
      <c r="U1198">
        <v>26</v>
      </c>
      <c r="V1198">
        <v>1447</v>
      </c>
      <c r="W1198" t="s">
        <v>121</v>
      </c>
      <c r="X1198" t="s">
        <v>1</v>
      </c>
      <c r="Y1198">
        <v>2768791.09</v>
      </c>
      <c r="Z1198">
        <v>69919040</v>
      </c>
      <c r="AA1198">
        <v>1157600</v>
      </c>
      <c r="AB1198">
        <v>211</v>
      </c>
      <c r="AC1198" s="34">
        <v>46017</v>
      </c>
      <c r="AD1198" s="34">
        <v>46112</v>
      </c>
      <c r="AE1198" t="s">
        <v>355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 t="s">
        <v>122</v>
      </c>
      <c r="AT1198">
        <v>28992</v>
      </c>
      <c r="AU1198">
        <v>1148.08</v>
      </c>
      <c r="AV1198">
        <v>41951424</v>
      </c>
      <c r="AW1198">
        <v>1661271.76</v>
      </c>
    </row>
    <row r="1199" spans="1:49" hidden="1" x14ac:dyDescent="0.35">
      <c r="A1199">
        <v>5861010</v>
      </c>
      <c r="B1199">
        <v>1080005861001</v>
      </c>
      <c r="D1199">
        <v>30665274442</v>
      </c>
      <c r="E1199" t="s">
        <v>807</v>
      </c>
      <c r="F1199" t="s">
        <v>1</v>
      </c>
      <c r="G1199" t="s">
        <v>25</v>
      </c>
      <c r="H1199" t="s">
        <v>25</v>
      </c>
      <c r="I1199">
        <v>7160</v>
      </c>
      <c r="J1199">
        <v>1</v>
      </c>
      <c r="K1199" t="s">
        <v>16</v>
      </c>
      <c r="L1199">
        <v>7999</v>
      </c>
      <c r="M1199" t="s">
        <v>691</v>
      </c>
      <c r="N1199">
        <v>1</v>
      </c>
      <c r="O1199" t="s">
        <v>119</v>
      </c>
      <c r="P1199" t="s">
        <v>1727</v>
      </c>
      <c r="Q1199">
        <v>2079</v>
      </c>
      <c r="R1199">
        <v>105000</v>
      </c>
      <c r="S1199">
        <v>150</v>
      </c>
      <c r="T1199">
        <v>700</v>
      </c>
      <c r="U1199">
        <v>26</v>
      </c>
      <c r="V1199">
        <v>1447</v>
      </c>
      <c r="W1199" t="s">
        <v>121</v>
      </c>
      <c r="X1199" t="s">
        <v>1</v>
      </c>
      <c r="Y1199">
        <v>3008313</v>
      </c>
      <c r="Z1199">
        <v>151935000</v>
      </c>
      <c r="AA1199">
        <v>1012900</v>
      </c>
      <c r="AB1199">
        <v>106</v>
      </c>
      <c r="AC1199" s="34">
        <v>46017</v>
      </c>
      <c r="AD1199" s="34">
        <v>46173</v>
      </c>
      <c r="AF1199">
        <v>0</v>
      </c>
      <c r="AG1199">
        <v>7729.86</v>
      </c>
      <c r="AH1199">
        <v>0</v>
      </c>
      <c r="AI1199">
        <v>11185107.42</v>
      </c>
      <c r="AJ1199">
        <v>0</v>
      </c>
      <c r="AK1199">
        <v>0</v>
      </c>
      <c r="AL1199">
        <v>2885766.57</v>
      </c>
      <c r="AM1199">
        <v>0</v>
      </c>
      <c r="AN1199">
        <v>14070873.99</v>
      </c>
      <c r="AO1199" t="s">
        <v>122</v>
      </c>
      <c r="AP1199">
        <v>12</v>
      </c>
      <c r="AQ1199">
        <v>927.58</v>
      </c>
      <c r="AR1199">
        <v>1342208.26</v>
      </c>
      <c r="AT1199">
        <v>63000</v>
      </c>
      <c r="AU1199">
        <v>1247.4000000000001</v>
      </c>
      <c r="AV1199">
        <v>91161000</v>
      </c>
      <c r="AW1199">
        <v>1804987.8</v>
      </c>
    </row>
    <row r="1200" spans="1:49" hidden="1" x14ac:dyDescent="0.35">
      <c r="A1200">
        <v>5861010</v>
      </c>
      <c r="B1200">
        <v>1080005861001</v>
      </c>
      <c r="D1200">
        <v>30665274442</v>
      </c>
      <c r="E1200" t="s">
        <v>807</v>
      </c>
      <c r="F1200" t="s">
        <v>1</v>
      </c>
      <c r="G1200" t="s">
        <v>25</v>
      </c>
      <c r="H1200" t="s">
        <v>25</v>
      </c>
      <c r="I1200">
        <v>7160</v>
      </c>
      <c r="J1200">
        <v>1</v>
      </c>
      <c r="K1200" t="s">
        <v>16</v>
      </c>
      <c r="L1200">
        <v>7999</v>
      </c>
      <c r="M1200" t="s">
        <v>691</v>
      </c>
      <c r="N1200">
        <v>2</v>
      </c>
      <c r="O1200" t="s">
        <v>119</v>
      </c>
      <c r="P1200" t="s">
        <v>1728</v>
      </c>
      <c r="Q1200">
        <v>1108.8</v>
      </c>
      <c r="R1200">
        <v>56000</v>
      </c>
      <c r="S1200">
        <v>80</v>
      </c>
      <c r="T1200">
        <v>700</v>
      </c>
      <c r="U1200">
        <v>26</v>
      </c>
      <c r="V1200">
        <v>1447</v>
      </c>
      <c r="W1200" t="s">
        <v>121</v>
      </c>
      <c r="X1200" t="s">
        <v>1</v>
      </c>
      <c r="Y1200">
        <v>1604433.6</v>
      </c>
      <c r="Z1200">
        <v>81032000</v>
      </c>
      <c r="AA1200">
        <v>1012900</v>
      </c>
      <c r="AB1200">
        <v>106</v>
      </c>
      <c r="AC1200" s="34">
        <v>46017</v>
      </c>
      <c r="AD1200" s="34">
        <v>46173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 t="s">
        <v>122</v>
      </c>
      <c r="AT1200">
        <v>33600</v>
      </c>
      <c r="AU1200">
        <v>665.28</v>
      </c>
      <c r="AV1200">
        <v>48619200</v>
      </c>
      <c r="AW1200">
        <v>962660.16</v>
      </c>
    </row>
    <row r="1201" spans="1:49" hidden="1" x14ac:dyDescent="0.35">
      <c r="A1201">
        <v>5861010</v>
      </c>
      <c r="B1201">
        <v>1080005861001</v>
      </c>
      <c r="D1201">
        <v>30665274442</v>
      </c>
      <c r="E1201" t="s">
        <v>807</v>
      </c>
      <c r="F1201" t="s">
        <v>1</v>
      </c>
      <c r="G1201" t="s">
        <v>25</v>
      </c>
      <c r="H1201" t="s">
        <v>25</v>
      </c>
      <c r="I1201">
        <v>7160</v>
      </c>
      <c r="J1201">
        <v>1</v>
      </c>
      <c r="K1201" t="s">
        <v>16</v>
      </c>
      <c r="L1201">
        <v>7999</v>
      </c>
      <c r="M1201" t="s">
        <v>691</v>
      </c>
      <c r="N1201">
        <v>3</v>
      </c>
      <c r="O1201" t="s">
        <v>119</v>
      </c>
      <c r="P1201" t="s">
        <v>1729</v>
      </c>
      <c r="Q1201">
        <v>2463.06</v>
      </c>
      <c r="R1201">
        <v>124397</v>
      </c>
      <c r="S1201">
        <v>177.71</v>
      </c>
      <c r="T1201">
        <v>700</v>
      </c>
      <c r="U1201">
        <v>26</v>
      </c>
      <c r="V1201">
        <v>1447</v>
      </c>
      <c r="W1201" t="s">
        <v>121</v>
      </c>
      <c r="X1201" t="s">
        <v>1</v>
      </c>
      <c r="Y1201">
        <v>3564047.82</v>
      </c>
      <c r="Z1201">
        <v>180002459</v>
      </c>
      <c r="AA1201">
        <v>1012900</v>
      </c>
      <c r="AB1201">
        <v>106</v>
      </c>
      <c r="AC1201" s="34">
        <v>46017</v>
      </c>
      <c r="AD1201" s="34">
        <v>46173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 t="s">
        <v>122</v>
      </c>
      <c r="AT1201">
        <v>74638.2</v>
      </c>
      <c r="AU1201">
        <v>1477.84</v>
      </c>
      <c r="AV1201">
        <v>108001475.40000001</v>
      </c>
      <c r="AW1201">
        <v>2138434.48</v>
      </c>
    </row>
    <row r="1202" spans="1:49" hidden="1" x14ac:dyDescent="0.35">
      <c r="A1202">
        <v>5861010</v>
      </c>
      <c r="B1202">
        <v>1080005861001</v>
      </c>
      <c r="D1202">
        <v>30665274442</v>
      </c>
      <c r="E1202" t="s">
        <v>807</v>
      </c>
      <c r="F1202" t="s">
        <v>1</v>
      </c>
      <c r="G1202" t="s">
        <v>25</v>
      </c>
      <c r="H1202" t="s">
        <v>25</v>
      </c>
      <c r="I1202">
        <v>7160</v>
      </c>
      <c r="J1202">
        <v>1</v>
      </c>
      <c r="K1202" t="s">
        <v>16</v>
      </c>
      <c r="L1202">
        <v>7999</v>
      </c>
      <c r="M1202" t="s">
        <v>691</v>
      </c>
      <c r="N1202">
        <v>4</v>
      </c>
      <c r="O1202" t="s">
        <v>119</v>
      </c>
      <c r="P1202" t="s">
        <v>1730</v>
      </c>
      <c r="Q1202">
        <v>2079</v>
      </c>
      <c r="R1202">
        <v>105000</v>
      </c>
      <c r="S1202">
        <v>150</v>
      </c>
      <c r="T1202">
        <v>700</v>
      </c>
      <c r="U1202">
        <v>26</v>
      </c>
      <c r="V1202">
        <v>1447</v>
      </c>
      <c r="W1202" t="s">
        <v>121</v>
      </c>
      <c r="X1202" t="s">
        <v>1</v>
      </c>
      <c r="Y1202">
        <v>3008313</v>
      </c>
      <c r="Z1202">
        <v>151935000</v>
      </c>
      <c r="AA1202">
        <v>1012900</v>
      </c>
      <c r="AB1202">
        <v>106</v>
      </c>
      <c r="AC1202" s="34">
        <v>46017</v>
      </c>
      <c r="AD1202" s="34">
        <v>46173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 t="s">
        <v>122</v>
      </c>
      <c r="AT1202">
        <v>63000</v>
      </c>
      <c r="AU1202">
        <v>1247.4000000000001</v>
      </c>
      <c r="AV1202">
        <v>91161000</v>
      </c>
      <c r="AW1202">
        <v>1804987.8</v>
      </c>
    </row>
    <row r="1203" spans="1:49" x14ac:dyDescent="0.35">
      <c r="A1203">
        <v>5861110</v>
      </c>
      <c r="B1203">
        <v>1090005861101</v>
      </c>
      <c r="D1203">
        <v>20275971791</v>
      </c>
      <c r="E1203" t="s">
        <v>1686</v>
      </c>
      <c r="F1203" t="s">
        <v>1</v>
      </c>
      <c r="G1203" t="s">
        <v>1263</v>
      </c>
      <c r="H1203" t="s">
        <v>68</v>
      </c>
      <c r="I1203">
        <v>6270</v>
      </c>
      <c r="J1203">
        <v>3</v>
      </c>
      <c r="K1203" t="s">
        <v>32</v>
      </c>
      <c r="L1203">
        <v>6127</v>
      </c>
      <c r="M1203" t="s">
        <v>118</v>
      </c>
      <c r="N1203">
        <v>1</v>
      </c>
      <c r="O1203" t="s">
        <v>119</v>
      </c>
      <c r="P1203" t="s">
        <v>1731</v>
      </c>
      <c r="Q1203">
        <v>899.5</v>
      </c>
      <c r="R1203" s="60">
        <v>35000</v>
      </c>
      <c r="S1203">
        <v>100</v>
      </c>
      <c r="T1203">
        <v>350</v>
      </c>
      <c r="U1203">
        <v>26</v>
      </c>
      <c r="V1203">
        <v>1447</v>
      </c>
      <c r="W1203" t="s">
        <v>121</v>
      </c>
      <c r="X1203" t="s">
        <v>1</v>
      </c>
      <c r="Y1203" s="60">
        <v>1301576.5</v>
      </c>
      <c r="Z1203" s="60">
        <v>50645000</v>
      </c>
      <c r="AA1203">
        <v>506450</v>
      </c>
      <c r="AB1203">
        <v>106</v>
      </c>
      <c r="AC1203" s="34">
        <v>45993</v>
      </c>
      <c r="AD1203" s="34">
        <v>46188</v>
      </c>
      <c r="AF1203">
        <v>0</v>
      </c>
      <c r="AG1203">
        <v>16937.61</v>
      </c>
      <c r="AH1203">
        <v>0</v>
      </c>
      <c r="AI1203">
        <v>24508721.670000002</v>
      </c>
      <c r="AJ1203">
        <v>0</v>
      </c>
      <c r="AK1203">
        <v>0</v>
      </c>
      <c r="AL1203">
        <v>6197891.6900000004</v>
      </c>
      <c r="AM1203">
        <v>0</v>
      </c>
      <c r="AN1203">
        <v>30706613.359999999</v>
      </c>
      <c r="AO1203" t="s">
        <v>122</v>
      </c>
      <c r="AP1203">
        <v>12</v>
      </c>
      <c r="AQ1203">
        <v>2032.52</v>
      </c>
      <c r="AR1203">
        <v>2941056.44</v>
      </c>
      <c r="AT1203">
        <v>21000</v>
      </c>
      <c r="AU1203">
        <v>539.70000000000005</v>
      </c>
      <c r="AV1203">
        <v>30387000</v>
      </c>
      <c r="AW1203">
        <v>780945.9</v>
      </c>
    </row>
    <row r="1204" spans="1:49" x14ac:dyDescent="0.35">
      <c r="A1204">
        <v>5861110</v>
      </c>
      <c r="B1204">
        <v>1090005861101</v>
      </c>
      <c r="D1204">
        <v>20275971791</v>
      </c>
      <c r="E1204" t="s">
        <v>1686</v>
      </c>
      <c r="F1204" t="s">
        <v>1</v>
      </c>
      <c r="G1204" t="s">
        <v>1263</v>
      </c>
      <c r="H1204" t="s">
        <v>68</v>
      </c>
      <c r="I1204">
        <v>6270</v>
      </c>
      <c r="J1204">
        <v>3</v>
      </c>
      <c r="K1204" t="s">
        <v>32</v>
      </c>
      <c r="L1204">
        <v>6127</v>
      </c>
      <c r="M1204" t="s">
        <v>118</v>
      </c>
      <c r="N1204">
        <v>2</v>
      </c>
      <c r="O1204" t="s">
        <v>119</v>
      </c>
      <c r="P1204" t="s">
        <v>1732</v>
      </c>
      <c r="Q1204">
        <v>2293.73</v>
      </c>
      <c r="R1204" s="60">
        <v>89250</v>
      </c>
      <c r="S1204">
        <v>255</v>
      </c>
      <c r="T1204">
        <v>350</v>
      </c>
      <c r="U1204">
        <v>26</v>
      </c>
      <c r="V1204">
        <v>1447</v>
      </c>
      <c r="W1204" t="s">
        <v>121</v>
      </c>
      <c r="X1204" t="s">
        <v>1</v>
      </c>
      <c r="Y1204" s="60">
        <v>3319027.31</v>
      </c>
      <c r="Z1204" s="60">
        <v>129144750</v>
      </c>
      <c r="AA1204">
        <v>506450</v>
      </c>
      <c r="AB1204">
        <v>106</v>
      </c>
      <c r="AC1204" s="34">
        <v>45993</v>
      </c>
      <c r="AD1204" s="34">
        <v>46188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 t="s">
        <v>122</v>
      </c>
      <c r="AT1204">
        <v>53550</v>
      </c>
      <c r="AU1204">
        <v>1376.24</v>
      </c>
      <c r="AV1204">
        <v>77486850</v>
      </c>
      <c r="AW1204">
        <v>1991419.28</v>
      </c>
    </row>
    <row r="1205" spans="1:49" hidden="1" x14ac:dyDescent="0.35">
      <c r="A1205">
        <v>5861110</v>
      </c>
      <c r="B1205">
        <v>1090005861101</v>
      </c>
      <c r="D1205">
        <v>20275971791</v>
      </c>
      <c r="E1205" t="s">
        <v>1686</v>
      </c>
      <c r="F1205" t="s">
        <v>1</v>
      </c>
      <c r="G1205" t="s">
        <v>568</v>
      </c>
      <c r="H1205" t="s">
        <v>57</v>
      </c>
      <c r="I1205">
        <v>6360</v>
      </c>
      <c r="J1205">
        <v>21</v>
      </c>
      <c r="K1205" t="s">
        <v>33</v>
      </c>
      <c r="L1205">
        <v>6127</v>
      </c>
      <c r="M1205" t="s">
        <v>118</v>
      </c>
      <c r="N1205">
        <v>3</v>
      </c>
      <c r="O1205" t="s">
        <v>119</v>
      </c>
      <c r="P1205" t="s">
        <v>1733</v>
      </c>
      <c r="Q1205">
        <v>1034.43</v>
      </c>
      <c r="R1205">
        <v>40250</v>
      </c>
      <c r="S1205">
        <v>115</v>
      </c>
      <c r="T1205">
        <v>350</v>
      </c>
      <c r="U1205">
        <v>26</v>
      </c>
      <c r="V1205">
        <v>1447</v>
      </c>
      <c r="W1205" t="s">
        <v>121</v>
      </c>
      <c r="X1205" t="s">
        <v>1</v>
      </c>
      <c r="Y1205">
        <v>1496820.21</v>
      </c>
      <c r="Z1205">
        <v>58241750</v>
      </c>
      <c r="AA1205">
        <v>506450</v>
      </c>
      <c r="AB1205">
        <v>106</v>
      </c>
      <c r="AC1205" s="34">
        <v>45993</v>
      </c>
      <c r="AD1205" s="34">
        <v>46188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 t="s">
        <v>122</v>
      </c>
      <c r="AT1205">
        <v>24150</v>
      </c>
      <c r="AU1205">
        <v>620.66</v>
      </c>
      <c r="AV1205">
        <v>34945050</v>
      </c>
      <c r="AW1205">
        <v>898095.02</v>
      </c>
    </row>
    <row r="1206" spans="1:49" hidden="1" x14ac:dyDescent="0.35">
      <c r="A1206">
        <v>5861110</v>
      </c>
      <c r="B1206">
        <v>1090005861101</v>
      </c>
      <c r="D1206">
        <v>20275971791</v>
      </c>
      <c r="E1206" t="s">
        <v>1686</v>
      </c>
      <c r="G1206" t="s">
        <v>568</v>
      </c>
      <c r="H1206" t="s">
        <v>57</v>
      </c>
      <c r="I1206">
        <v>6360</v>
      </c>
      <c r="J1206">
        <v>21</v>
      </c>
      <c r="K1206" t="s">
        <v>33</v>
      </c>
      <c r="L1206">
        <v>6127</v>
      </c>
      <c r="M1206" t="s">
        <v>118</v>
      </c>
      <c r="N1206">
        <v>4</v>
      </c>
      <c r="O1206" t="s">
        <v>119</v>
      </c>
      <c r="P1206" t="s">
        <v>1734</v>
      </c>
      <c r="Q1206">
        <v>0</v>
      </c>
      <c r="R1206">
        <v>67550</v>
      </c>
      <c r="S1206">
        <v>193</v>
      </c>
      <c r="T1206">
        <v>350</v>
      </c>
      <c r="U1206">
        <v>26</v>
      </c>
      <c r="V1206">
        <v>1447</v>
      </c>
      <c r="W1206" t="s">
        <v>121</v>
      </c>
      <c r="Y1206">
        <v>0</v>
      </c>
      <c r="Z1206">
        <v>97744850</v>
      </c>
      <c r="AA1206">
        <v>506450</v>
      </c>
      <c r="AB1206">
        <v>106</v>
      </c>
      <c r="AC1206" s="34">
        <v>45993</v>
      </c>
      <c r="AD1206" s="34">
        <v>46188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 t="s">
        <v>122</v>
      </c>
      <c r="AT1206">
        <v>40530</v>
      </c>
      <c r="AU1206">
        <v>0</v>
      </c>
      <c r="AV1206">
        <v>58646910</v>
      </c>
      <c r="AW1206">
        <v>0</v>
      </c>
    </row>
    <row r="1207" spans="1:49" hidden="1" x14ac:dyDescent="0.35">
      <c r="A1207">
        <v>5861110</v>
      </c>
      <c r="B1207">
        <v>1090005861101</v>
      </c>
      <c r="D1207">
        <v>20275971791</v>
      </c>
      <c r="E1207" t="s">
        <v>1686</v>
      </c>
      <c r="F1207" t="s">
        <v>1</v>
      </c>
      <c r="G1207" t="s">
        <v>568</v>
      </c>
      <c r="H1207" t="s">
        <v>57</v>
      </c>
      <c r="I1207">
        <v>6360</v>
      </c>
      <c r="J1207">
        <v>21</v>
      </c>
      <c r="K1207" t="s">
        <v>33</v>
      </c>
      <c r="L1207">
        <v>6127</v>
      </c>
      <c r="M1207" t="s">
        <v>118</v>
      </c>
      <c r="N1207">
        <v>5</v>
      </c>
      <c r="O1207" t="s">
        <v>119</v>
      </c>
      <c r="P1207" t="s">
        <v>1735</v>
      </c>
      <c r="Q1207">
        <v>2104.83</v>
      </c>
      <c r="R1207">
        <v>81900</v>
      </c>
      <c r="S1207">
        <v>234</v>
      </c>
      <c r="T1207">
        <v>350</v>
      </c>
      <c r="U1207">
        <v>26</v>
      </c>
      <c r="V1207">
        <v>1447</v>
      </c>
      <c r="W1207" t="s">
        <v>121</v>
      </c>
      <c r="X1207" t="s">
        <v>1</v>
      </c>
      <c r="Y1207">
        <v>3045689.01</v>
      </c>
      <c r="Z1207">
        <v>118509300</v>
      </c>
      <c r="AA1207">
        <v>506450</v>
      </c>
      <c r="AB1207">
        <v>106</v>
      </c>
      <c r="AC1207" s="34">
        <v>45993</v>
      </c>
      <c r="AD1207" s="34">
        <v>46188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 t="s">
        <v>122</v>
      </c>
      <c r="AT1207">
        <v>49140</v>
      </c>
      <c r="AU1207">
        <v>1262.9000000000001</v>
      </c>
      <c r="AV1207">
        <v>71105580</v>
      </c>
      <c r="AW1207">
        <v>1827416.3</v>
      </c>
    </row>
    <row r="1208" spans="1:49" hidden="1" x14ac:dyDescent="0.35">
      <c r="A1208">
        <v>5861110</v>
      </c>
      <c r="B1208">
        <v>1090005861101</v>
      </c>
      <c r="D1208">
        <v>20275971791</v>
      </c>
      <c r="E1208" t="s">
        <v>1686</v>
      </c>
      <c r="F1208" t="s">
        <v>1</v>
      </c>
      <c r="G1208" t="s">
        <v>370</v>
      </c>
      <c r="H1208" t="s">
        <v>58</v>
      </c>
      <c r="I1208">
        <v>6333</v>
      </c>
      <c r="J1208">
        <v>21</v>
      </c>
      <c r="K1208" t="s">
        <v>33</v>
      </c>
      <c r="L1208">
        <v>6127</v>
      </c>
      <c r="M1208" t="s">
        <v>118</v>
      </c>
      <c r="N1208">
        <v>6</v>
      </c>
      <c r="O1208" t="s">
        <v>119</v>
      </c>
      <c r="P1208" t="s">
        <v>1736</v>
      </c>
      <c r="Q1208">
        <v>269.85000000000002</v>
      </c>
      <c r="R1208">
        <v>10500</v>
      </c>
      <c r="S1208">
        <v>30</v>
      </c>
      <c r="T1208">
        <v>350</v>
      </c>
      <c r="U1208">
        <v>26</v>
      </c>
      <c r="V1208">
        <v>1447</v>
      </c>
      <c r="W1208" t="s">
        <v>121</v>
      </c>
      <c r="X1208" t="s">
        <v>1</v>
      </c>
      <c r="Y1208">
        <v>390472.95</v>
      </c>
      <c r="Z1208">
        <v>15193500</v>
      </c>
      <c r="AA1208">
        <v>506450</v>
      </c>
      <c r="AB1208">
        <v>106</v>
      </c>
      <c r="AC1208" s="34">
        <v>45993</v>
      </c>
      <c r="AD1208" s="34">
        <v>46188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 t="s">
        <v>122</v>
      </c>
      <c r="AT1208">
        <v>6300</v>
      </c>
      <c r="AU1208">
        <v>161.91</v>
      </c>
      <c r="AV1208">
        <v>9116100</v>
      </c>
      <c r="AW1208">
        <v>234283.77</v>
      </c>
    </row>
    <row r="1209" spans="1:49" hidden="1" x14ac:dyDescent="0.35">
      <c r="A1209">
        <v>5861110</v>
      </c>
      <c r="B1209">
        <v>1090005861101</v>
      </c>
      <c r="D1209">
        <v>20275971791</v>
      </c>
      <c r="E1209" t="s">
        <v>1686</v>
      </c>
      <c r="F1209" t="s">
        <v>1</v>
      </c>
      <c r="G1209" t="s">
        <v>370</v>
      </c>
      <c r="H1209" t="s">
        <v>58</v>
      </c>
      <c r="I1209">
        <v>6333</v>
      </c>
      <c r="J1209">
        <v>21</v>
      </c>
      <c r="K1209" t="s">
        <v>33</v>
      </c>
      <c r="L1209">
        <v>6127</v>
      </c>
      <c r="M1209" t="s">
        <v>118</v>
      </c>
      <c r="N1209">
        <v>7</v>
      </c>
      <c r="O1209" t="s">
        <v>119</v>
      </c>
      <c r="P1209" t="s">
        <v>1737</v>
      </c>
      <c r="Q1209">
        <v>449.75</v>
      </c>
      <c r="R1209">
        <v>17500</v>
      </c>
      <c r="S1209">
        <v>50</v>
      </c>
      <c r="T1209">
        <v>350</v>
      </c>
      <c r="U1209">
        <v>26</v>
      </c>
      <c r="V1209">
        <v>1447</v>
      </c>
      <c r="W1209" t="s">
        <v>121</v>
      </c>
      <c r="X1209" t="s">
        <v>1</v>
      </c>
      <c r="Y1209">
        <v>650788.25</v>
      </c>
      <c r="Z1209">
        <v>25322500</v>
      </c>
      <c r="AA1209">
        <v>506450</v>
      </c>
      <c r="AB1209">
        <v>106</v>
      </c>
      <c r="AC1209" s="34">
        <v>45993</v>
      </c>
      <c r="AD1209" s="34">
        <v>46188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 t="s">
        <v>122</v>
      </c>
      <c r="AT1209">
        <v>10500</v>
      </c>
      <c r="AU1209">
        <v>269.85000000000002</v>
      </c>
      <c r="AV1209">
        <v>15193500</v>
      </c>
      <c r="AW1209">
        <v>390472.95</v>
      </c>
    </row>
    <row r="1210" spans="1:49" hidden="1" x14ac:dyDescent="0.35">
      <c r="A1210">
        <v>5861110</v>
      </c>
      <c r="B1210">
        <v>1090005861101</v>
      </c>
      <c r="D1210">
        <v>20275971791</v>
      </c>
      <c r="E1210" t="s">
        <v>1686</v>
      </c>
      <c r="F1210" t="s">
        <v>1</v>
      </c>
      <c r="G1210" t="s">
        <v>370</v>
      </c>
      <c r="H1210" t="s">
        <v>58</v>
      </c>
      <c r="I1210">
        <v>6333</v>
      </c>
      <c r="J1210">
        <v>21</v>
      </c>
      <c r="K1210" t="s">
        <v>33</v>
      </c>
      <c r="L1210">
        <v>6127</v>
      </c>
      <c r="M1210" t="s">
        <v>118</v>
      </c>
      <c r="N1210">
        <v>8</v>
      </c>
      <c r="O1210" t="s">
        <v>119</v>
      </c>
      <c r="P1210" t="s">
        <v>1738</v>
      </c>
      <c r="Q1210">
        <v>1754.03</v>
      </c>
      <c r="R1210">
        <v>68250</v>
      </c>
      <c r="S1210">
        <v>195</v>
      </c>
      <c r="T1210">
        <v>350</v>
      </c>
      <c r="U1210">
        <v>26</v>
      </c>
      <c r="V1210">
        <v>1447</v>
      </c>
      <c r="W1210" t="s">
        <v>121</v>
      </c>
      <c r="X1210" t="s">
        <v>1</v>
      </c>
      <c r="Y1210">
        <v>2538081.41</v>
      </c>
      <c r="Z1210">
        <v>98757750</v>
      </c>
      <c r="AA1210">
        <v>506450</v>
      </c>
      <c r="AB1210">
        <v>106</v>
      </c>
      <c r="AC1210" s="34">
        <v>45993</v>
      </c>
      <c r="AD1210" s="34">
        <v>46188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 t="s">
        <v>122</v>
      </c>
      <c r="AT1210">
        <v>40950</v>
      </c>
      <c r="AU1210">
        <v>1052.42</v>
      </c>
      <c r="AV1210">
        <v>59254650</v>
      </c>
      <c r="AW1210">
        <v>1522851.74</v>
      </c>
    </row>
    <row r="1211" spans="1:49" hidden="1" x14ac:dyDescent="0.35">
      <c r="A1211">
        <v>5861110</v>
      </c>
      <c r="B1211">
        <v>1090005861101</v>
      </c>
      <c r="D1211">
        <v>20275971791</v>
      </c>
      <c r="E1211" t="s">
        <v>1686</v>
      </c>
      <c r="F1211" t="s">
        <v>1</v>
      </c>
      <c r="G1211" t="s">
        <v>370</v>
      </c>
      <c r="H1211" t="s">
        <v>58</v>
      </c>
      <c r="I1211">
        <v>6333</v>
      </c>
      <c r="J1211">
        <v>21</v>
      </c>
      <c r="K1211" t="s">
        <v>33</v>
      </c>
      <c r="L1211">
        <v>6127</v>
      </c>
      <c r="M1211" t="s">
        <v>118</v>
      </c>
      <c r="N1211">
        <v>9</v>
      </c>
      <c r="O1211" t="s">
        <v>119</v>
      </c>
      <c r="P1211" t="s">
        <v>1739</v>
      </c>
      <c r="Q1211">
        <v>791.56</v>
      </c>
      <c r="R1211">
        <v>30800</v>
      </c>
      <c r="S1211">
        <v>88</v>
      </c>
      <c r="T1211">
        <v>350</v>
      </c>
      <c r="U1211">
        <v>26</v>
      </c>
      <c r="V1211">
        <v>1447</v>
      </c>
      <c r="W1211" t="s">
        <v>121</v>
      </c>
      <c r="X1211" t="s">
        <v>1</v>
      </c>
      <c r="Y1211">
        <v>1145387.32</v>
      </c>
      <c r="Z1211">
        <v>44567600</v>
      </c>
      <c r="AA1211">
        <v>506450</v>
      </c>
      <c r="AB1211">
        <v>106</v>
      </c>
      <c r="AC1211" s="34">
        <v>45993</v>
      </c>
      <c r="AD1211" s="34">
        <v>46188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 t="s">
        <v>122</v>
      </c>
      <c r="AT1211">
        <v>18480</v>
      </c>
      <c r="AU1211">
        <v>474.94</v>
      </c>
      <c r="AV1211">
        <v>26740560</v>
      </c>
      <c r="AW1211">
        <v>687238.18</v>
      </c>
    </row>
    <row r="1212" spans="1:49" hidden="1" x14ac:dyDescent="0.35">
      <c r="A1212">
        <v>5861110</v>
      </c>
      <c r="B1212">
        <v>1090005861101</v>
      </c>
      <c r="D1212">
        <v>20275971791</v>
      </c>
      <c r="E1212" t="s">
        <v>1686</v>
      </c>
      <c r="F1212" t="s">
        <v>1</v>
      </c>
      <c r="G1212" t="s">
        <v>56</v>
      </c>
      <c r="H1212" t="s">
        <v>56</v>
      </c>
      <c r="I1212">
        <v>6381</v>
      </c>
      <c r="J1212">
        <v>21</v>
      </c>
      <c r="K1212" t="s">
        <v>33</v>
      </c>
      <c r="L1212">
        <v>6127</v>
      </c>
      <c r="M1212" t="s">
        <v>118</v>
      </c>
      <c r="N1212">
        <v>10</v>
      </c>
      <c r="O1212" t="s">
        <v>119</v>
      </c>
      <c r="P1212" t="s">
        <v>1740</v>
      </c>
      <c r="Q1212">
        <v>3418.1</v>
      </c>
      <c r="R1212">
        <v>133000</v>
      </c>
      <c r="S1212">
        <v>380</v>
      </c>
      <c r="T1212">
        <v>350</v>
      </c>
      <c r="U1212">
        <v>26</v>
      </c>
      <c r="V1212">
        <v>1447</v>
      </c>
      <c r="W1212" t="s">
        <v>121</v>
      </c>
      <c r="X1212" t="s">
        <v>1</v>
      </c>
      <c r="Y1212">
        <v>4945990.7</v>
      </c>
      <c r="Z1212">
        <v>192451000</v>
      </c>
      <c r="AA1212">
        <v>506450</v>
      </c>
      <c r="AB1212">
        <v>106</v>
      </c>
      <c r="AC1212" s="34">
        <v>45993</v>
      </c>
      <c r="AD1212" s="34">
        <v>46188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 t="s">
        <v>122</v>
      </c>
      <c r="AT1212">
        <v>79800</v>
      </c>
      <c r="AU1212">
        <v>2050.86</v>
      </c>
      <c r="AV1212">
        <v>115470600</v>
      </c>
      <c r="AW1212">
        <v>2967594.42</v>
      </c>
    </row>
    <row r="1213" spans="1:49" hidden="1" x14ac:dyDescent="0.35">
      <c r="A1213">
        <v>5861110</v>
      </c>
      <c r="B1213">
        <v>1090005861101</v>
      </c>
      <c r="D1213">
        <v>20275971791</v>
      </c>
      <c r="E1213" t="s">
        <v>1686</v>
      </c>
      <c r="F1213" t="s">
        <v>1</v>
      </c>
      <c r="G1213" t="s">
        <v>1712</v>
      </c>
      <c r="H1213" t="s">
        <v>1637</v>
      </c>
      <c r="I1213">
        <v>6387</v>
      </c>
      <c r="J1213">
        <v>21</v>
      </c>
      <c r="K1213" t="s">
        <v>33</v>
      </c>
      <c r="L1213">
        <v>6127</v>
      </c>
      <c r="M1213" t="s">
        <v>118</v>
      </c>
      <c r="N1213">
        <v>11</v>
      </c>
      <c r="O1213" t="s">
        <v>119</v>
      </c>
      <c r="P1213" t="s">
        <v>1741</v>
      </c>
      <c r="Q1213">
        <v>2779.46</v>
      </c>
      <c r="R1213">
        <v>108150</v>
      </c>
      <c r="S1213">
        <v>618</v>
      </c>
      <c r="T1213">
        <v>175</v>
      </c>
      <c r="U1213">
        <v>26</v>
      </c>
      <c r="V1213">
        <v>1447</v>
      </c>
      <c r="W1213" t="s">
        <v>121</v>
      </c>
      <c r="X1213" t="s">
        <v>1</v>
      </c>
      <c r="Y1213">
        <v>4021878.62</v>
      </c>
      <c r="Z1213">
        <v>156493050</v>
      </c>
      <c r="AA1213">
        <v>253225</v>
      </c>
      <c r="AB1213">
        <v>106</v>
      </c>
      <c r="AC1213" s="34">
        <v>45993</v>
      </c>
      <c r="AD1213" s="34">
        <v>46188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 t="s">
        <v>122</v>
      </c>
      <c r="AT1213">
        <v>64890</v>
      </c>
      <c r="AU1213">
        <v>1667.68</v>
      </c>
      <c r="AV1213">
        <v>93895830</v>
      </c>
      <c r="AW1213">
        <v>2413132.96</v>
      </c>
    </row>
    <row r="1214" spans="1:49" hidden="1" x14ac:dyDescent="0.35">
      <c r="A1214">
        <v>5861110</v>
      </c>
      <c r="B1214">
        <v>1090005861101</v>
      </c>
      <c r="D1214">
        <v>20275971791</v>
      </c>
      <c r="E1214" t="s">
        <v>1686</v>
      </c>
      <c r="F1214" t="s">
        <v>1</v>
      </c>
      <c r="G1214" t="s">
        <v>1062</v>
      </c>
      <c r="H1214" t="s">
        <v>1062</v>
      </c>
      <c r="I1214">
        <v>6330</v>
      </c>
      <c r="J1214">
        <v>21</v>
      </c>
      <c r="K1214" t="s">
        <v>33</v>
      </c>
      <c r="L1214">
        <v>6127</v>
      </c>
      <c r="M1214" t="s">
        <v>118</v>
      </c>
      <c r="N1214">
        <v>12</v>
      </c>
      <c r="O1214" t="s">
        <v>119</v>
      </c>
      <c r="P1214" t="s">
        <v>1742</v>
      </c>
      <c r="Q1214">
        <v>1142.3699999999999</v>
      </c>
      <c r="R1214">
        <v>44450</v>
      </c>
      <c r="S1214">
        <v>127</v>
      </c>
      <c r="T1214">
        <v>350</v>
      </c>
      <c r="U1214">
        <v>26</v>
      </c>
      <c r="V1214">
        <v>1447</v>
      </c>
      <c r="W1214" t="s">
        <v>121</v>
      </c>
      <c r="X1214" t="s">
        <v>1</v>
      </c>
      <c r="Y1214">
        <v>1653009.39</v>
      </c>
      <c r="Z1214">
        <v>64319150</v>
      </c>
      <c r="AA1214">
        <v>506450</v>
      </c>
      <c r="AB1214">
        <v>106</v>
      </c>
      <c r="AC1214" s="34">
        <v>45993</v>
      </c>
      <c r="AD1214" s="34">
        <v>46188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 t="s">
        <v>122</v>
      </c>
      <c r="AT1214">
        <v>26670</v>
      </c>
      <c r="AU1214">
        <v>685.42</v>
      </c>
      <c r="AV1214">
        <v>38591490</v>
      </c>
      <c r="AW1214">
        <v>991802.74</v>
      </c>
    </row>
    <row r="1215" spans="1:49" x14ac:dyDescent="0.35">
      <c r="A1215">
        <v>5861210</v>
      </c>
      <c r="B1215">
        <v>1090005861201</v>
      </c>
      <c r="D1215">
        <v>30712215646</v>
      </c>
      <c r="E1215" t="s">
        <v>1072</v>
      </c>
      <c r="F1215" t="s">
        <v>1</v>
      </c>
      <c r="G1215" t="s">
        <v>1263</v>
      </c>
      <c r="H1215" t="s">
        <v>68</v>
      </c>
      <c r="I1215">
        <v>6270</v>
      </c>
      <c r="J1215">
        <v>3</v>
      </c>
      <c r="K1215" t="s">
        <v>32</v>
      </c>
      <c r="L1215">
        <v>6127</v>
      </c>
      <c r="M1215" t="s">
        <v>118</v>
      </c>
      <c r="N1215">
        <v>1</v>
      </c>
      <c r="O1215" t="s">
        <v>119</v>
      </c>
      <c r="P1215" t="s">
        <v>1731</v>
      </c>
      <c r="Q1215">
        <v>385.5</v>
      </c>
      <c r="R1215" s="60">
        <v>15000</v>
      </c>
      <c r="S1215">
        <v>100</v>
      </c>
      <c r="T1215">
        <v>150</v>
      </c>
      <c r="U1215">
        <v>26</v>
      </c>
      <c r="V1215">
        <v>1447</v>
      </c>
      <c r="W1215" t="s">
        <v>121</v>
      </c>
      <c r="X1215" t="s">
        <v>1</v>
      </c>
      <c r="Y1215" s="60">
        <v>557818.5</v>
      </c>
      <c r="Z1215" s="60">
        <v>21705000</v>
      </c>
      <c r="AA1215">
        <v>217050</v>
      </c>
      <c r="AB1215">
        <v>106</v>
      </c>
      <c r="AC1215" s="34">
        <v>45993</v>
      </c>
      <c r="AD1215" s="34">
        <v>46188</v>
      </c>
      <c r="AF1215">
        <v>0</v>
      </c>
      <c r="AG1215">
        <v>7258.99</v>
      </c>
      <c r="AH1215">
        <v>0</v>
      </c>
      <c r="AI1215">
        <v>10503758.529999999</v>
      </c>
      <c r="AJ1215">
        <v>0</v>
      </c>
      <c r="AK1215">
        <v>0</v>
      </c>
      <c r="AL1215">
        <v>2656272.37</v>
      </c>
      <c r="AM1215">
        <v>0</v>
      </c>
      <c r="AN1215">
        <v>13160030.9</v>
      </c>
      <c r="AO1215" t="s">
        <v>122</v>
      </c>
      <c r="AP1215">
        <v>12</v>
      </c>
      <c r="AQ1215">
        <v>871.08</v>
      </c>
      <c r="AR1215">
        <v>1260452.76</v>
      </c>
      <c r="AT1215">
        <v>9000</v>
      </c>
      <c r="AU1215">
        <v>231.3</v>
      </c>
      <c r="AV1215">
        <v>13023000</v>
      </c>
      <c r="AW1215">
        <v>334691.09999999998</v>
      </c>
    </row>
    <row r="1216" spans="1:49" x14ac:dyDescent="0.35">
      <c r="A1216">
        <v>5861210</v>
      </c>
      <c r="B1216">
        <v>1090005861201</v>
      </c>
      <c r="D1216">
        <v>30712215646</v>
      </c>
      <c r="E1216" t="s">
        <v>1072</v>
      </c>
      <c r="F1216" t="s">
        <v>1</v>
      </c>
      <c r="G1216" t="s">
        <v>1263</v>
      </c>
      <c r="H1216" t="s">
        <v>68</v>
      </c>
      <c r="I1216">
        <v>6270</v>
      </c>
      <c r="J1216">
        <v>3</v>
      </c>
      <c r="K1216" t="s">
        <v>32</v>
      </c>
      <c r="L1216">
        <v>6127</v>
      </c>
      <c r="M1216" t="s">
        <v>118</v>
      </c>
      <c r="N1216">
        <v>2</v>
      </c>
      <c r="O1216" t="s">
        <v>119</v>
      </c>
      <c r="P1216" t="s">
        <v>1732</v>
      </c>
      <c r="Q1216">
        <v>983.03</v>
      </c>
      <c r="R1216" s="60">
        <v>38250</v>
      </c>
      <c r="S1216">
        <v>255</v>
      </c>
      <c r="T1216">
        <v>150</v>
      </c>
      <c r="U1216">
        <v>26</v>
      </c>
      <c r="V1216">
        <v>1447</v>
      </c>
      <c r="W1216" t="s">
        <v>121</v>
      </c>
      <c r="X1216" t="s">
        <v>1</v>
      </c>
      <c r="Y1216" s="60">
        <v>1422444.41</v>
      </c>
      <c r="Z1216" s="60">
        <v>55347750</v>
      </c>
      <c r="AA1216">
        <v>217050</v>
      </c>
      <c r="AB1216">
        <v>106</v>
      </c>
      <c r="AC1216" s="34">
        <v>45993</v>
      </c>
      <c r="AD1216" s="34">
        <v>46188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 t="s">
        <v>122</v>
      </c>
      <c r="AT1216">
        <v>22950</v>
      </c>
      <c r="AU1216">
        <v>589.82000000000005</v>
      </c>
      <c r="AV1216">
        <v>33208650</v>
      </c>
      <c r="AW1216">
        <v>853469.54</v>
      </c>
    </row>
    <row r="1217" spans="1:49" hidden="1" x14ac:dyDescent="0.35">
      <c r="A1217">
        <v>5861210</v>
      </c>
      <c r="B1217">
        <v>1090005861201</v>
      </c>
      <c r="D1217">
        <v>30712215646</v>
      </c>
      <c r="E1217" t="s">
        <v>1072</v>
      </c>
      <c r="F1217" t="s">
        <v>1</v>
      </c>
      <c r="G1217" t="s">
        <v>1296</v>
      </c>
      <c r="H1217" t="s">
        <v>57</v>
      </c>
      <c r="I1217">
        <v>6360</v>
      </c>
      <c r="J1217">
        <v>21</v>
      </c>
      <c r="K1217" t="s">
        <v>33</v>
      </c>
      <c r="L1217">
        <v>6127</v>
      </c>
      <c r="M1217" t="s">
        <v>118</v>
      </c>
      <c r="N1217">
        <v>3</v>
      </c>
      <c r="O1217" t="s">
        <v>119</v>
      </c>
      <c r="P1217" t="s">
        <v>1733</v>
      </c>
      <c r="Q1217">
        <v>443.33</v>
      </c>
      <c r="R1217">
        <v>17250</v>
      </c>
      <c r="S1217">
        <v>115</v>
      </c>
      <c r="T1217">
        <v>150</v>
      </c>
      <c r="U1217">
        <v>26</v>
      </c>
      <c r="V1217">
        <v>1447</v>
      </c>
      <c r="W1217" t="s">
        <v>121</v>
      </c>
      <c r="X1217" t="s">
        <v>1</v>
      </c>
      <c r="Y1217">
        <v>641498.51</v>
      </c>
      <c r="Z1217">
        <v>24960750</v>
      </c>
      <c r="AA1217">
        <v>217050</v>
      </c>
      <c r="AB1217">
        <v>106</v>
      </c>
      <c r="AC1217" s="34">
        <v>45993</v>
      </c>
      <c r="AD1217" s="34">
        <v>46188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 t="s">
        <v>122</v>
      </c>
      <c r="AT1217">
        <v>10350</v>
      </c>
      <c r="AU1217">
        <v>266</v>
      </c>
      <c r="AV1217">
        <v>14976450</v>
      </c>
      <c r="AW1217">
        <v>384902</v>
      </c>
    </row>
    <row r="1218" spans="1:49" hidden="1" x14ac:dyDescent="0.35">
      <c r="A1218">
        <v>5861210</v>
      </c>
      <c r="B1218">
        <v>1090005861201</v>
      </c>
      <c r="D1218">
        <v>30712215646</v>
      </c>
      <c r="E1218" t="s">
        <v>1072</v>
      </c>
      <c r="G1218" t="s">
        <v>1296</v>
      </c>
      <c r="H1218" t="s">
        <v>57</v>
      </c>
      <c r="I1218">
        <v>6360</v>
      </c>
      <c r="J1218">
        <v>21</v>
      </c>
      <c r="K1218" t="s">
        <v>33</v>
      </c>
      <c r="L1218">
        <v>6127</v>
      </c>
      <c r="M1218" t="s">
        <v>118</v>
      </c>
      <c r="N1218">
        <v>4</v>
      </c>
      <c r="O1218" t="s">
        <v>119</v>
      </c>
      <c r="P1218" t="s">
        <v>1734</v>
      </c>
      <c r="Q1218">
        <v>0</v>
      </c>
      <c r="R1218">
        <v>28950</v>
      </c>
      <c r="S1218">
        <v>193</v>
      </c>
      <c r="T1218">
        <v>150</v>
      </c>
      <c r="U1218">
        <v>26</v>
      </c>
      <c r="V1218">
        <v>1447</v>
      </c>
      <c r="W1218" t="s">
        <v>121</v>
      </c>
      <c r="Y1218">
        <v>0</v>
      </c>
      <c r="Z1218">
        <v>41890650</v>
      </c>
      <c r="AA1218">
        <v>217050</v>
      </c>
      <c r="AB1218">
        <v>106</v>
      </c>
      <c r="AC1218" s="34">
        <v>45993</v>
      </c>
      <c r="AD1218" s="34">
        <v>46188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 t="s">
        <v>122</v>
      </c>
      <c r="AT1218">
        <v>17370</v>
      </c>
      <c r="AU1218">
        <v>0</v>
      </c>
      <c r="AV1218">
        <v>25134390</v>
      </c>
      <c r="AW1218">
        <v>0</v>
      </c>
    </row>
    <row r="1219" spans="1:49" hidden="1" x14ac:dyDescent="0.35">
      <c r="A1219">
        <v>5861210</v>
      </c>
      <c r="B1219">
        <v>1090005861201</v>
      </c>
      <c r="D1219">
        <v>30712215646</v>
      </c>
      <c r="E1219" t="s">
        <v>1072</v>
      </c>
      <c r="F1219" t="s">
        <v>1</v>
      </c>
      <c r="G1219" t="s">
        <v>1296</v>
      </c>
      <c r="H1219" t="s">
        <v>57</v>
      </c>
      <c r="I1219">
        <v>6360</v>
      </c>
      <c r="J1219">
        <v>21</v>
      </c>
      <c r="K1219" t="s">
        <v>33</v>
      </c>
      <c r="L1219">
        <v>6127</v>
      </c>
      <c r="M1219" t="s">
        <v>118</v>
      </c>
      <c r="N1219">
        <v>5</v>
      </c>
      <c r="O1219" t="s">
        <v>119</v>
      </c>
      <c r="P1219" t="s">
        <v>1743</v>
      </c>
      <c r="Q1219">
        <v>902.07</v>
      </c>
      <c r="R1219">
        <v>35100</v>
      </c>
      <c r="S1219">
        <v>234</v>
      </c>
      <c r="T1219">
        <v>150</v>
      </c>
      <c r="U1219">
        <v>26</v>
      </c>
      <c r="V1219">
        <v>1447</v>
      </c>
      <c r="W1219" t="s">
        <v>121</v>
      </c>
      <c r="X1219" t="s">
        <v>1</v>
      </c>
      <c r="Y1219">
        <v>1305295.29</v>
      </c>
      <c r="Z1219">
        <v>50789700</v>
      </c>
      <c r="AA1219">
        <v>217050</v>
      </c>
      <c r="AB1219">
        <v>106</v>
      </c>
      <c r="AC1219" s="34">
        <v>45993</v>
      </c>
      <c r="AD1219" s="34">
        <v>46188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 t="s">
        <v>122</v>
      </c>
      <c r="AT1219">
        <v>21060</v>
      </c>
      <c r="AU1219">
        <v>541.24</v>
      </c>
      <c r="AV1219">
        <v>30473820</v>
      </c>
      <c r="AW1219">
        <v>783174.28</v>
      </c>
    </row>
    <row r="1220" spans="1:49" hidden="1" x14ac:dyDescent="0.35">
      <c r="A1220">
        <v>5861210</v>
      </c>
      <c r="B1220">
        <v>1090005861201</v>
      </c>
      <c r="D1220">
        <v>30712215646</v>
      </c>
      <c r="E1220" t="s">
        <v>1072</v>
      </c>
      <c r="F1220" t="s">
        <v>1</v>
      </c>
      <c r="G1220" t="s">
        <v>370</v>
      </c>
      <c r="H1220" t="s">
        <v>58</v>
      </c>
      <c r="I1220">
        <v>6333</v>
      </c>
      <c r="J1220">
        <v>21</v>
      </c>
      <c r="K1220" t="s">
        <v>33</v>
      </c>
      <c r="L1220">
        <v>6127</v>
      </c>
      <c r="M1220" t="s">
        <v>118</v>
      </c>
      <c r="N1220">
        <v>6</v>
      </c>
      <c r="O1220" t="s">
        <v>119</v>
      </c>
      <c r="P1220" t="s">
        <v>1736</v>
      </c>
      <c r="Q1220">
        <v>115.65</v>
      </c>
      <c r="R1220">
        <v>4500</v>
      </c>
      <c r="S1220">
        <v>30</v>
      </c>
      <c r="T1220">
        <v>150</v>
      </c>
      <c r="U1220">
        <v>26</v>
      </c>
      <c r="V1220">
        <v>1447</v>
      </c>
      <c r="W1220" t="s">
        <v>121</v>
      </c>
      <c r="X1220" t="s">
        <v>1</v>
      </c>
      <c r="Y1220">
        <v>167345.54999999999</v>
      </c>
      <c r="Z1220">
        <v>6511500</v>
      </c>
      <c r="AA1220">
        <v>217050</v>
      </c>
      <c r="AB1220">
        <v>106</v>
      </c>
      <c r="AC1220" s="34">
        <v>45993</v>
      </c>
      <c r="AD1220" s="34">
        <v>46188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 t="s">
        <v>122</v>
      </c>
      <c r="AT1220">
        <v>2700</v>
      </c>
      <c r="AU1220">
        <v>69.39</v>
      </c>
      <c r="AV1220">
        <v>3906900</v>
      </c>
      <c r="AW1220">
        <v>100407.33</v>
      </c>
    </row>
    <row r="1221" spans="1:49" hidden="1" x14ac:dyDescent="0.35">
      <c r="A1221">
        <v>5861210</v>
      </c>
      <c r="B1221">
        <v>1090005861201</v>
      </c>
      <c r="D1221">
        <v>30712215646</v>
      </c>
      <c r="E1221" t="s">
        <v>1072</v>
      </c>
      <c r="F1221" t="s">
        <v>1</v>
      </c>
      <c r="G1221" t="s">
        <v>370</v>
      </c>
      <c r="H1221" t="s">
        <v>58</v>
      </c>
      <c r="I1221">
        <v>6333</v>
      </c>
      <c r="J1221">
        <v>21</v>
      </c>
      <c r="K1221" t="s">
        <v>33</v>
      </c>
      <c r="L1221">
        <v>6127</v>
      </c>
      <c r="M1221" t="s">
        <v>118</v>
      </c>
      <c r="N1221">
        <v>7</v>
      </c>
      <c r="O1221" t="s">
        <v>119</v>
      </c>
      <c r="P1221" t="s">
        <v>1737</v>
      </c>
      <c r="Q1221">
        <v>192.75</v>
      </c>
      <c r="R1221">
        <v>7500</v>
      </c>
      <c r="S1221">
        <v>50</v>
      </c>
      <c r="T1221">
        <v>150</v>
      </c>
      <c r="U1221">
        <v>26</v>
      </c>
      <c r="V1221">
        <v>1447</v>
      </c>
      <c r="W1221" t="s">
        <v>121</v>
      </c>
      <c r="X1221" t="s">
        <v>1</v>
      </c>
      <c r="Y1221">
        <v>278909.25</v>
      </c>
      <c r="Z1221">
        <v>10852500</v>
      </c>
      <c r="AA1221">
        <v>217050</v>
      </c>
      <c r="AB1221">
        <v>106</v>
      </c>
      <c r="AC1221" s="34">
        <v>45993</v>
      </c>
      <c r="AD1221" s="34">
        <v>46188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 t="s">
        <v>122</v>
      </c>
      <c r="AT1221">
        <v>4500</v>
      </c>
      <c r="AU1221">
        <v>115.65</v>
      </c>
      <c r="AV1221">
        <v>6511500</v>
      </c>
      <c r="AW1221">
        <v>167345.54999999999</v>
      </c>
    </row>
    <row r="1222" spans="1:49" hidden="1" x14ac:dyDescent="0.35">
      <c r="A1222">
        <v>5861210</v>
      </c>
      <c r="B1222">
        <v>1090005861201</v>
      </c>
      <c r="D1222">
        <v>30712215646</v>
      </c>
      <c r="E1222" t="s">
        <v>1072</v>
      </c>
      <c r="F1222" t="s">
        <v>1</v>
      </c>
      <c r="G1222" t="s">
        <v>370</v>
      </c>
      <c r="H1222" t="s">
        <v>58</v>
      </c>
      <c r="I1222">
        <v>6333</v>
      </c>
      <c r="J1222">
        <v>21</v>
      </c>
      <c r="K1222" t="s">
        <v>33</v>
      </c>
      <c r="L1222">
        <v>6127</v>
      </c>
      <c r="M1222" t="s">
        <v>118</v>
      </c>
      <c r="N1222">
        <v>8</v>
      </c>
      <c r="O1222" t="s">
        <v>119</v>
      </c>
      <c r="P1222" t="s">
        <v>1738</v>
      </c>
      <c r="Q1222">
        <v>751.73</v>
      </c>
      <c r="R1222">
        <v>29250</v>
      </c>
      <c r="S1222">
        <v>195</v>
      </c>
      <c r="T1222">
        <v>150</v>
      </c>
      <c r="U1222">
        <v>26</v>
      </c>
      <c r="V1222">
        <v>1447</v>
      </c>
      <c r="W1222" t="s">
        <v>121</v>
      </c>
      <c r="X1222" t="s">
        <v>1</v>
      </c>
      <c r="Y1222">
        <v>1087753.31</v>
      </c>
      <c r="Z1222">
        <v>42324750</v>
      </c>
      <c r="AA1222">
        <v>217050</v>
      </c>
      <c r="AB1222">
        <v>106</v>
      </c>
      <c r="AC1222" s="34">
        <v>45993</v>
      </c>
      <c r="AD1222" s="34">
        <v>46188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 t="s">
        <v>122</v>
      </c>
      <c r="AT1222">
        <v>17550</v>
      </c>
      <c r="AU1222">
        <v>451.04</v>
      </c>
      <c r="AV1222">
        <v>25394850</v>
      </c>
      <c r="AW1222">
        <v>652654.88</v>
      </c>
    </row>
    <row r="1223" spans="1:49" hidden="1" x14ac:dyDescent="0.35">
      <c r="A1223">
        <v>5861210</v>
      </c>
      <c r="B1223">
        <v>1090005861201</v>
      </c>
      <c r="D1223">
        <v>30712215646</v>
      </c>
      <c r="E1223" t="s">
        <v>1072</v>
      </c>
      <c r="F1223" t="s">
        <v>1</v>
      </c>
      <c r="G1223" t="s">
        <v>370</v>
      </c>
      <c r="H1223" t="s">
        <v>58</v>
      </c>
      <c r="I1223">
        <v>6333</v>
      </c>
      <c r="J1223">
        <v>21</v>
      </c>
      <c r="K1223" t="s">
        <v>33</v>
      </c>
      <c r="L1223">
        <v>6127</v>
      </c>
      <c r="M1223" t="s">
        <v>118</v>
      </c>
      <c r="N1223">
        <v>9</v>
      </c>
      <c r="O1223" t="s">
        <v>119</v>
      </c>
      <c r="P1223" t="s">
        <v>1739</v>
      </c>
      <c r="Q1223">
        <v>339.24</v>
      </c>
      <c r="R1223">
        <v>13200</v>
      </c>
      <c r="S1223">
        <v>88</v>
      </c>
      <c r="T1223">
        <v>150</v>
      </c>
      <c r="U1223">
        <v>26</v>
      </c>
      <c r="V1223">
        <v>1447</v>
      </c>
      <c r="W1223" t="s">
        <v>121</v>
      </c>
      <c r="X1223" t="s">
        <v>1</v>
      </c>
      <c r="Y1223">
        <v>490880.28</v>
      </c>
      <c r="Z1223">
        <v>19100400</v>
      </c>
      <c r="AA1223">
        <v>217050</v>
      </c>
      <c r="AB1223">
        <v>106</v>
      </c>
      <c r="AC1223" s="34">
        <v>45993</v>
      </c>
      <c r="AD1223" s="34">
        <v>46188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 t="s">
        <v>122</v>
      </c>
      <c r="AT1223">
        <v>7920</v>
      </c>
      <c r="AU1223">
        <v>203.54</v>
      </c>
      <c r="AV1223">
        <v>11460240</v>
      </c>
      <c r="AW1223">
        <v>294522.38</v>
      </c>
    </row>
    <row r="1224" spans="1:49" hidden="1" x14ac:dyDescent="0.35">
      <c r="A1224">
        <v>5861210</v>
      </c>
      <c r="B1224">
        <v>1090005861201</v>
      </c>
      <c r="D1224">
        <v>30712215646</v>
      </c>
      <c r="E1224" t="s">
        <v>1072</v>
      </c>
      <c r="F1224" t="s">
        <v>1</v>
      </c>
      <c r="G1224" t="s">
        <v>56</v>
      </c>
      <c r="H1224" t="s">
        <v>56</v>
      </c>
      <c r="I1224">
        <v>6381</v>
      </c>
      <c r="J1224">
        <v>21</v>
      </c>
      <c r="K1224" t="s">
        <v>33</v>
      </c>
      <c r="L1224">
        <v>6127</v>
      </c>
      <c r="M1224" t="s">
        <v>118</v>
      </c>
      <c r="N1224">
        <v>10</v>
      </c>
      <c r="O1224" t="s">
        <v>119</v>
      </c>
      <c r="P1224" t="s">
        <v>1740</v>
      </c>
      <c r="Q1224">
        <v>1464.9</v>
      </c>
      <c r="R1224">
        <v>57000</v>
      </c>
      <c r="S1224">
        <v>380</v>
      </c>
      <c r="T1224">
        <v>150</v>
      </c>
      <c r="U1224">
        <v>26</v>
      </c>
      <c r="V1224">
        <v>1447</v>
      </c>
      <c r="W1224" t="s">
        <v>121</v>
      </c>
      <c r="X1224" t="s">
        <v>1</v>
      </c>
      <c r="Y1224">
        <v>2119710.2999999998</v>
      </c>
      <c r="Z1224">
        <v>82479000</v>
      </c>
      <c r="AA1224">
        <v>217050</v>
      </c>
      <c r="AB1224">
        <v>106</v>
      </c>
      <c r="AC1224" s="34">
        <v>45993</v>
      </c>
      <c r="AD1224" s="34">
        <v>46188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 t="s">
        <v>122</v>
      </c>
      <c r="AT1224">
        <v>34200</v>
      </c>
      <c r="AU1224">
        <v>878.94</v>
      </c>
      <c r="AV1224">
        <v>49487400</v>
      </c>
      <c r="AW1224">
        <v>1271826.18</v>
      </c>
    </row>
    <row r="1225" spans="1:49" hidden="1" x14ac:dyDescent="0.35">
      <c r="A1225">
        <v>5861210</v>
      </c>
      <c r="B1225">
        <v>1090005861201</v>
      </c>
      <c r="D1225">
        <v>30712215646</v>
      </c>
      <c r="E1225" t="s">
        <v>1072</v>
      </c>
      <c r="F1225" t="s">
        <v>1</v>
      </c>
      <c r="G1225" t="s">
        <v>1712</v>
      </c>
      <c r="H1225" t="s">
        <v>1637</v>
      </c>
      <c r="I1225">
        <v>6387</v>
      </c>
      <c r="J1225">
        <v>21</v>
      </c>
      <c r="K1225" t="s">
        <v>33</v>
      </c>
      <c r="L1225">
        <v>6127</v>
      </c>
      <c r="M1225" t="s">
        <v>118</v>
      </c>
      <c r="N1225">
        <v>11</v>
      </c>
      <c r="O1225" t="s">
        <v>119</v>
      </c>
      <c r="P1225" t="s">
        <v>1741</v>
      </c>
      <c r="Q1225">
        <v>1191.2</v>
      </c>
      <c r="R1225">
        <v>46350</v>
      </c>
      <c r="S1225">
        <v>618</v>
      </c>
      <c r="T1225">
        <v>75</v>
      </c>
      <c r="U1225">
        <v>26</v>
      </c>
      <c r="V1225">
        <v>1447</v>
      </c>
      <c r="W1225" t="s">
        <v>121</v>
      </c>
      <c r="X1225" t="s">
        <v>1</v>
      </c>
      <c r="Y1225">
        <v>1723666.4</v>
      </c>
      <c r="Z1225">
        <v>67068450</v>
      </c>
      <c r="AA1225">
        <v>108525</v>
      </c>
      <c r="AB1225">
        <v>106</v>
      </c>
      <c r="AC1225" s="34">
        <v>45993</v>
      </c>
      <c r="AD1225" s="34">
        <v>46188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 t="s">
        <v>122</v>
      </c>
      <c r="AT1225">
        <v>27810</v>
      </c>
      <c r="AU1225">
        <v>714.72</v>
      </c>
      <c r="AV1225">
        <v>40241070</v>
      </c>
      <c r="AW1225">
        <v>1034199.84</v>
      </c>
    </row>
    <row r="1226" spans="1:49" hidden="1" x14ac:dyDescent="0.35">
      <c r="A1226">
        <v>5861210</v>
      </c>
      <c r="B1226">
        <v>1090005861201</v>
      </c>
      <c r="D1226">
        <v>30712215646</v>
      </c>
      <c r="E1226" t="s">
        <v>1072</v>
      </c>
      <c r="F1226" t="s">
        <v>1</v>
      </c>
      <c r="G1226" t="s">
        <v>1062</v>
      </c>
      <c r="H1226" t="s">
        <v>1062</v>
      </c>
      <c r="I1226">
        <v>6330</v>
      </c>
      <c r="J1226">
        <v>21</v>
      </c>
      <c r="K1226" t="s">
        <v>33</v>
      </c>
      <c r="L1226">
        <v>6127</v>
      </c>
      <c r="M1226" t="s">
        <v>118</v>
      </c>
      <c r="N1226">
        <v>12</v>
      </c>
      <c r="O1226" t="s">
        <v>119</v>
      </c>
      <c r="P1226" t="s">
        <v>1742</v>
      </c>
      <c r="Q1226">
        <v>489.59</v>
      </c>
      <c r="R1226">
        <v>19050</v>
      </c>
      <c r="S1226">
        <v>127</v>
      </c>
      <c r="T1226">
        <v>150</v>
      </c>
      <c r="U1226">
        <v>26</v>
      </c>
      <c r="V1226">
        <v>1447</v>
      </c>
      <c r="W1226" t="s">
        <v>121</v>
      </c>
      <c r="X1226" t="s">
        <v>1</v>
      </c>
      <c r="Y1226">
        <v>708436.73</v>
      </c>
      <c r="Z1226">
        <v>27565350</v>
      </c>
      <c r="AA1226">
        <v>217050</v>
      </c>
      <c r="AB1226">
        <v>106</v>
      </c>
      <c r="AC1226" s="34">
        <v>45993</v>
      </c>
      <c r="AD1226" s="34">
        <v>46188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 t="s">
        <v>122</v>
      </c>
      <c r="AT1226">
        <v>11430</v>
      </c>
      <c r="AU1226">
        <v>293.75</v>
      </c>
      <c r="AV1226">
        <v>16539210</v>
      </c>
      <c r="AW1226">
        <v>425056.25</v>
      </c>
    </row>
    <row r="1227" spans="1:49" hidden="1" x14ac:dyDescent="0.35">
      <c r="A1227">
        <v>5861310</v>
      </c>
      <c r="B1227">
        <v>5010005861301</v>
      </c>
      <c r="D1227">
        <v>30519895699</v>
      </c>
      <c r="E1227" t="s">
        <v>1454</v>
      </c>
      <c r="F1227" t="s">
        <v>1</v>
      </c>
      <c r="G1227" t="s">
        <v>39</v>
      </c>
      <c r="H1227" t="s">
        <v>39</v>
      </c>
      <c r="I1227">
        <v>6640</v>
      </c>
      <c r="J1227">
        <v>1</v>
      </c>
      <c r="K1227" t="s">
        <v>16</v>
      </c>
      <c r="L1227">
        <v>6586</v>
      </c>
      <c r="M1227" t="s">
        <v>1421</v>
      </c>
      <c r="N1227">
        <v>1</v>
      </c>
      <c r="O1227" t="s">
        <v>119</v>
      </c>
      <c r="P1227" t="s">
        <v>1744</v>
      </c>
      <c r="Q1227">
        <v>942660.18</v>
      </c>
      <c r="R1227">
        <v>41164200</v>
      </c>
      <c r="S1227">
        <v>63</v>
      </c>
      <c r="T1227">
        <v>653400</v>
      </c>
      <c r="U1227">
        <v>1</v>
      </c>
      <c r="V1227">
        <v>1</v>
      </c>
      <c r="W1227" t="s">
        <v>127</v>
      </c>
      <c r="X1227">
        <v>29700</v>
      </c>
      <c r="Y1227">
        <v>942660.18</v>
      </c>
      <c r="Z1227">
        <v>41164200</v>
      </c>
      <c r="AA1227">
        <v>653400</v>
      </c>
      <c r="AB1227">
        <v>105</v>
      </c>
      <c r="AC1227" s="34">
        <v>46060</v>
      </c>
      <c r="AD1227" s="34">
        <v>46173</v>
      </c>
      <c r="AF1227">
        <v>0</v>
      </c>
      <c r="AG1227">
        <v>942660.18</v>
      </c>
      <c r="AH1227">
        <v>0</v>
      </c>
      <c r="AI1227">
        <v>942660.18</v>
      </c>
      <c r="AJ1227">
        <v>0</v>
      </c>
      <c r="AK1227">
        <v>0</v>
      </c>
      <c r="AL1227">
        <v>236607.71</v>
      </c>
      <c r="AM1227">
        <v>0</v>
      </c>
      <c r="AN1227">
        <v>1179267.8899999999</v>
      </c>
      <c r="AO1227" t="s">
        <v>122</v>
      </c>
      <c r="AP1227">
        <v>15</v>
      </c>
      <c r="AQ1227">
        <v>141399.03</v>
      </c>
      <c r="AR1227">
        <v>141399.03</v>
      </c>
      <c r="AT1227">
        <v>24698520</v>
      </c>
      <c r="AU1227">
        <v>565596.11</v>
      </c>
      <c r="AV1227">
        <v>24698520</v>
      </c>
      <c r="AW1227">
        <v>565596.11</v>
      </c>
    </row>
    <row r="1228" spans="1:49" hidden="1" x14ac:dyDescent="0.35">
      <c r="A1228">
        <v>5861410</v>
      </c>
      <c r="B1228">
        <v>1090005861401</v>
      </c>
      <c r="D1228">
        <v>20339969079</v>
      </c>
      <c r="E1228" t="s">
        <v>1639</v>
      </c>
      <c r="F1228" t="s">
        <v>1</v>
      </c>
      <c r="G1228" t="s">
        <v>395</v>
      </c>
      <c r="H1228" t="s">
        <v>56</v>
      </c>
      <c r="I1228">
        <v>6380</v>
      </c>
      <c r="J1228">
        <v>21</v>
      </c>
      <c r="K1228" t="s">
        <v>33</v>
      </c>
      <c r="L1228">
        <v>82963</v>
      </c>
      <c r="M1228" t="s">
        <v>396</v>
      </c>
      <c r="N1228">
        <v>1</v>
      </c>
      <c r="O1228" t="s">
        <v>119</v>
      </c>
      <c r="P1228" t="s">
        <v>1745</v>
      </c>
      <c r="Q1228">
        <v>432000</v>
      </c>
      <c r="R1228">
        <v>12000000</v>
      </c>
      <c r="S1228">
        <v>20</v>
      </c>
      <c r="T1228">
        <v>600000</v>
      </c>
      <c r="U1228">
        <v>1</v>
      </c>
      <c r="V1228">
        <v>1</v>
      </c>
      <c r="W1228" t="s">
        <v>121</v>
      </c>
      <c r="X1228" t="s">
        <v>1</v>
      </c>
      <c r="Y1228">
        <v>432000</v>
      </c>
      <c r="Z1228">
        <v>12000000</v>
      </c>
      <c r="AA1228">
        <v>600000</v>
      </c>
      <c r="AB1228">
        <v>105</v>
      </c>
      <c r="AC1228" s="34">
        <v>46053</v>
      </c>
      <c r="AD1228" s="34">
        <v>46188</v>
      </c>
      <c r="AE1228" t="s">
        <v>161</v>
      </c>
      <c r="AF1228">
        <v>0</v>
      </c>
      <c r="AG1228">
        <v>432000</v>
      </c>
      <c r="AH1228">
        <v>0</v>
      </c>
      <c r="AI1228">
        <v>432000</v>
      </c>
      <c r="AJ1228">
        <v>0</v>
      </c>
      <c r="AK1228">
        <v>0</v>
      </c>
      <c r="AL1228">
        <v>108432</v>
      </c>
      <c r="AM1228">
        <v>0</v>
      </c>
      <c r="AN1228">
        <v>540432</v>
      </c>
      <c r="AO1228" t="s">
        <v>122</v>
      </c>
      <c r="AP1228">
        <v>12</v>
      </c>
      <c r="AQ1228">
        <v>51840</v>
      </c>
      <c r="AR1228">
        <v>51840</v>
      </c>
      <c r="AT1228">
        <v>7200000</v>
      </c>
      <c r="AU1228">
        <v>259200</v>
      </c>
      <c r="AV1228">
        <v>7200000</v>
      </c>
      <c r="AW1228">
        <v>259200</v>
      </c>
    </row>
    <row r="1229" spans="1:49" hidden="1" x14ac:dyDescent="0.35">
      <c r="A1229">
        <v>5861510</v>
      </c>
      <c r="B1229">
        <v>1090005861501</v>
      </c>
      <c r="D1229">
        <v>20254637611</v>
      </c>
      <c r="E1229" t="s">
        <v>997</v>
      </c>
      <c r="F1229" t="s">
        <v>1</v>
      </c>
      <c r="G1229" t="s">
        <v>395</v>
      </c>
      <c r="H1229" t="s">
        <v>56</v>
      </c>
      <c r="I1229">
        <v>6380</v>
      </c>
      <c r="J1229">
        <v>21</v>
      </c>
      <c r="K1229" t="s">
        <v>33</v>
      </c>
      <c r="L1229">
        <v>82963</v>
      </c>
      <c r="M1229" t="s">
        <v>396</v>
      </c>
      <c r="N1229">
        <v>1</v>
      </c>
      <c r="O1229" t="s">
        <v>119</v>
      </c>
      <c r="P1229" t="s">
        <v>1746</v>
      </c>
      <c r="Q1229">
        <v>2095.1</v>
      </c>
      <c r="R1229">
        <v>73000</v>
      </c>
      <c r="S1229">
        <v>146</v>
      </c>
      <c r="T1229">
        <v>500</v>
      </c>
      <c r="U1229">
        <v>26</v>
      </c>
      <c r="V1229">
        <v>1442</v>
      </c>
      <c r="W1229" t="s">
        <v>121</v>
      </c>
      <c r="X1229" t="s">
        <v>1</v>
      </c>
      <c r="Y1229">
        <v>3021134.2</v>
      </c>
      <c r="Z1229">
        <v>105266000</v>
      </c>
      <c r="AA1229">
        <v>721000</v>
      </c>
      <c r="AB1229">
        <v>106</v>
      </c>
      <c r="AC1229" s="34">
        <v>46053</v>
      </c>
      <c r="AD1229" s="34">
        <v>46203</v>
      </c>
      <c r="AE1229" t="s">
        <v>161</v>
      </c>
      <c r="AF1229">
        <v>0</v>
      </c>
      <c r="AG1229">
        <v>2095.1</v>
      </c>
      <c r="AH1229">
        <v>0</v>
      </c>
      <c r="AI1229">
        <v>3021134.2</v>
      </c>
      <c r="AJ1229">
        <v>0</v>
      </c>
      <c r="AK1229">
        <v>0</v>
      </c>
      <c r="AL1229">
        <v>758304.54</v>
      </c>
      <c r="AM1229">
        <v>0</v>
      </c>
      <c r="AN1229">
        <v>3779438.74</v>
      </c>
      <c r="AO1229" t="s">
        <v>122</v>
      </c>
      <c r="AP1229">
        <v>10</v>
      </c>
      <c r="AQ1229">
        <v>209.51</v>
      </c>
      <c r="AR1229">
        <v>302113.42</v>
      </c>
      <c r="AT1229">
        <v>43800</v>
      </c>
      <c r="AU1229">
        <v>1257.06</v>
      </c>
      <c r="AV1229">
        <v>63159600</v>
      </c>
      <c r="AW1229">
        <v>1812680.52</v>
      </c>
    </row>
    <row r="1230" spans="1:49" hidden="1" x14ac:dyDescent="0.35">
      <c r="A1230">
        <v>5861610</v>
      </c>
      <c r="B1230">
        <v>1090005861601</v>
      </c>
      <c r="D1230">
        <v>30616518239</v>
      </c>
      <c r="E1230" t="s">
        <v>1747</v>
      </c>
      <c r="F1230" t="s">
        <v>1</v>
      </c>
      <c r="G1230" t="s">
        <v>395</v>
      </c>
      <c r="H1230" t="s">
        <v>56</v>
      </c>
      <c r="I1230">
        <v>6380</v>
      </c>
      <c r="J1230">
        <v>21</v>
      </c>
      <c r="K1230" t="s">
        <v>33</v>
      </c>
      <c r="L1230">
        <v>82963</v>
      </c>
      <c r="M1230" t="s">
        <v>396</v>
      </c>
      <c r="N1230">
        <v>1</v>
      </c>
      <c r="O1230" t="s">
        <v>119</v>
      </c>
      <c r="P1230" t="s">
        <v>1748</v>
      </c>
      <c r="Q1230">
        <v>2534700</v>
      </c>
      <c r="R1230">
        <v>71000000</v>
      </c>
      <c r="S1230">
        <v>142</v>
      </c>
      <c r="T1230">
        <v>500000</v>
      </c>
      <c r="U1230">
        <v>1</v>
      </c>
      <c r="V1230">
        <v>1</v>
      </c>
      <c r="W1230" t="s">
        <v>121</v>
      </c>
      <c r="X1230" t="s">
        <v>1</v>
      </c>
      <c r="Y1230">
        <v>2534700</v>
      </c>
      <c r="Z1230">
        <v>71000000</v>
      </c>
      <c r="AA1230">
        <v>500000</v>
      </c>
      <c r="AB1230">
        <v>105</v>
      </c>
      <c r="AC1230" s="34">
        <v>46049</v>
      </c>
      <c r="AD1230" s="34">
        <v>46188</v>
      </c>
      <c r="AE1230" t="s">
        <v>161</v>
      </c>
      <c r="AF1230">
        <v>0</v>
      </c>
      <c r="AG1230">
        <v>2534700</v>
      </c>
      <c r="AH1230">
        <v>0</v>
      </c>
      <c r="AI1230">
        <v>2534700</v>
      </c>
      <c r="AJ1230">
        <v>0</v>
      </c>
      <c r="AK1230">
        <v>0</v>
      </c>
      <c r="AL1230">
        <v>636209.69999999995</v>
      </c>
      <c r="AM1230">
        <v>0</v>
      </c>
      <c r="AN1230">
        <v>3170909.7</v>
      </c>
      <c r="AO1230" t="s">
        <v>122</v>
      </c>
      <c r="AP1230">
        <v>10</v>
      </c>
      <c r="AQ1230">
        <v>253470</v>
      </c>
      <c r="AR1230">
        <v>253470</v>
      </c>
      <c r="AT1230">
        <v>42600000</v>
      </c>
      <c r="AU1230">
        <v>1520820</v>
      </c>
      <c r="AV1230">
        <v>42600000</v>
      </c>
      <c r="AW1230">
        <v>1520820</v>
      </c>
    </row>
    <row r="1231" spans="1:49" hidden="1" x14ac:dyDescent="0.35">
      <c r="A1231">
        <v>5861710</v>
      </c>
      <c r="B1231">
        <v>1250005861701</v>
      </c>
      <c r="D1231">
        <v>33718473689</v>
      </c>
      <c r="E1231" t="s">
        <v>1749</v>
      </c>
      <c r="F1231" t="s">
        <v>1</v>
      </c>
      <c r="G1231" t="s">
        <v>1750</v>
      </c>
      <c r="H1231" t="s">
        <v>52</v>
      </c>
      <c r="I1231">
        <v>2651</v>
      </c>
      <c r="J1231">
        <v>3</v>
      </c>
      <c r="K1231" t="s">
        <v>32</v>
      </c>
      <c r="L1231">
        <v>8212</v>
      </c>
      <c r="M1231" t="s">
        <v>1264</v>
      </c>
      <c r="N1231">
        <v>1</v>
      </c>
      <c r="O1231" t="s">
        <v>119</v>
      </c>
      <c r="P1231" t="s">
        <v>1751</v>
      </c>
      <c r="Q1231">
        <v>289575</v>
      </c>
      <c r="R1231">
        <v>11137500</v>
      </c>
      <c r="S1231">
        <v>25</v>
      </c>
      <c r="T1231">
        <v>445500</v>
      </c>
      <c r="U1231">
        <v>1</v>
      </c>
      <c r="V1231">
        <v>1</v>
      </c>
      <c r="W1231" t="s">
        <v>127</v>
      </c>
      <c r="X1231">
        <v>29700</v>
      </c>
      <c r="Y1231">
        <v>289575</v>
      </c>
      <c r="Z1231">
        <v>11137500</v>
      </c>
      <c r="AA1231">
        <v>445500</v>
      </c>
      <c r="AB1231">
        <v>105</v>
      </c>
      <c r="AC1231" s="34">
        <v>46063</v>
      </c>
      <c r="AD1231" s="34">
        <v>46173</v>
      </c>
      <c r="AF1231">
        <v>0</v>
      </c>
      <c r="AG1231">
        <v>289575</v>
      </c>
      <c r="AH1231">
        <v>0</v>
      </c>
      <c r="AI1231">
        <v>289575</v>
      </c>
      <c r="AJ1231">
        <v>0</v>
      </c>
      <c r="AK1231">
        <v>0</v>
      </c>
      <c r="AL1231">
        <v>75579.08</v>
      </c>
      <c r="AM1231">
        <v>0</v>
      </c>
      <c r="AN1231">
        <v>365154.08</v>
      </c>
      <c r="AO1231" t="s">
        <v>122</v>
      </c>
      <c r="AP1231">
        <v>10</v>
      </c>
      <c r="AQ1231">
        <v>28957.5</v>
      </c>
      <c r="AR1231">
        <v>28957.5</v>
      </c>
      <c r="AT1231">
        <v>6682500</v>
      </c>
      <c r="AU1231">
        <v>173745</v>
      </c>
      <c r="AV1231">
        <v>6682500</v>
      </c>
      <c r="AW1231">
        <v>173745</v>
      </c>
    </row>
    <row r="1232" spans="1:49" hidden="1" x14ac:dyDescent="0.35">
      <c r="A1232">
        <v>5861810</v>
      </c>
      <c r="B1232">
        <v>1250005861801</v>
      </c>
      <c r="D1232">
        <v>33718473689</v>
      </c>
      <c r="E1232" t="s">
        <v>1752</v>
      </c>
      <c r="F1232" t="s">
        <v>1</v>
      </c>
      <c r="G1232" t="s">
        <v>1750</v>
      </c>
      <c r="H1232" t="s">
        <v>52</v>
      </c>
      <c r="I1232">
        <v>2651</v>
      </c>
      <c r="J1232">
        <v>3</v>
      </c>
      <c r="K1232" t="s">
        <v>32</v>
      </c>
      <c r="L1232">
        <v>8212</v>
      </c>
      <c r="M1232" t="s">
        <v>1264</v>
      </c>
      <c r="N1232">
        <v>1</v>
      </c>
      <c r="O1232" t="s">
        <v>119</v>
      </c>
      <c r="P1232" t="s">
        <v>1753</v>
      </c>
      <c r="Q1232">
        <v>333028.5</v>
      </c>
      <c r="R1232">
        <v>13593000</v>
      </c>
      <c r="S1232">
        <v>23</v>
      </c>
      <c r="T1232">
        <v>591000</v>
      </c>
      <c r="U1232">
        <v>1</v>
      </c>
      <c r="V1232">
        <v>1</v>
      </c>
      <c r="W1232" t="s">
        <v>127</v>
      </c>
      <c r="X1232">
        <v>19700</v>
      </c>
      <c r="Y1232">
        <v>333028.5</v>
      </c>
      <c r="Z1232">
        <v>13593000</v>
      </c>
      <c r="AA1232">
        <v>591000</v>
      </c>
      <c r="AB1232">
        <v>210</v>
      </c>
      <c r="AC1232" s="34">
        <v>46063</v>
      </c>
      <c r="AD1232" s="34">
        <v>46142</v>
      </c>
      <c r="AF1232">
        <v>0</v>
      </c>
      <c r="AG1232">
        <v>333028.5</v>
      </c>
      <c r="AH1232">
        <v>0</v>
      </c>
      <c r="AI1232">
        <v>333028.5</v>
      </c>
      <c r="AJ1232">
        <v>0</v>
      </c>
      <c r="AK1232">
        <v>0</v>
      </c>
      <c r="AL1232">
        <v>86920.45</v>
      </c>
      <c r="AM1232">
        <v>0</v>
      </c>
      <c r="AN1232">
        <v>419948.95</v>
      </c>
      <c r="AO1232" t="s">
        <v>122</v>
      </c>
      <c r="AP1232">
        <v>10</v>
      </c>
      <c r="AQ1232">
        <v>33302.85</v>
      </c>
      <c r="AR1232">
        <v>33302.85</v>
      </c>
      <c r="AT1232">
        <v>8155800</v>
      </c>
      <c r="AU1232">
        <v>199817.1</v>
      </c>
      <c r="AV1232">
        <v>8155800</v>
      </c>
      <c r="AW1232">
        <v>199817.1</v>
      </c>
    </row>
    <row r="1233" spans="1:49" hidden="1" x14ac:dyDescent="0.35">
      <c r="A1233">
        <v>5861910</v>
      </c>
      <c r="B1233">
        <v>1090005861901</v>
      </c>
      <c r="D1233">
        <v>30708370084</v>
      </c>
      <c r="E1233" t="s">
        <v>670</v>
      </c>
      <c r="F1233" t="s">
        <v>1</v>
      </c>
      <c r="G1233" t="s">
        <v>568</v>
      </c>
      <c r="H1233" t="s">
        <v>57</v>
      </c>
      <c r="I1233">
        <v>6360</v>
      </c>
      <c r="J1233">
        <v>21</v>
      </c>
      <c r="K1233" t="s">
        <v>33</v>
      </c>
      <c r="L1233">
        <v>6127</v>
      </c>
      <c r="M1233" t="s">
        <v>118</v>
      </c>
      <c r="N1233">
        <v>1</v>
      </c>
      <c r="O1233" t="s">
        <v>119</v>
      </c>
      <c r="P1233" t="s">
        <v>1754</v>
      </c>
      <c r="Q1233">
        <v>2211.36</v>
      </c>
      <c r="R1233">
        <v>81600</v>
      </c>
      <c r="S1233">
        <v>136</v>
      </c>
      <c r="T1233">
        <v>600</v>
      </c>
      <c r="U1233">
        <v>26</v>
      </c>
      <c r="V1233">
        <v>1432</v>
      </c>
      <c r="W1233" t="s">
        <v>121</v>
      </c>
      <c r="X1233" t="s">
        <v>1</v>
      </c>
      <c r="Y1233">
        <v>3166667.52</v>
      </c>
      <c r="Z1233">
        <v>116851200</v>
      </c>
      <c r="AA1233">
        <v>859200</v>
      </c>
      <c r="AB1233">
        <v>106</v>
      </c>
      <c r="AC1233" s="34">
        <v>46051</v>
      </c>
      <c r="AD1233" s="34">
        <v>46173</v>
      </c>
      <c r="AF1233">
        <v>0</v>
      </c>
      <c r="AG1233">
        <v>2211.36</v>
      </c>
      <c r="AH1233">
        <v>0</v>
      </c>
      <c r="AI1233">
        <v>3166667.52</v>
      </c>
      <c r="AJ1233">
        <v>0</v>
      </c>
      <c r="AK1233">
        <v>0</v>
      </c>
      <c r="AL1233">
        <v>794845.92</v>
      </c>
      <c r="AM1233">
        <v>0</v>
      </c>
      <c r="AN1233">
        <v>3961513.44</v>
      </c>
      <c r="AO1233" t="s">
        <v>122</v>
      </c>
      <c r="AP1233">
        <v>12</v>
      </c>
      <c r="AQ1233">
        <v>265.36</v>
      </c>
      <c r="AR1233">
        <v>379995.52</v>
      </c>
      <c r="AT1233">
        <v>48960</v>
      </c>
      <c r="AU1233">
        <v>1326.82</v>
      </c>
      <c r="AV1233">
        <v>70110720</v>
      </c>
      <c r="AW1233">
        <v>1900006.24</v>
      </c>
    </row>
    <row r="1234" spans="1:49" hidden="1" x14ac:dyDescent="0.35">
      <c r="A1234">
        <v>5862010</v>
      </c>
      <c r="B1234">
        <v>1090005862001</v>
      </c>
      <c r="D1234">
        <v>30708370084</v>
      </c>
      <c r="E1234" t="s">
        <v>670</v>
      </c>
      <c r="F1234" t="s">
        <v>1</v>
      </c>
      <c r="G1234" t="s">
        <v>1296</v>
      </c>
      <c r="H1234" t="s">
        <v>57</v>
      </c>
      <c r="I1234">
        <v>6360</v>
      </c>
      <c r="J1234">
        <v>21</v>
      </c>
      <c r="K1234" t="s">
        <v>33</v>
      </c>
      <c r="L1234">
        <v>6127</v>
      </c>
      <c r="M1234" t="s">
        <v>118</v>
      </c>
      <c r="N1234">
        <v>1</v>
      </c>
      <c r="O1234" t="s">
        <v>119</v>
      </c>
      <c r="P1234" t="s">
        <v>1755</v>
      </c>
      <c r="Q1234">
        <v>869.91</v>
      </c>
      <c r="R1234">
        <v>32100</v>
      </c>
      <c r="S1234">
        <v>107</v>
      </c>
      <c r="T1234">
        <v>300</v>
      </c>
      <c r="U1234">
        <v>26</v>
      </c>
      <c r="V1234">
        <v>1432</v>
      </c>
      <c r="W1234" t="s">
        <v>121</v>
      </c>
      <c r="X1234" t="s">
        <v>1</v>
      </c>
      <c r="Y1234">
        <v>1245711.1200000001</v>
      </c>
      <c r="Z1234">
        <v>45967200</v>
      </c>
      <c r="AA1234">
        <v>429600</v>
      </c>
      <c r="AB1234">
        <v>106</v>
      </c>
      <c r="AC1234" s="34">
        <v>46051</v>
      </c>
      <c r="AD1234" s="34">
        <v>46188</v>
      </c>
      <c r="AF1234">
        <v>0</v>
      </c>
      <c r="AG1234">
        <v>869.91</v>
      </c>
      <c r="AH1234">
        <v>0</v>
      </c>
      <c r="AI1234">
        <v>1245711.1200000001</v>
      </c>
      <c r="AJ1234">
        <v>0</v>
      </c>
      <c r="AK1234">
        <v>0</v>
      </c>
      <c r="AL1234">
        <v>312677.2</v>
      </c>
      <c r="AM1234">
        <v>0</v>
      </c>
      <c r="AN1234">
        <v>1558388.32</v>
      </c>
      <c r="AO1234" t="s">
        <v>122</v>
      </c>
      <c r="AP1234">
        <v>12</v>
      </c>
      <c r="AQ1234">
        <v>104.39</v>
      </c>
      <c r="AR1234">
        <v>149486.48000000001</v>
      </c>
      <c r="AT1234">
        <v>19260</v>
      </c>
      <c r="AU1234">
        <v>521.95000000000005</v>
      </c>
      <c r="AV1234">
        <v>27580320</v>
      </c>
      <c r="AW1234">
        <v>747432.4</v>
      </c>
    </row>
    <row r="1235" spans="1:49" hidden="1" x14ac:dyDescent="0.35">
      <c r="A1235">
        <v>5862110</v>
      </c>
      <c r="B1235">
        <v>1090005862101</v>
      </c>
      <c r="D1235">
        <v>30717716368</v>
      </c>
      <c r="E1235" t="s">
        <v>618</v>
      </c>
      <c r="F1235" t="s">
        <v>1</v>
      </c>
      <c r="G1235" t="s">
        <v>412</v>
      </c>
      <c r="H1235" t="s">
        <v>412</v>
      </c>
      <c r="I1235">
        <v>6369</v>
      </c>
      <c r="J1235">
        <v>21</v>
      </c>
      <c r="K1235" t="s">
        <v>33</v>
      </c>
      <c r="L1235">
        <v>82963</v>
      </c>
      <c r="M1235" t="s">
        <v>396</v>
      </c>
      <c r="N1235">
        <v>1</v>
      </c>
      <c r="O1235" t="s">
        <v>119</v>
      </c>
      <c r="P1235" t="s">
        <v>1756</v>
      </c>
      <c r="Q1235">
        <v>1106000</v>
      </c>
      <c r="R1235">
        <v>28000000</v>
      </c>
      <c r="S1235">
        <v>40</v>
      </c>
      <c r="T1235">
        <v>700000</v>
      </c>
      <c r="U1235">
        <v>1</v>
      </c>
      <c r="V1235">
        <v>1</v>
      </c>
      <c r="W1235" t="s">
        <v>121</v>
      </c>
      <c r="X1235" t="s">
        <v>1</v>
      </c>
      <c r="Y1235">
        <v>1106000</v>
      </c>
      <c r="Z1235">
        <v>28000000</v>
      </c>
      <c r="AA1235">
        <v>700000</v>
      </c>
      <c r="AB1235">
        <v>105</v>
      </c>
      <c r="AC1235" s="34">
        <v>46055</v>
      </c>
      <c r="AD1235" s="34">
        <v>46188</v>
      </c>
      <c r="AE1235" t="s">
        <v>161</v>
      </c>
      <c r="AF1235">
        <v>0</v>
      </c>
      <c r="AG1235">
        <v>2765000</v>
      </c>
      <c r="AH1235">
        <v>0</v>
      </c>
      <c r="AI1235">
        <v>2765000</v>
      </c>
      <c r="AJ1235">
        <v>0</v>
      </c>
      <c r="AK1235">
        <v>0</v>
      </c>
      <c r="AL1235">
        <v>694015</v>
      </c>
      <c r="AM1235">
        <v>0</v>
      </c>
      <c r="AN1235">
        <v>3459015</v>
      </c>
      <c r="AO1235" t="s">
        <v>122</v>
      </c>
      <c r="AP1235">
        <v>12</v>
      </c>
      <c r="AQ1235">
        <v>331800</v>
      </c>
      <c r="AR1235">
        <v>331800</v>
      </c>
      <c r="AT1235">
        <v>16800000</v>
      </c>
      <c r="AU1235">
        <v>663600</v>
      </c>
      <c r="AV1235">
        <v>16800000</v>
      </c>
      <c r="AW1235">
        <v>663600</v>
      </c>
    </row>
    <row r="1236" spans="1:49" hidden="1" x14ac:dyDescent="0.35">
      <c r="A1236">
        <v>5862110</v>
      </c>
      <c r="B1236">
        <v>1090005862101</v>
      </c>
      <c r="D1236">
        <v>30717716368</v>
      </c>
      <c r="E1236" t="s">
        <v>618</v>
      </c>
      <c r="F1236" t="s">
        <v>1</v>
      </c>
      <c r="G1236" t="s">
        <v>412</v>
      </c>
      <c r="H1236" t="s">
        <v>412</v>
      </c>
      <c r="I1236">
        <v>6369</v>
      </c>
      <c r="J1236">
        <v>21</v>
      </c>
      <c r="K1236" t="s">
        <v>33</v>
      </c>
      <c r="L1236">
        <v>82963</v>
      </c>
      <c r="M1236" t="s">
        <v>396</v>
      </c>
      <c r="N1236">
        <v>2</v>
      </c>
      <c r="O1236" t="s">
        <v>119</v>
      </c>
      <c r="P1236" t="s">
        <v>1757</v>
      </c>
      <c r="Q1236">
        <v>1659000</v>
      </c>
      <c r="R1236">
        <v>42000000</v>
      </c>
      <c r="S1236">
        <v>60</v>
      </c>
      <c r="T1236">
        <v>700000</v>
      </c>
      <c r="U1236">
        <v>1</v>
      </c>
      <c r="V1236">
        <v>1</v>
      </c>
      <c r="W1236" t="s">
        <v>121</v>
      </c>
      <c r="X1236" t="s">
        <v>1</v>
      </c>
      <c r="Y1236">
        <v>1659000</v>
      </c>
      <c r="Z1236">
        <v>42000000</v>
      </c>
      <c r="AA1236">
        <v>700000</v>
      </c>
      <c r="AB1236">
        <v>105</v>
      </c>
      <c r="AC1236" s="34">
        <v>46055</v>
      </c>
      <c r="AD1236" s="34">
        <v>46188</v>
      </c>
      <c r="AE1236" t="s">
        <v>161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 t="s">
        <v>122</v>
      </c>
      <c r="AT1236">
        <v>25200000</v>
      </c>
      <c r="AU1236">
        <v>995400</v>
      </c>
      <c r="AV1236">
        <v>25200000</v>
      </c>
      <c r="AW1236">
        <v>995400</v>
      </c>
    </row>
    <row r="1237" spans="1:49" hidden="1" x14ac:dyDescent="0.35">
      <c r="A1237">
        <v>5862210</v>
      </c>
      <c r="B1237">
        <v>1170005862201</v>
      </c>
      <c r="D1237">
        <v>27118414298</v>
      </c>
      <c r="E1237" t="s">
        <v>1758</v>
      </c>
      <c r="F1237" t="s">
        <v>1</v>
      </c>
      <c r="G1237" t="s">
        <v>212</v>
      </c>
      <c r="H1237" t="s">
        <v>59</v>
      </c>
      <c r="I1237">
        <v>2637</v>
      </c>
      <c r="J1237">
        <v>12</v>
      </c>
      <c r="K1237" t="s">
        <v>34</v>
      </c>
      <c r="L1237">
        <v>4131</v>
      </c>
      <c r="M1237" t="s">
        <v>1759</v>
      </c>
      <c r="N1237">
        <v>1</v>
      </c>
      <c r="O1237" t="s">
        <v>119</v>
      </c>
      <c r="P1237" t="s">
        <v>1760</v>
      </c>
      <c r="Q1237">
        <v>1373947.34</v>
      </c>
      <c r="R1237">
        <v>45507000</v>
      </c>
      <c r="S1237">
        <v>33</v>
      </c>
      <c r="T1237">
        <v>1379000</v>
      </c>
      <c r="U1237">
        <v>1</v>
      </c>
      <c r="V1237">
        <v>1</v>
      </c>
      <c r="W1237" t="s">
        <v>127</v>
      </c>
      <c r="X1237">
        <v>19700</v>
      </c>
      <c r="Y1237">
        <v>1373947.34</v>
      </c>
      <c r="Z1237">
        <v>45507000</v>
      </c>
      <c r="AA1237">
        <v>1379000</v>
      </c>
      <c r="AB1237">
        <v>105</v>
      </c>
      <c r="AC1237" s="34">
        <v>46067</v>
      </c>
      <c r="AD1237" s="34">
        <v>46142</v>
      </c>
      <c r="AF1237">
        <v>0</v>
      </c>
      <c r="AG1237">
        <v>1373947.34</v>
      </c>
      <c r="AH1237">
        <v>0</v>
      </c>
      <c r="AI1237">
        <v>1373947.34</v>
      </c>
      <c r="AJ1237">
        <v>0</v>
      </c>
      <c r="AK1237">
        <v>0</v>
      </c>
      <c r="AL1237">
        <v>351730.52</v>
      </c>
      <c r="AM1237">
        <v>0</v>
      </c>
      <c r="AN1237">
        <v>1725677.86</v>
      </c>
      <c r="AO1237" t="s">
        <v>122</v>
      </c>
      <c r="AP1237">
        <v>12</v>
      </c>
      <c r="AQ1237">
        <v>164873.68</v>
      </c>
      <c r="AR1237">
        <v>164873.68</v>
      </c>
      <c r="AT1237">
        <v>27304200</v>
      </c>
      <c r="AU1237">
        <v>824368.4</v>
      </c>
      <c r="AV1237">
        <v>27304200</v>
      </c>
      <c r="AW1237">
        <v>824368.4</v>
      </c>
    </row>
    <row r="1238" spans="1:49" hidden="1" x14ac:dyDescent="0.35">
      <c r="A1238">
        <v>5862310</v>
      </c>
      <c r="B1238">
        <v>1090005862301</v>
      </c>
      <c r="D1238">
        <v>20243320403</v>
      </c>
      <c r="E1238" t="s">
        <v>973</v>
      </c>
      <c r="F1238" t="s">
        <v>1</v>
      </c>
      <c r="G1238" t="s">
        <v>19</v>
      </c>
      <c r="H1238" t="s">
        <v>19</v>
      </c>
      <c r="I1238">
        <v>6430</v>
      </c>
      <c r="J1238">
        <v>1</v>
      </c>
      <c r="K1238" t="s">
        <v>16</v>
      </c>
      <c r="L1238">
        <v>9371</v>
      </c>
      <c r="M1238" t="s">
        <v>581</v>
      </c>
      <c r="N1238">
        <v>1</v>
      </c>
      <c r="O1238" t="s">
        <v>119</v>
      </c>
      <c r="P1238" t="s">
        <v>1761</v>
      </c>
      <c r="Q1238">
        <v>568.79999999999995</v>
      </c>
      <c r="R1238">
        <v>24000</v>
      </c>
      <c r="S1238">
        <v>96</v>
      </c>
      <c r="T1238">
        <v>250</v>
      </c>
      <c r="U1238">
        <v>26</v>
      </c>
      <c r="V1238">
        <v>1416</v>
      </c>
      <c r="W1238" t="s">
        <v>121</v>
      </c>
      <c r="X1238" t="s">
        <v>1</v>
      </c>
      <c r="Y1238">
        <v>805420.8</v>
      </c>
      <c r="Z1238">
        <v>33984000</v>
      </c>
      <c r="AA1238">
        <v>354000</v>
      </c>
      <c r="AB1238">
        <v>106</v>
      </c>
      <c r="AC1238" s="34">
        <v>46020</v>
      </c>
      <c r="AD1238" s="34">
        <v>46188</v>
      </c>
      <c r="AF1238">
        <v>0</v>
      </c>
      <c r="AG1238">
        <v>568.79999999999995</v>
      </c>
      <c r="AH1238">
        <v>0</v>
      </c>
      <c r="AI1238">
        <v>805420.8</v>
      </c>
      <c r="AJ1238">
        <v>0</v>
      </c>
      <c r="AK1238">
        <v>0</v>
      </c>
      <c r="AL1238">
        <v>202148.16</v>
      </c>
      <c r="AM1238">
        <v>0</v>
      </c>
      <c r="AN1238">
        <v>1007568.96</v>
      </c>
      <c r="AO1238" t="s">
        <v>122</v>
      </c>
      <c r="AP1238">
        <v>10</v>
      </c>
      <c r="AQ1238">
        <v>56.88</v>
      </c>
      <c r="AR1238">
        <v>80542.080000000002</v>
      </c>
      <c r="AT1238">
        <v>14400</v>
      </c>
      <c r="AU1238">
        <v>341.28</v>
      </c>
      <c r="AV1238">
        <v>20390400</v>
      </c>
      <c r="AW1238">
        <v>483252.47999999998</v>
      </c>
    </row>
    <row r="1239" spans="1:49" hidden="1" x14ac:dyDescent="0.35">
      <c r="A1239">
        <v>5862410</v>
      </c>
      <c r="B1239">
        <v>1090005862401</v>
      </c>
      <c r="D1239">
        <v>20255089979</v>
      </c>
      <c r="E1239" t="s">
        <v>975</v>
      </c>
      <c r="F1239" t="s">
        <v>1</v>
      </c>
      <c r="G1239" t="s">
        <v>19</v>
      </c>
      <c r="H1239" t="s">
        <v>19</v>
      </c>
      <c r="I1239">
        <v>6430</v>
      </c>
      <c r="J1239">
        <v>1</v>
      </c>
      <c r="K1239" t="s">
        <v>16</v>
      </c>
      <c r="L1239">
        <v>9371</v>
      </c>
      <c r="M1239" t="s">
        <v>581</v>
      </c>
      <c r="N1239">
        <v>1</v>
      </c>
      <c r="O1239" t="s">
        <v>119</v>
      </c>
      <c r="P1239" t="s">
        <v>1762</v>
      </c>
      <c r="Q1239">
        <v>568.79999999999995</v>
      </c>
      <c r="R1239">
        <v>24000</v>
      </c>
      <c r="S1239">
        <v>96</v>
      </c>
      <c r="T1239">
        <v>250</v>
      </c>
      <c r="U1239">
        <v>26</v>
      </c>
      <c r="V1239">
        <v>1416</v>
      </c>
      <c r="W1239" t="s">
        <v>121</v>
      </c>
      <c r="X1239" t="s">
        <v>1</v>
      </c>
      <c r="Y1239">
        <v>805420.8</v>
      </c>
      <c r="Z1239">
        <v>33984000</v>
      </c>
      <c r="AA1239">
        <v>354000</v>
      </c>
      <c r="AB1239">
        <v>106</v>
      </c>
      <c r="AC1239" s="34">
        <v>46020</v>
      </c>
      <c r="AD1239" s="34">
        <v>46188</v>
      </c>
      <c r="AF1239">
        <v>0</v>
      </c>
      <c r="AG1239">
        <v>568.79999999999995</v>
      </c>
      <c r="AH1239">
        <v>0</v>
      </c>
      <c r="AI1239">
        <v>805420.8</v>
      </c>
      <c r="AJ1239">
        <v>0</v>
      </c>
      <c r="AK1239">
        <v>0</v>
      </c>
      <c r="AL1239">
        <v>202148.16</v>
      </c>
      <c r="AM1239">
        <v>0</v>
      </c>
      <c r="AN1239">
        <v>1007568.96</v>
      </c>
      <c r="AO1239" t="s">
        <v>122</v>
      </c>
      <c r="AP1239">
        <v>10</v>
      </c>
      <c r="AQ1239">
        <v>56.88</v>
      </c>
      <c r="AR1239">
        <v>80542.080000000002</v>
      </c>
      <c r="AT1239">
        <v>14400</v>
      </c>
      <c r="AU1239">
        <v>341.28</v>
      </c>
      <c r="AV1239">
        <v>20390400</v>
      </c>
      <c r="AW1239">
        <v>483252.47999999998</v>
      </c>
    </row>
    <row r="1240" spans="1:49" hidden="1" x14ac:dyDescent="0.35">
      <c r="A1240">
        <v>5862510</v>
      </c>
      <c r="B1240">
        <v>1090005862501</v>
      </c>
      <c r="D1240">
        <v>20184215595</v>
      </c>
      <c r="E1240" t="s">
        <v>1763</v>
      </c>
      <c r="F1240" t="s">
        <v>1</v>
      </c>
      <c r="G1240" t="s">
        <v>1062</v>
      </c>
      <c r="H1240" t="s">
        <v>1062</v>
      </c>
      <c r="I1240">
        <v>6330</v>
      </c>
      <c r="J1240">
        <v>21</v>
      </c>
      <c r="K1240" t="s">
        <v>33</v>
      </c>
      <c r="L1240">
        <v>13295</v>
      </c>
      <c r="M1240" t="s">
        <v>1332</v>
      </c>
      <c r="N1240">
        <v>1</v>
      </c>
      <c r="O1240" t="s">
        <v>119</v>
      </c>
      <c r="P1240" t="s">
        <v>1764</v>
      </c>
      <c r="Q1240">
        <v>2211.84</v>
      </c>
      <c r="R1240">
        <v>76800</v>
      </c>
      <c r="S1240">
        <v>192</v>
      </c>
      <c r="T1240">
        <v>400</v>
      </c>
      <c r="U1240">
        <v>26</v>
      </c>
      <c r="V1240">
        <v>1416</v>
      </c>
      <c r="W1240" t="s">
        <v>121</v>
      </c>
      <c r="X1240" t="s">
        <v>1</v>
      </c>
      <c r="Y1240">
        <v>3131965.4399999999</v>
      </c>
      <c r="Z1240">
        <v>108748800</v>
      </c>
      <c r="AA1240">
        <v>566400</v>
      </c>
      <c r="AB1240">
        <v>210</v>
      </c>
      <c r="AC1240" s="34">
        <v>46018</v>
      </c>
      <c r="AD1240" s="34">
        <v>46142</v>
      </c>
      <c r="AF1240">
        <v>0</v>
      </c>
      <c r="AG1240">
        <v>2211.84</v>
      </c>
      <c r="AH1240">
        <v>0</v>
      </c>
      <c r="AI1240">
        <v>3131965.4399999999</v>
      </c>
      <c r="AJ1240">
        <v>0</v>
      </c>
      <c r="AK1240">
        <v>0</v>
      </c>
      <c r="AL1240">
        <v>786134.88</v>
      </c>
      <c r="AM1240">
        <v>0</v>
      </c>
      <c r="AN1240">
        <v>3918100.32</v>
      </c>
      <c r="AO1240" t="s">
        <v>122</v>
      </c>
      <c r="AP1240">
        <v>10</v>
      </c>
      <c r="AQ1240">
        <v>221.18</v>
      </c>
      <c r="AR1240">
        <v>313190.88</v>
      </c>
      <c r="AT1240">
        <v>46080</v>
      </c>
      <c r="AU1240">
        <v>1327.1</v>
      </c>
      <c r="AV1240">
        <v>65249280</v>
      </c>
      <c r="AW1240">
        <v>1879173.6</v>
      </c>
    </row>
    <row r="1241" spans="1:49" hidden="1" x14ac:dyDescent="0.35">
      <c r="A1241">
        <v>5862610</v>
      </c>
      <c r="B1241">
        <v>1090005862601</v>
      </c>
      <c r="D1241">
        <v>20184215595</v>
      </c>
      <c r="E1241" t="s">
        <v>1763</v>
      </c>
      <c r="F1241" t="s">
        <v>1</v>
      </c>
      <c r="G1241" t="s">
        <v>1062</v>
      </c>
      <c r="H1241" t="s">
        <v>1062</v>
      </c>
      <c r="I1241">
        <v>6330</v>
      </c>
      <c r="J1241">
        <v>21</v>
      </c>
      <c r="K1241" t="s">
        <v>33</v>
      </c>
      <c r="L1241">
        <v>13295</v>
      </c>
      <c r="M1241" t="s">
        <v>1332</v>
      </c>
      <c r="N1241">
        <v>1</v>
      </c>
      <c r="O1241" t="s">
        <v>119</v>
      </c>
      <c r="P1241" t="s">
        <v>1765</v>
      </c>
      <c r="Q1241">
        <v>1899.77</v>
      </c>
      <c r="R1241">
        <v>57050</v>
      </c>
      <c r="S1241">
        <v>163</v>
      </c>
      <c r="T1241">
        <v>350</v>
      </c>
      <c r="U1241">
        <v>26</v>
      </c>
      <c r="V1241">
        <v>1416</v>
      </c>
      <c r="W1241" t="s">
        <v>121</v>
      </c>
      <c r="X1241" t="s">
        <v>1</v>
      </c>
      <c r="Y1241">
        <v>2690074.32</v>
      </c>
      <c r="Z1241">
        <v>80782800</v>
      </c>
      <c r="AA1241">
        <v>495600</v>
      </c>
      <c r="AB1241">
        <v>210</v>
      </c>
      <c r="AC1241" s="34">
        <v>46018</v>
      </c>
      <c r="AD1241" s="34">
        <v>46112</v>
      </c>
      <c r="AF1241">
        <v>0</v>
      </c>
      <c r="AG1241">
        <v>1899.77</v>
      </c>
      <c r="AH1241">
        <v>0</v>
      </c>
      <c r="AI1241">
        <v>2690074.32</v>
      </c>
      <c r="AJ1241">
        <v>0</v>
      </c>
      <c r="AK1241">
        <v>0</v>
      </c>
      <c r="AL1241">
        <v>675205.44</v>
      </c>
      <c r="AM1241">
        <v>0</v>
      </c>
      <c r="AN1241">
        <v>3365279.76</v>
      </c>
      <c r="AO1241" t="s">
        <v>122</v>
      </c>
      <c r="AP1241">
        <v>10</v>
      </c>
      <c r="AQ1241">
        <v>189.98</v>
      </c>
      <c r="AR1241">
        <v>269011.68</v>
      </c>
      <c r="AT1241">
        <v>34230</v>
      </c>
      <c r="AU1241">
        <v>1139.8599999999999</v>
      </c>
      <c r="AV1241">
        <v>48469680</v>
      </c>
      <c r="AW1241">
        <v>1614041.76</v>
      </c>
    </row>
    <row r="1242" spans="1:49" hidden="1" x14ac:dyDescent="0.35">
      <c r="A1242">
        <v>5862710</v>
      </c>
      <c r="B1242">
        <v>5010005862701</v>
      </c>
      <c r="D1242">
        <v>30708117583</v>
      </c>
      <c r="E1242" t="s">
        <v>1766</v>
      </c>
      <c r="F1242" t="s">
        <v>1</v>
      </c>
      <c r="G1242" t="s">
        <v>1767</v>
      </c>
      <c r="H1242" t="s">
        <v>50</v>
      </c>
      <c r="I1242">
        <v>5951</v>
      </c>
      <c r="J1242">
        <v>3</v>
      </c>
      <c r="K1242" t="s">
        <v>32</v>
      </c>
      <c r="L1242">
        <v>11014</v>
      </c>
      <c r="M1242" t="s">
        <v>232</v>
      </c>
      <c r="N1242">
        <v>1</v>
      </c>
      <c r="O1242" t="s">
        <v>119</v>
      </c>
      <c r="P1242" t="s">
        <v>1768</v>
      </c>
      <c r="Q1242">
        <v>4369091.6100000003</v>
      </c>
      <c r="R1242">
        <v>213126420</v>
      </c>
      <c r="S1242">
        <v>197</v>
      </c>
      <c r="T1242">
        <v>1081860</v>
      </c>
      <c r="U1242">
        <v>1</v>
      </c>
      <c r="V1242">
        <v>1</v>
      </c>
      <c r="W1242" t="s">
        <v>127</v>
      </c>
      <c r="X1242">
        <v>54093</v>
      </c>
      <c r="Y1242">
        <v>4369091.6100000003</v>
      </c>
      <c r="Z1242">
        <v>213126420</v>
      </c>
      <c r="AA1242">
        <v>1081860</v>
      </c>
      <c r="AB1242">
        <v>212</v>
      </c>
      <c r="AC1242" s="34">
        <v>46003</v>
      </c>
      <c r="AD1242" s="34">
        <v>46112</v>
      </c>
      <c r="AF1242">
        <v>0</v>
      </c>
      <c r="AG1242">
        <v>27866820.350000001</v>
      </c>
      <c r="AH1242">
        <v>0</v>
      </c>
      <c r="AI1242">
        <v>27866820.350000001</v>
      </c>
      <c r="AJ1242">
        <v>0</v>
      </c>
      <c r="AK1242">
        <v>0</v>
      </c>
      <c r="AL1242">
        <v>7273240.0999999996</v>
      </c>
      <c r="AM1242">
        <v>0</v>
      </c>
      <c r="AN1242">
        <v>35140060.450000003</v>
      </c>
      <c r="AO1242" t="s">
        <v>122</v>
      </c>
      <c r="AP1242">
        <v>15</v>
      </c>
      <c r="AQ1242">
        <v>4180023.05</v>
      </c>
      <c r="AR1242">
        <v>4180023.05</v>
      </c>
      <c r="AT1242">
        <v>127875852</v>
      </c>
      <c r="AU1242">
        <v>2621454.9700000002</v>
      </c>
      <c r="AV1242">
        <v>127875852</v>
      </c>
      <c r="AW1242">
        <v>2621454.9700000002</v>
      </c>
    </row>
    <row r="1243" spans="1:49" hidden="1" x14ac:dyDescent="0.35">
      <c r="A1243">
        <v>5862710</v>
      </c>
      <c r="B1243">
        <v>5010005862701</v>
      </c>
      <c r="D1243">
        <v>30708117583</v>
      </c>
      <c r="E1243" t="s">
        <v>1766</v>
      </c>
      <c r="F1243" t="s">
        <v>1</v>
      </c>
      <c r="G1243" t="s">
        <v>1767</v>
      </c>
      <c r="H1243" t="s">
        <v>50</v>
      </c>
      <c r="I1243">
        <v>5951</v>
      </c>
      <c r="J1243">
        <v>3</v>
      </c>
      <c r="K1243" t="s">
        <v>32</v>
      </c>
      <c r="L1243">
        <v>11014</v>
      </c>
      <c r="M1243" t="s">
        <v>232</v>
      </c>
      <c r="N1243">
        <v>2</v>
      </c>
      <c r="O1243" t="s">
        <v>119</v>
      </c>
      <c r="P1243" t="s">
        <v>1769</v>
      </c>
      <c r="Q1243">
        <v>7895414.2800000003</v>
      </c>
      <c r="R1243">
        <v>385142160</v>
      </c>
      <c r="S1243">
        <v>356</v>
      </c>
      <c r="T1243">
        <v>1081860</v>
      </c>
      <c r="U1243">
        <v>1</v>
      </c>
      <c r="V1243">
        <v>1</v>
      </c>
      <c r="W1243" t="s">
        <v>127</v>
      </c>
      <c r="X1243">
        <v>54093</v>
      </c>
      <c r="Y1243">
        <v>7895414.2800000003</v>
      </c>
      <c r="Z1243">
        <v>385142160</v>
      </c>
      <c r="AA1243">
        <v>1081860</v>
      </c>
      <c r="AB1243">
        <v>212</v>
      </c>
      <c r="AC1243" s="34">
        <v>46003</v>
      </c>
      <c r="AD1243" s="34">
        <v>46112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 t="s">
        <v>122</v>
      </c>
      <c r="AT1243">
        <v>231085296</v>
      </c>
      <c r="AU1243">
        <v>4737248.57</v>
      </c>
      <c r="AV1243">
        <v>231085296</v>
      </c>
      <c r="AW1243">
        <v>4737248.57</v>
      </c>
    </row>
    <row r="1244" spans="1:49" hidden="1" x14ac:dyDescent="0.35">
      <c r="A1244">
        <v>5862710</v>
      </c>
      <c r="B1244">
        <v>5010005862701</v>
      </c>
      <c r="D1244">
        <v>30708117583</v>
      </c>
      <c r="E1244" t="s">
        <v>1766</v>
      </c>
      <c r="F1244" t="s">
        <v>1</v>
      </c>
      <c r="G1244" t="s">
        <v>435</v>
      </c>
      <c r="H1244" t="s">
        <v>68</v>
      </c>
      <c r="I1244">
        <v>6127</v>
      </c>
      <c r="J1244">
        <v>3</v>
      </c>
      <c r="K1244" t="s">
        <v>32</v>
      </c>
      <c r="L1244">
        <v>11014</v>
      </c>
      <c r="M1244" t="s">
        <v>232</v>
      </c>
      <c r="N1244">
        <v>3</v>
      </c>
      <c r="O1244" t="s">
        <v>119</v>
      </c>
      <c r="P1244" t="s">
        <v>1770</v>
      </c>
      <c r="Q1244">
        <v>4413447.87</v>
      </c>
      <c r="R1244">
        <v>215290140</v>
      </c>
      <c r="S1244">
        <v>199</v>
      </c>
      <c r="T1244">
        <v>1081860</v>
      </c>
      <c r="U1244">
        <v>1</v>
      </c>
      <c r="V1244">
        <v>1</v>
      </c>
      <c r="W1244" t="s">
        <v>127</v>
      </c>
      <c r="X1244">
        <v>54093</v>
      </c>
      <c r="Y1244">
        <v>4413447.87</v>
      </c>
      <c r="Z1244">
        <v>215290140</v>
      </c>
      <c r="AA1244">
        <v>1081860</v>
      </c>
      <c r="AB1244">
        <v>212</v>
      </c>
      <c r="AC1244" s="34">
        <v>46003</v>
      </c>
      <c r="AD1244" s="34">
        <v>46112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 t="s">
        <v>122</v>
      </c>
      <c r="AT1244">
        <v>129174084</v>
      </c>
      <c r="AU1244">
        <v>2648068.7200000002</v>
      </c>
      <c r="AV1244">
        <v>129174084</v>
      </c>
      <c r="AW1244">
        <v>2648068.7200000002</v>
      </c>
    </row>
    <row r="1245" spans="1:49" hidden="1" x14ac:dyDescent="0.35">
      <c r="A1245">
        <v>5862710</v>
      </c>
      <c r="B1245">
        <v>5010005862701</v>
      </c>
      <c r="D1245">
        <v>30708117583</v>
      </c>
      <c r="E1245" t="s">
        <v>1766</v>
      </c>
      <c r="F1245" t="s">
        <v>1</v>
      </c>
      <c r="G1245" t="s">
        <v>1767</v>
      </c>
      <c r="H1245" t="s">
        <v>50</v>
      </c>
      <c r="I1245">
        <v>5951</v>
      </c>
      <c r="J1245">
        <v>3</v>
      </c>
      <c r="K1245" t="s">
        <v>32</v>
      </c>
      <c r="L1245">
        <v>11014</v>
      </c>
      <c r="M1245" t="s">
        <v>232</v>
      </c>
      <c r="N1245">
        <v>4</v>
      </c>
      <c r="O1245" t="s">
        <v>119</v>
      </c>
      <c r="P1245" t="s">
        <v>1771</v>
      </c>
      <c r="Q1245">
        <v>5211860.55</v>
      </c>
      <c r="R1245">
        <v>254237100</v>
      </c>
      <c r="S1245">
        <v>470</v>
      </c>
      <c r="T1245">
        <v>540930</v>
      </c>
      <c r="U1245">
        <v>1</v>
      </c>
      <c r="V1245">
        <v>1</v>
      </c>
      <c r="W1245" t="s">
        <v>127</v>
      </c>
      <c r="X1245">
        <v>54093</v>
      </c>
      <c r="Y1245">
        <v>5211860.55</v>
      </c>
      <c r="Z1245">
        <v>254237100</v>
      </c>
      <c r="AA1245">
        <v>540930</v>
      </c>
      <c r="AB1245">
        <v>212</v>
      </c>
      <c r="AC1245" s="34">
        <v>46003</v>
      </c>
      <c r="AD1245" s="34">
        <v>46112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 t="s">
        <v>122</v>
      </c>
      <c r="AT1245">
        <v>152542260</v>
      </c>
      <c r="AU1245">
        <v>3127116.33</v>
      </c>
      <c r="AV1245">
        <v>152542260</v>
      </c>
      <c r="AW1245">
        <v>3127116.33</v>
      </c>
    </row>
    <row r="1246" spans="1:49" hidden="1" x14ac:dyDescent="0.35">
      <c r="A1246">
        <v>5862710</v>
      </c>
      <c r="B1246">
        <v>5010005862701</v>
      </c>
      <c r="D1246">
        <v>30708117583</v>
      </c>
      <c r="E1246" t="s">
        <v>1766</v>
      </c>
      <c r="F1246" t="s">
        <v>1</v>
      </c>
      <c r="G1246" t="s">
        <v>1767</v>
      </c>
      <c r="H1246" t="s">
        <v>50</v>
      </c>
      <c r="I1246">
        <v>5951</v>
      </c>
      <c r="J1246">
        <v>3</v>
      </c>
      <c r="K1246" t="s">
        <v>32</v>
      </c>
      <c r="L1246">
        <v>11014</v>
      </c>
      <c r="M1246" t="s">
        <v>232</v>
      </c>
      <c r="N1246">
        <v>5</v>
      </c>
      <c r="O1246" t="s">
        <v>119</v>
      </c>
      <c r="P1246" t="s">
        <v>1772</v>
      </c>
      <c r="Q1246">
        <v>2173456.7400000002</v>
      </c>
      <c r="R1246">
        <v>106022280</v>
      </c>
      <c r="S1246">
        <v>98</v>
      </c>
      <c r="T1246">
        <v>1081860</v>
      </c>
      <c r="U1246">
        <v>1</v>
      </c>
      <c r="V1246">
        <v>1</v>
      </c>
      <c r="W1246" t="s">
        <v>127</v>
      </c>
      <c r="X1246">
        <v>54093</v>
      </c>
      <c r="Y1246">
        <v>2173456.7400000002</v>
      </c>
      <c r="Z1246">
        <v>106022280</v>
      </c>
      <c r="AA1246">
        <v>1081860</v>
      </c>
      <c r="AB1246">
        <v>212</v>
      </c>
      <c r="AC1246" s="34">
        <v>46003</v>
      </c>
      <c r="AD1246" s="34">
        <v>46112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 t="s">
        <v>122</v>
      </c>
      <c r="AT1246">
        <v>63613368</v>
      </c>
      <c r="AU1246">
        <v>1304074.04</v>
      </c>
      <c r="AV1246">
        <v>63613368</v>
      </c>
      <c r="AW1246">
        <v>1304074.04</v>
      </c>
    </row>
    <row r="1247" spans="1:49" hidden="1" x14ac:dyDescent="0.35">
      <c r="A1247">
        <v>5862710</v>
      </c>
      <c r="B1247">
        <v>5010005862701</v>
      </c>
      <c r="D1247">
        <v>30708117583</v>
      </c>
      <c r="E1247" t="s">
        <v>1766</v>
      </c>
      <c r="F1247" t="s">
        <v>1</v>
      </c>
      <c r="G1247" t="s">
        <v>166</v>
      </c>
      <c r="H1247" t="s">
        <v>50</v>
      </c>
      <c r="I1247">
        <v>5940</v>
      </c>
      <c r="J1247">
        <v>3</v>
      </c>
      <c r="K1247" t="s">
        <v>32</v>
      </c>
      <c r="L1247">
        <v>11014</v>
      </c>
      <c r="M1247" t="s">
        <v>232</v>
      </c>
      <c r="N1247">
        <v>6</v>
      </c>
      <c r="O1247" t="s">
        <v>119</v>
      </c>
      <c r="P1247" t="s">
        <v>1773</v>
      </c>
      <c r="Q1247">
        <v>620987.64</v>
      </c>
      <c r="R1247">
        <v>30292080</v>
      </c>
      <c r="S1247">
        <v>28</v>
      </c>
      <c r="T1247">
        <v>1081860</v>
      </c>
      <c r="U1247">
        <v>1</v>
      </c>
      <c r="V1247">
        <v>1</v>
      </c>
      <c r="W1247" t="s">
        <v>127</v>
      </c>
      <c r="X1247">
        <v>54093</v>
      </c>
      <c r="Y1247">
        <v>620987.64</v>
      </c>
      <c r="Z1247">
        <v>30292080</v>
      </c>
      <c r="AA1247">
        <v>1081860</v>
      </c>
      <c r="AB1247">
        <v>212</v>
      </c>
      <c r="AC1247" s="34">
        <v>46003</v>
      </c>
      <c r="AD1247" s="34">
        <v>46112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 t="s">
        <v>122</v>
      </c>
      <c r="AT1247">
        <v>18175248</v>
      </c>
      <c r="AU1247">
        <v>372592.58</v>
      </c>
      <c r="AV1247">
        <v>18175248</v>
      </c>
      <c r="AW1247">
        <v>372592.58</v>
      </c>
    </row>
    <row r="1248" spans="1:49" hidden="1" x14ac:dyDescent="0.35">
      <c r="A1248">
        <v>5862710</v>
      </c>
      <c r="B1248">
        <v>5010005862701</v>
      </c>
      <c r="D1248">
        <v>30708117583</v>
      </c>
      <c r="E1248" t="s">
        <v>1766</v>
      </c>
      <c r="F1248" t="s">
        <v>1</v>
      </c>
      <c r="G1248" t="s">
        <v>166</v>
      </c>
      <c r="H1248" t="s">
        <v>50</v>
      </c>
      <c r="I1248">
        <v>5940</v>
      </c>
      <c r="J1248">
        <v>3</v>
      </c>
      <c r="K1248" t="s">
        <v>32</v>
      </c>
      <c r="L1248">
        <v>11014</v>
      </c>
      <c r="M1248" t="s">
        <v>232</v>
      </c>
      <c r="N1248">
        <v>7</v>
      </c>
      <c r="O1248" t="s">
        <v>119</v>
      </c>
      <c r="P1248" t="s">
        <v>1774</v>
      </c>
      <c r="Q1248">
        <v>1064550.24</v>
      </c>
      <c r="R1248">
        <v>51929280</v>
      </c>
      <c r="S1248">
        <v>48</v>
      </c>
      <c r="T1248">
        <v>1081860</v>
      </c>
      <c r="U1248">
        <v>1</v>
      </c>
      <c r="V1248">
        <v>1</v>
      </c>
      <c r="W1248" t="s">
        <v>127</v>
      </c>
      <c r="X1248">
        <v>54093</v>
      </c>
      <c r="Y1248">
        <v>1064550.24</v>
      </c>
      <c r="Z1248">
        <v>51929280</v>
      </c>
      <c r="AA1248">
        <v>1081860</v>
      </c>
      <c r="AB1248">
        <v>212</v>
      </c>
      <c r="AC1248" s="34">
        <v>46003</v>
      </c>
      <c r="AD1248" s="34">
        <v>46112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 t="s">
        <v>122</v>
      </c>
      <c r="AT1248">
        <v>31157568</v>
      </c>
      <c r="AU1248">
        <v>638730.14</v>
      </c>
      <c r="AV1248">
        <v>31157568</v>
      </c>
      <c r="AW1248">
        <v>638730.14</v>
      </c>
    </row>
    <row r="1249" spans="1:49" hidden="1" x14ac:dyDescent="0.35">
      <c r="A1249">
        <v>5862710</v>
      </c>
      <c r="B1249">
        <v>5010005862701</v>
      </c>
      <c r="D1249">
        <v>30708117583</v>
      </c>
      <c r="E1249" t="s">
        <v>1766</v>
      </c>
      <c r="F1249" t="s">
        <v>1</v>
      </c>
      <c r="G1249" t="s">
        <v>1767</v>
      </c>
      <c r="H1249" t="s">
        <v>50</v>
      </c>
      <c r="I1249">
        <v>5951</v>
      </c>
      <c r="J1249">
        <v>3</v>
      </c>
      <c r="K1249" t="s">
        <v>32</v>
      </c>
      <c r="L1249">
        <v>11014</v>
      </c>
      <c r="M1249" t="s">
        <v>232</v>
      </c>
      <c r="N1249">
        <v>8</v>
      </c>
      <c r="O1249" t="s">
        <v>119</v>
      </c>
      <c r="P1249" t="s">
        <v>1775</v>
      </c>
      <c r="Q1249">
        <v>1330687.8</v>
      </c>
      <c r="R1249">
        <v>64911600</v>
      </c>
      <c r="S1249">
        <v>120</v>
      </c>
      <c r="T1249">
        <v>540930</v>
      </c>
      <c r="U1249">
        <v>1</v>
      </c>
      <c r="V1249">
        <v>1</v>
      </c>
      <c r="W1249" t="s">
        <v>127</v>
      </c>
      <c r="X1249">
        <v>54093</v>
      </c>
      <c r="Y1249">
        <v>1330687.8</v>
      </c>
      <c r="Z1249">
        <v>64911600</v>
      </c>
      <c r="AA1249">
        <v>540930</v>
      </c>
      <c r="AB1249">
        <v>212</v>
      </c>
      <c r="AC1249" s="34">
        <v>46003</v>
      </c>
      <c r="AD1249" s="34">
        <v>46112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 t="s">
        <v>122</v>
      </c>
      <c r="AT1249">
        <v>38946960</v>
      </c>
      <c r="AU1249">
        <v>798412.68</v>
      </c>
      <c r="AV1249">
        <v>38946960</v>
      </c>
      <c r="AW1249">
        <v>798412.68</v>
      </c>
    </row>
    <row r="1250" spans="1:49" hidden="1" x14ac:dyDescent="0.35">
      <c r="A1250">
        <v>5862710</v>
      </c>
      <c r="B1250">
        <v>5010005862701</v>
      </c>
      <c r="D1250">
        <v>30708117583</v>
      </c>
      <c r="E1250" t="s">
        <v>1766</v>
      </c>
      <c r="F1250" t="s">
        <v>1</v>
      </c>
      <c r="G1250" t="s">
        <v>1767</v>
      </c>
      <c r="H1250" t="s">
        <v>50</v>
      </c>
      <c r="I1250">
        <v>5951</v>
      </c>
      <c r="J1250">
        <v>3</v>
      </c>
      <c r="K1250" t="s">
        <v>32</v>
      </c>
      <c r="L1250">
        <v>11014</v>
      </c>
      <c r="M1250" t="s">
        <v>232</v>
      </c>
      <c r="N1250">
        <v>9</v>
      </c>
      <c r="O1250" t="s">
        <v>119</v>
      </c>
      <c r="P1250" t="s">
        <v>1776</v>
      </c>
      <c r="Q1250">
        <v>787323.62</v>
      </c>
      <c r="R1250">
        <v>38406030</v>
      </c>
      <c r="S1250">
        <v>71</v>
      </c>
      <c r="T1250">
        <v>540930</v>
      </c>
      <c r="U1250">
        <v>1</v>
      </c>
      <c r="V1250">
        <v>1</v>
      </c>
      <c r="W1250" t="s">
        <v>127</v>
      </c>
      <c r="X1250">
        <v>54093</v>
      </c>
      <c r="Y1250">
        <v>787323.62</v>
      </c>
      <c r="Z1250">
        <v>38406030</v>
      </c>
      <c r="AA1250">
        <v>540930</v>
      </c>
      <c r="AB1250">
        <v>212</v>
      </c>
      <c r="AC1250" s="34">
        <v>46003</v>
      </c>
      <c r="AD1250" s="34">
        <v>46112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 t="s">
        <v>122</v>
      </c>
      <c r="AT1250">
        <v>23043618</v>
      </c>
      <c r="AU1250">
        <v>472394.17</v>
      </c>
      <c r="AV1250">
        <v>23043618</v>
      </c>
      <c r="AW1250">
        <v>472394.17</v>
      </c>
    </row>
    <row r="1251" spans="1:49" hidden="1" x14ac:dyDescent="0.35">
      <c r="A1251">
        <v>5862810</v>
      </c>
      <c r="B1251">
        <v>5010005862801</v>
      </c>
      <c r="D1251">
        <v>30519895699</v>
      </c>
      <c r="E1251" t="s">
        <v>1454</v>
      </c>
      <c r="F1251" t="s">
        <v>1</v>
      </c>
      <c r="G1251" t="s">
        <v>39</v>
      </c>
      <c r="H1251" t="s">
        <v>39</v>
      </c>
      <c r="I1251">
        <v>6640</v>
      </c>
      <c r="J1251">
        <v>1</v>
      </c>
      <c r="K1251" t="s">
        <v>16</v>
      </c>
      <c r="L1251">
        <v>6586</v>
      </c>
      <c r="M1251" t="s">
        <v>1421</v>
      </c>
      <c r="N1251">
        <v>1</v>
      </c>
      <c r="O1251" t="s">
        <v>119</v>
      </c>
      <c r="P1251" t="s">
        <v>1777</v>
      </c>
      <c r="Q1251">
        <v>1939268</v>
      </c>
      <c r="R1251">
        <v>81361000</v>
      </c>
      <c r="S1251">
        <v>59</v>
      </c>
      <c r="T1251">
        <v>1379000</v>
      </c>
      <c r="U1251">
        <v>1</v>
      </c>
      <c r="V1251">
        <v>1</v>
      </c>
      <c r="W1251" t="s">
        <v>127</v>
      </c>
      <c r="X1251">
        <v>19700</v>
      </c>
      <c r="Y1251">
        <v>1939268</v>
      </c>
      <c r="Z1251">
        <v>81361000</v>
      </c>
      <c r="AA1251">
        <v>1379000</v>
      </c>
      <c r="AB1251">
        <v>210</v>
      </c>
      <c r="AC1251" s="34">
        <v>46019</v>
      </c>
      <c r="AD1251" s="34">
        <v>46142</v>
      </c>
      <c r="AF1251">
        <v>0</v>
      </c>
      <c r="AG1251">
        <v>1939268</v>
      </c>
      <c r="AH1251">
        <v>0</v>
      </c>
      <c r="AI1251">
        <v>1939268</v>
      </c>
      <c r="AJ1251">
        <v>0</v>
      </c>
      <c r="AK1251">
        <v>0</v>
      </c>
      <c r="AL1251">
        <v>486756.27</v>
      </c>
      <c r="AM1251">
        <v>0</v>
      </c>
      <c r="AN1251">
        <v>2426024.27</v>
      </c>
      <c r="AO1251" t="s">
        <v>122</v>
      </c>
      <c r="AP1251">
        <v>15</v>
      </c>
      <c r="AQ1251">
        <v>290890.2</v>
      </c>
      <c r="AR1251">
        <v>290890.2</v>
      </c>
      <c r="AT1251">
        <v>48816600</v>
      </c>
      <c r="AU1251">
        <v>1163560.8</v>
      </c>
      <c r="AV1251">
        <v>48816600</v>
      </c>
      <c r="AW1251">
        <v>1163560.8</v>
      </c>
    </row>
    <row r="1252" spans="1:49" hidden="1" x14ac:dyDescent="0.35">
      <c r="A1252">
        <v>5862910</v>
      </c>
      <c r="B1252">
        <v>5010005862901</v>
      </c>
      <c r="D1252">
        <v>30708117583</v>
      </c>
      <c r="E1252" t="s">
        <v>1766</v>
      </c>
      <c r="F1252" t="s">
        <v>1</v>
      </c>
      <c r="G1252" t="s">
        <v>1767</v>
      </c>
      <c r="H1252" t="s">
        <v>50</v>
      </c>
      <c r="I1252">
        <v>5951</v>
      </c>
      <c r="J1252">
        <v>3</v>
      </c>
      <c r="K1252" t="s">
        <v>32</v>
      </c>
      <c r="L1252">
        <v>11014</v>
      </c>
      <c r="M1252" t="s">
        <v>232</v>
      </c>
      <c r="N1252">
        <v>1</v>
      </c>
      <c r="O1252" t="s">
        <v>119</v>
      </c>
      <c r="P1252" t="s">
        <v>1778</v>
      </c>
      <c r="Q1252">
        <v>4095630</v>
      </c>
      <c r="R1252">
        <v>206850000</v>
      </c>
      <c r="S1252">
        <v>210</v>
      </c>
      <c r="T1252">
        <v>985000</v>
      </c>
      <c r="U1252">
        <v>1</v>
      </c>
      <c r="V1252">
        <v>1</v>
      </c>
      <c r="W1252" t="s">
        <v>127</v>
      </c>
      <c r="X1252">
        <v>19700</v>
      </c>
      <c r="Y1252">
        <v>4095630</v>
      </c>
      <c r="Z1252">
        <v>206850000</v>
      </c>
      <c r="AA1252">
        <v>985000</v>
      </c>
      <c r="AB1252">
        <v>105</v>
      </c>
      <c r="AC1252" s="34">
        <v>46003</v>
      </c>
      <c r="AD1252" s="34">
        <v>46203</v>
      </c>
      <c r="AF1252">
        <v>0</v>
      </c>
      <c r="AG1252">
        <v>66732095.200000003</v>
      </c>
      <c r="AH1252">
        <v>0</v>
      </c>
      <c r="AI1252">
        <v>66732095.200000003</v>
      </c>
      <c r="AJ1252">
        <v>0</v>
      </c>
      <c r="AK1252">
        <v>0</v>
      </c>
      <c r="AL1252">
        <v>17388737.219999999</v>
      </c>
      <c r="AM1252">
        <v>0</v>
      </c>
      <c r="AN1252">
        <v>84120832.420000002</v>
      </c>
      <c r="AO1252" t="s">
        <v>122</v>
      </c>
      <c r="AP1252">
        <v>15</v>
      </c>
      <c r="AQ1252">
        <v>10009814.279999999</v>
      </c>
      <c r="AR1252">
        <v>10009814.279999999</v>
      </c>
      <c r="AT1252">
        <v>124110000</v>
      </c>
      <c r="AU1252">
        <v>2457378</v>
      </c>
      <c r="AV1252">
        <v>124110000</v>
      </c>
      <c r="AW1252">
        <v>2457378</v>
      </c>
    </row>
    <row r="1253" spans="1:49" hidden="1" x14ac:dyDescent="0.35">
      <c r="A1253">
        <v>5862910</v>
      </c>
      <c r="B1253">
        <v>5010005862901</v>
      </c>
      <c r="D1253">
        <v>30708117583</v>
      </c>
      <c r="E1253" t="s">
        <v>1766</v>
      </c>
      <c r="F1253" t="s">
        <v>1</v>
      </c>
      <c r="G1253" t="s">
        <v>49</v>
      </c>
      <c r="H1253" t="s">
        <v>49</v>
      </c>
      <c r="I1253">
        <v>5800</v>
      </c>
      <c r="J1253">
        <v>3</v>
      </c>
      <c r="K1253" t="s">
        <v>32</v>
      </c>
      <c r="L1253">
        <v>11014</v>
      </c>
      <c r="M1253" t="s">
        <v>232</v>
      </c>
      <c r="N1253">
        <v>2</v>
      </c>
      <c r="O1253" t="s">
        <v>119</v>
      </c>
      <c r="P1253" t="s">
        <v>1779</v>
      </c>
      <c r="Q1253">
        <v>6402500</v>
      </c>
      <c r="R1253">
        <v>128050000</v>
      </c>
      <c r="S1253">
        <v>130</v>
      </c>
      <c r="T1253">
        <v>985000</v>
      </c>
      <c r="U1253">
        <v>1</v>
      </c>
      <c r="V1253">
        <v>1</v>
      </c>
      <c r="W1253" t="s">
        <v>127</v>
      </c>
      <c r="X1253">
        <v>19700</v>
      </c>
      <c r="Y1253">
        <v>6402500</v>
      </c>
      <c r="Z1253">
        <v>128050000</v>
      </c>
      <c r="AA1253">
        <v>985000</v>
      </c>
      <c r="AB1253">
        <v>105</v>
      </c>
      <c r="AC1253" s="34">
        <v>46003</v>
      </c>
      <c r="AD1253" s="34">
        <v>46203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 t="s">
        <v>122</v>
      </c>
      <c r="AT1253">
        <v>76830000</v>
      </c>
      <c r="AU1253">
        <v>3841500</v>
      </c>
      <c r="AV1253">
        <v>76830000</v>
      </c>
      <c r="AW1253">
        <v>3841500</v>
      </c>
    </row>
    <row r="1254" spans="1:49" hidden="1" x14ac:dyDescent="0.35">
      <c r="A1254">
        <v>5862910</v>
      </c>
      <c r="B1254">
        <v>5010005862901</v>
      </c>
      <c r="D1254">
        <v>30708117583</v>
      </c>
      <c r="E1254" t="s">
        <v>1766</v>
      </c>
      <c r="F1254" t="s">
        <v>1</v>
      </c>
      <c r="G1254" t="s">
        <v>1767</v>
      </c>
      <c r="H1254" t="s">
        <v>50</v>
      </c>
      <c r="I1254">
        <v>5951</v>
      </c>
      <c r="J1254">
        <v>3</v>
      </c>
      <c r="K1254" t="s">
        <v>32</v>
      </c>
      <c r="L1254">
        <v>11014</v>
      </c>
      <c r="M1254" t="s">
        <v>232</v>
      </c>
      <c r="N1254">
        <v>3</v>
      </c>
      <c r="O1254" t="s">
        <v>119</v>
      </c>
      <c r="P1254" t="s">
        <v>1780</v>
      </c>
      <c r="Q1254">
        <v>16187490</v>
      </c>
      <c r="R1254">
        <v>817550000</v>
      </c>
      <c r="S1254">
        <v>830</v>
      </c>
      <c r="T1254">
        <v>985000</v>
      </c>
      <c r="U1254">
        <v>1</v>
      </c>
      <c r="V1254">
        <v>1</v>
      </c>
      <c r="W1254" t="s">
        <v>127</v>
      </c>
      <c r="X1254">
        <v>19700</v>
      </c>
      <c r="Y1254">
        <v>16187490</v>
      </c>
      <c r="Z1254">
        <v>817550000</v>
      </c>
      <c r="AA1254">
        <v>985000</v>
      </c>
      <c r="AB1254">
        <v>105</v>
      </c>
      <c r="AC1254" s="34">
        <v>46003</v>
      </c>
      <c r="AD1254" s="34">
        <v>46203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 t="s">
        <v>122</v>
      </c>
      <c r="AT1254">
        <v>490530000</v>
      </c>
      <c r="AU1254">
        <v>9712494</v>
      </c>
      <c r="AV1254">
        <v>490530000</v>
      </c>
      <c r="AW1254">
        <v>9712494</v>
      </c>
    </row>
    <row r="1255" spans="1:49" hidden="1" x14ac:dyDescent="0.35">
      <c r="A1255">
        <v>5862910</v>
      </c>
      <c r="B1255">
        <v>5010005862901</v>
      </c>
      <c r="D1255">
        <v>30708117583</v>
      </c>
      <c r="E1255" t="s">
        <v>1766</v>
      </c>
      <c r="F1255" t="s">
        <v>1</v>
      </c>
      <c r="G1255" t="s">
        <v>454</v>
      </c>
      <c r="H1255" t="s">
        <v>48</v>
      </c>
      <c r="I1255">
        <v>6123</v>
      </c>
      <c r="J1255">
        <v>3</v>
      </c>
      <c r="K1255" t="s">
        <v>32</v>
      </c>
      <c r="L1255">
        <v>11014</v>
      </c>
      <c r="M1255" t="s">
        <v>232</v>
      </c>
      <c r="N1255">
        <v>4</v>
      </c>
      <c r="O1255" t="s">
        <v>119</v>
      </c>
      <c r="P1255" t="s">
        <v>1781</v>
      </c>
      <c r="Q1255">
        <v>1058875</v>
      </c>
      <c r="R1255">
        <v>49250000</v>
      </c>
      <c r="S1255">
        <v>50</v>
      </c>
      <c r="T1255">
        <v>985000</v>
      </c>
      <c r="U1255">
        <v>1</v>
      </c>
      <c r="V1255">
        <v>1</v>
      </c>
      <c r="W1255" t="s">
        <v>127</v>
      </c>
      <c r="X1255">
        <v>19700</v>
      </c>
      <c r="Y1255">
        <v>1058875</v>
      </c>
      <c r="Z1255">
        <v>49250000</v>
      </c>
      <c r="AA1255">
        <v>985000</v>
      </c>
      <c r="AB1255">
        <v>105</v>
      </c>
      <c r="AC1255" s="34">
        <v>46003</v>
      </c>
      <c r="AD1255" s="34">
        <v>46203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 t="s">
        <v>122</v>
      </c>
      <c r="AT1255">
        <v>29550000</v>
      </c>
      <c r="AU1255">
        <v>635325</v>
      </c>
      <c r="AV1255">
        <v>29550000</v>
      </c>
      <c r="AW1255">
        <v>635325</v>
      </c>
    </row>
    <row r="1256" spans="1:49" hidden="1" x14ac:dyDescent="0.35">
      <c r="A1256">
        <v>5862910</v>
      </c>
      <c r="B1256">
        <v>5010005862901</v>
      </c>
      <c r="D1256">
        <v>30708117583</v>
      </c>
      <c r="E1256" t="s">
        <v>1766</v>
      </c>
      <c r="F1256" t="s">
        <v>1</v>
      </c>
      <c r="G1256" t="s">
        <v>1767</v>
      </c>
      <c r="H1256" t="s">
        <v>50</v>
      </c>
      <c r="I1256">
        <v>5951</v>
      </c>
      <c r="J1256">
        <v>3</v>
      </c>
      <c r="K1256" t="s">
        <v>32</v>
      </c>
      <c r="L1256">
        <v>11014</v>
      </c>
      <c r="M1256" t="s">
        <v>232</v>
      </c>
      <c r="N1256">
        <v>5</v>
      </c>
      <c r="O1256" t="s">
        <v>119</v>
      </c>
      <c r="P1256" t="s">
        <v>1782</v>
      </c>
      <c r="Q1256">
        <v>1825480.8</v>
      </c>
      <c r="R1256">
        <v>92196000</v>
      </c>
      <c r="S1256">
        <v>117</v>
      </c>
      <c r="T1256">
        <v>788000</v>
      </c>
      <c r="U1256">
        <v>1</v>
      </c>
      <c r="V1256">
        <v>1</v>
      </c>
      <c r="W1256" t="s">
        <v>127</v>
      </c>
      <c r="X1256">
        <v>19700</v>
      </c>
      <c r="Y1256">
        <v>1825480.8</v>
      </c>
      <c r="Z1256">
        <v>92196000</v>
      </c>
      <c r="AA1256">
        <v>788000</v>
      </c>
      <c r="AB1256">
        <v>105</v>
      </c>
      <c r="AC1256" s="34">
        <v>46003</v>
      </c>
      <c r="AD1256" s="34">
        <v>46203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 t="s">
        <v>122</v>
      </c>
      <c r="AT1256">
        <v>55317600</v>
      </c>
      <c r="AU1256">
        <v>1095288.48</v>
      </c>
      <c r="AV1256">
        <v>55317600</v>
      </c>
      <c r="AW1256">
        <v>1095288.48</v>
      </c>
    </row>
    <row r="1257" spans="1:49" hidden="1" x14ac:dyDescent="0.35">
      <c r="A1257">
        <v>5862910</v>
      </c>
      <c r="B1257">
        <v>5010005862901</v>
      </c>
      <c r="D1257">
        <v>30708117583</v>
      </c>
      <c r="E1257" t="s">
        <v>1766</v>
      </c>
      <c r="F1257" t="s">
        <v>1</v>
      </c>
      <c r="G1257" t="s">
        <v>1767</v>
      </c>
      <c r="H1257" t="s">
        <v>50</v>
      </c>
      <c r="I1257">
        <v>5951</v>
      </c>
      <c r="J1257">
        <v>3</v>
      </c>
      <c r="K1257" t="s">
        <v>32</v>
      </c>
      <c r="L1257">
        <v>11014</v>
      </c>
      <c r="M1257" t="s">
        <v>232</v>
      </c>
      <c r="N1257">
        <v>6</v>
      </c>
      <c r="O1257" t="s">
        <v>119</v>
      </c>
      <c r="P1257" t="s">
        <v>1783</v>
      </c>
      <c r="Q1257">
        <v>5733882</v>
      </c>
      <c r="R1257">
        <v>289590000</v>
      </c>
      <c r="S1257">
        <v>245</v>
      </c>
      <c r="T1257">
        <v>1182000</v>
      </c>
      <c r="U1257">
        <v>1</v>
      </c>
      <c r="V1257">
        <v>1</v>
      </c>
      <c r="W1257" t="s">
        <v>127</v>
      </c>
      <c r="X1257">
        <v>19700</v>
      </c>
      <c r="Y1257">
        <v>5733882</v>
      </c>
      <c r="Z1257">
        <v>289590000</v>
      </c>
      <c r="AA1257">
        <v>1182000</v>
      </c>
      <c r="AB1257">
        <v>105</v>
      </c>
      <c r="AC1257" s="34">
        <v>46003</v>
      </c>
      <c r="AD1257" s="34">
        <v>46203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 t="s">
        <v>122</v>
      </c>
      <c r="AT1257">
        <v>173754000</v>
      </c>
      <c r="AU1257">
        <v>3440329.2</v>
      </c>
      <c r="AV1257">
        <v>173754000</v>
      </c>
      <c r="AW1257">
        <v>3440329.2</v>
      </c>
    </row>
    <row r="1258" spans="1:49" hidden="1" x14ac:dyDescent="0.35">
      <c r="A1258">
        <v>5862910</v>
      </c>
      <c r="B1258">
        <v>5010005862901</v>
      </c>
      <c r="D1258">
        <v>30708117583</v>
      </c>
      <c r="E1258" t="s">
        <v>1766</v>
      </c>
      <c r="F1258" t="s">
        <v>1</v>
      </c>
      <c r="G1258" t="s">
        <v>1767</v>
      </c>
      <c r="H1258" t="s">
        <v>50</v>
      </c>
      <c r="I1258">
        <v>5951</v>
      </c>
      <c r="J1258">
        <v>3</v>
      </c>
      <c r="K1258" t="s">
        <v>32</v>
      </c>
      <c r="L1258">
        <v>11014</v>
      </c>
      <c r="M1258" t="s">
        <v>232</v>
      </c>
      <c r="N1258">
        <v>7</v>
      </c>
      <c r="O1258" t="s">
        <v>119</v>
      </c>
      <c r="P1258" t="s">
        <v>1784</v>
      </c>
      <c r="Q1258">
        <v>1895691.6</v>
      </c>
      <c r="R1258">
        <v>95742000</v>
      </c>
      <c r="S1258">
        <v>81</v>
      </c>
      <c r="T1258">
        <v>1182000</v>
      </c>
      <c r="U1258">
        <v>1</v>
      </c>
      <c r="V1258">
        <v>1</v>
      </c>
      <c r="W1258" t="s">
        <v>127</v>
      </c>
      <c r="X1258">
        <v>19700</v>
      </c>
      <c r="Y1258">
        <v>1895691.6</v>
      </c>
      <c r="Z1258">
        <v>95742000</v>
      </c>
      <c r="AA1258">
        <v>1182000</v>
      </c>
      <c r="AB1258">
        <v>105</v>
      </c>
      <c r="AC1258" s="34">
        <v>46003</v>
      </c>
      <c r="AD1258" s="34">
        <v>46203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 t="s">
        <v>122</v>
      </c>
      <c r="AT1258">
        <v>57445200</v>
      </c>
      <c r="AU1258">
        <v>1137414.96</v>
      </c>
      <c r="AV1258">
        <v>57445200</v>
      </c>
      <c r="AW1258">
        <v>1137414.96</v>
      </c>
    </row>
    <row r="1259" spans="1:49" hidden="1" x14ac:dyDescent="0.35">
      <c r="A1259">
        <v>5862910</v>
      </c>
      <c r="B1259">
        <v>5010005862901</v>
      </c>
      <c r="D1259">
        <v>30708117583</v>
      </c>
      <c r="E1259" t="s">
        <v>1766</v>
      </c>
      <c r="F1259" t="s">
        <v>1</v>
      </c>
      <c r="G1259" t="s">
        <v>703</v>
      </c>
      <c r="H1259" t="s">
        <v>47</v>
      </c>
      <c r="I1259">
        <v>2670</v>
      </c>
      <c r="J1259">
        <v>3</v>
      </c>
      <c r="K1259" t="s">
        <v>32</v>
      </c>
      <c r="L1259">
        <v>11014</v>
      </c>
      <c r="M1259" t="s">
        <v>232</v>
      </c>
      <c r="N1259">
        <v>8</v>
      </c>
      <c r="O1259" t="s">
        <v>119</v>
      </c>
      <c r="P1259" t="s">
        <v>1785</v>
      </c>
      <c r="Q1259">
        <v>5389920</v>
      </c>
      <c r="R1259">
        <v>187150000</v>
      </c>
      <c r="S1259">
        <v>190</v>
      </c>
      <c r="T1259">
        <v>985000</v>
      </c>
      <c r="U1259">
        <v>1</v>
      </c>
      <c r="V1259">
        <v>1</v>
      </c>
      <c r="W1259" t="s">
        <v>127</v>
      </c>
      <c r="X1259">
        <v>19700</v>
      </c>
      <c r="Y1259">
        <v>5389920</v>
      </c>
      <c r="Z1259">
        <v>187150000</v>
      </c>
      <c r="AA1259">
        <v>985000</v>
      </c>
      <c r="AB1259">
        <v>105</v>
      </c>
      <c r="AC1259" s="34">
        <v>46003</v>
      </c>
      <c r="AD1259" s="34">
        <v>46203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 t="s">
        <v>122</v>
      </c>
      <c r="AT1259">
        <v>112290000</v>
      </c>
      <c r="AU1259">
        <v>3233952</v>
      </c>
      <c r="AV1259">
        <v>112290000</v>
      </c>
      <c r="AW1259">
        <v>3233952</v>
      </c>
    </row>
    <row r="1260" spans="1:49" hidden="1" x14ac:dyDescent="0.35">
      <c r="A1260">
        <v>5862910</v>
      </c>
      <c r="B1260">
        <v>5010005862901</v>
      </c>
      <c r="D1260">
        <v>30708117583</v>
      </c>
      <c r="E1260" t="s">
        <v>1766</v>
      </c>
      <c r="F1260" t="s">
        <v>1</v>
      </c>
      <c r="G1260" t="s">
        <v>703</v>
      </c>
      <c r="H1260" t="s">
        <v>47</v>
      </c>
      <c r="I1260">
        <v>2670</v>
      </c>
      <c r="J1260">
        <v>3</v>
      </c>
      <c r="K1260" t="s">
        <v>32</v>
      </c>
      <c r="L1260">
        <v>11014</v>
      </c>
      <c r="M1260" t="s">
        <v>232</v>
      </c>
      <c r="N1260">
        <v>9</v>
      </c>
      <c r="O1260" t="s">
        <v>119</v>
      </c>
      <c r="P1260" t="s">
        <v>1786</v>
      </c>
      <c r="Q1260">
        <v>3829680</v>
      </c>
      <c r="R1260">
        <v>132975000</v>
      </c>
      <c r="S1260">
        <v>135</v>
      </c>
      <c r="T1260">
        <v>985000</v>
      </c>
      <c r="U1260">
        <v>1</v>
      </c>
      <c r="V1260">
        <v>1</v>
      </c>
      <c r="W1260" t="s">
        <v>127</v>
      </c>
      <c r="X1260">
        <v>19700</v>
      </c>
      <c r="Y1260">
        <v>3829680</v>
      </c>
      <c r="Z1260">
        <v>132975000</v>
      </c>
      <c r="AA1260">
        <v>985000</v>
      </c>
      <c r="AB1260">
        <v>105</v>
      </c>
      <c r="AC1260" s="34">
        <v>46003</v>
      </c>
      <c r="AD1260" s="34">
        <v>46203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 t="s">
        <v>122</v>
      </c>
      <c r="AT1260">
        <v>79785000</v>
      </c>
      <c r="AU1260">
        <v>2297808</v>
      </c>
      <c r="AV1260">
        <v>79785000</v>
      </c>
      <c r="AW1260">
        <v>2297808</v>
      </c>
    </row>
    <row r="1261" spans="1:49" hidden="1" x14ac:dyDescent="0.35">
      <c r="A1261">
        <v>5862910</v>
      </c>
      <c r="B1261">
        <v>5010005862901</v>
      </c>
      <c r="D1261">
        <v>30708117583</v>
      </c>
      <c r="E1261" t="s">
        <v>1766</v>
      </c>
      <c r="F1261" t="s">
        <v>1</v>
      </c>
      <c r="G1261" t="s">
        <v>166</v>
      </c>
      <c r="H1261" t="s">
        <v>50</v>
      </c>
      <c r="I1261">
        <v>5940</v>
      </c>
      <c r="J1261">
        <v>3</v>
      </c>
      <c r="K1261" t="s">
        <v>32</v>
      </c>
      <c r="L1261">
        <v>11014</v>
      </c>
      <c r="M1261" t="s">
        <v>232</v>
      </c>
      <c r="N1261">
        <v>10</v>
      </c>
      <c r="O1261" t="s">
        <v>119</v>
      </c>
      <c r="P1261" t="s">
        <v>1787</v>
      </c>
      <c r="Q1261">
        <v>4466187</v>
      </c>
      <c r="R1261">
        <v>225565000</v>
      </c>
      <c r="S1261">
        <v>229</v>
      </c>
      <c r="T1261">
        <v>985000</v>
      </c>
      <c r="U1261">
        <v>1</v>
      </c>
      <c r="V1261">
        <v>1</v>
      </c>
      <c r="W1261" t="s">
        <v>127</v>
      </c>
      <c r="X1261">
        <v>19700</v>
      </c>
      <c r="Y1261">
        <v>4466187</v>
      </c>
      <c r="Z1261">
        <v>225565000</v>
      </c>
      <c r="AA1261">
        <v>985000</v>
      </c>
      <c r="AB1261">
        <v>105</v>
      </c>
      <c r="AC1261" s="34">
        <v>46003</v>
      </c>
      <c r="AD1261" s="34">
        <v>46203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 t="s">
        <v>122</v>
      </c>
      <c r="AT1261">
        <v>135339000</v>
      </c>
      <c r="AU1261">
        <v>2679712.2000000002</v>
      </c>
      <c r="AV1261">
        <v>135339000</v>
      </c>
      <c r="AW1261">
        <v>2679712.2000000002</v>
      </c>
    </row>
    <row r="1262" spans="1:49" hidden="1" x14ac:dyDescent="0.35">
      <c r="A1262">
        <v>5862910</v>
      </c>
      <c r="B1262">
        <v>5010005862901</v>
      </c>
      <c r="D1262">
        <v>30708117583</v>
      </c>
      <c r="E1262" t="s">
        <v>1766</v>
      </c>
      <c r="F1262" t="s">
        <v>1</v>
      </c>
      <c r="G1262" t="s">
        <v>49</v>
      </c>
      <c r="H1262" t="s">
        <v>49</v>
      </c>
      <c r="I1262">
        <v>5800</v>
      </c>
      <c r="J1262">
        <v>3</v>
      </c>
      <c r="K1262" t="s">
        <v>32</v>
      </c>
      <c r="L1262">
        <v>11014</v>
      </c>
      <c r="M1262" t="s">
        <v>232</v>
      </c>
      <c r="N1262">
        <v>11</v>
      </c>
      <c r="O1262" t="s">
        <v>119</v>
      </c>
      <c r="P1262" t="s">
        <v>1788</v>
      </c>
      <c r="Q1262">
        <v>8865000</v>
      </c>
      <c r="R1262">
        <v>177300000</v>
      </c>
      <c r="S1262">
        <v>180</v>
      </c>
      <c r="T1262">
        <v>985000</v>
      </c>
      <c r="U1262">
        <v>1</v>
      </c>
      <c r="V1262">
        <v>1</v>
      </c>
      <c r="W1262" t="s">
        <v>127</v>
      </c>
      <c r="X1262">
        <v>19700</v>
      </c>
      <c r="Y1262">
        <v>8865000</v>
      </c>
      <c r="Z1262">
        <v>177300000</v>
      </c>
      <c r="AA1262">
        <v>985000</v>
      </c>
      <c r="AB1262">
        <v>105</v>
      </c>
      <c r="AC1262" s="34">
        <v>46003</v>
      </c>
      <c r="AD1262" s="34">
        <v>46203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 t="s">
        <v>122</v>
      </c>
      <c r="AT1262">
        <v>106380000</v>
      </c>
      <c r="AU1262">
        <v>5319000</v>
      </c>
      <c r="AV1262">
        <v>106380000</v>
      </c>
      <c r="AW1262">
        <v>5319000</v>
      </c>
    </row>
    <row r="1263" spans="1:49" hidden="1" x14ac:dyDescent="0.35">
      <c r="A1263">
        <v>5862910</v>
      </c>
      <c r="B1263">
        <v>5010005862901</v>
      </c>
      <c r="D1263">
        <v>30708117583</v>
      </c>
      <c r="E1263" t="s">
        <v>1766</v>
      </c>
      <c r="F1263" t="s">
        <v>1</v>
      </c>
      <c r="G1263" t="s">
        <v>1789</v>
      </c>
      <c r="H1263" t="s">
        <v>48</v>
      </c>
      <c r="I1263">
        <v>6123</v>
      </c>
      <c r="J1263">
        <v>3</v>
      </c>
      <c r="K1263" t="s">
        <v>32</v>
      </c>
      <c r="L1263">
        <v>11014</v>
      </c>
      <c r="M1263" t="s">
        <v>232</v>
      </c>
      <c r="N1263">
        <v>12</v>
      </c>
      <c r="O1263" t="s">
        <v>119</v>
      </c>
      <c r="P1263" t="s">
        <v>1790</v>
      </c>
      <c r="Q1263">
        <v>1185940</v>
      </c>
      <c r="R1263">
        <v>55160000</v>
      </c>
      <c r="S1263">
        <v>56</v>
      </c>
      <c r="T1263">
        <v>985000</v>
      </c>
      <c r="U1263">
        <v>1</v>
      </c>
      <c r="V1263">
        <v>1</v>
      </c>
      <c r="W1263" t="s">
        <v>127</v>
      </c>
      <c r="X1263">
        <v>19700</v>
      </c>
      <c r="Y1263">
        <v>1185940</v>
      </c>
      <c r="Z1263">
        <v>55160000</v>
      </c>
      <c r="AA1263">
        <v>985000</v>
      </c>
      <c r="AB1263">
        <v>105</v>
      </c>
      <c r="AC1263" s="34">
        <v>46003</v>
      </c>
      <c r="AD1263" s="34">
        <v>46203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 t="s">
        <v>122</v>
      </c>
      <c r="AT1263">
        <v>33096000</v>
      </c>
      <c r="AU1263">
        <v>711564</v>
      </c>
      <c r="AV1263">
        <v>33096000</v>
      </c>
      <c r="AW1263">
        <v>711564</v>
      </c>
    </row>
    <row r="1264" spans="1:49" hidden="1" x14ac:dyDescent="0.35">
      <c r="A1264">
        <v>5862910</v>
      </c>
      <c r="B1264">
        <v>5010005862901</v>
      </c>
      <c r="D1264">
        <v>30708117583</v>
      </c>
      <c r="E1264" t="s">
        <v>1766</v>
      </c>
      <c r="F1264" t="s">
        <v>1</v>
      </c>
      <c r="G1264" t="s">
        <v>159</v>
      </c>
      <c r="H1264" t="s">
        <v>48</v>
      </c>
      <c r="I1264">
        <v>6120</v>
      </c>
      <c r="J1264">
        <v>3</v>
      </c>
      <c r="K1264" t="s">
        <v>32</v>
      </c>
      <c r="L1264">
        <v>11014</v>
      </c>
      <c r="M1264" t="s">
        <v>232</v>
      </c>
      <c r="N1264">
        <v>13</v>
      </c>
      <c r="O1264" t="s">
        <v>119</v>
      </c>
      <c r="P1264" t="s">
        <v>1791</v>
      </c>
      <c r="Q1264">
        <v>2693778</v>
      </c>
      <c r="R1264">
        <v>125292000</v>
      </c>
      <c r="S1264">
        <v>106</v>
      </c>
      <c r="T1264">
        <v>1182000</v>
      </c>
      <c r="U1264">
        <v>1</v>
      </c>
      <c r="V1264">
        <v>1</v>
      </c>
      <c r="W1264" t="s">
        <v>127</v>
      </c>
      <c r="X1264">
        <v>19700</v>
      </c>
      <c r="Y1264">
        <v>2693778</v>
      </c>
      <c r="Z1264">
        <v>125292000</v>
      </c>
      <c r="AA1264">
        <v>1182000</v>
      </c>
      <c r="AB1264">
        <v>105</v>
      </c>
      <c r="AC1264" s="34">
        <v>46003</v>
      </c>
      <c r="AD1264" s="34">
        <v>46203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 t="s">
        <v>122</v>
      </c>
      <c r="AT1264">
        <v>75175200</v>
      </c>
      <c r="AU1264">
        <v>1616266.8</v>
      </c>
      <c r="AV1264">
        <v>75175200</v>
      </c>
      <c r="AW1264">
        <v>1616266.8</v>
      </c>
    </row>
    <row r="1265" spans="1:49" hidden="1" x14ac:dyDescent="0.35">
      <c r="A1265">
        <v>5862910</v>
      </c>
      <c r="B1265">
        <v>5010005862901</v>
      </c>
      <c r="D1265">
        <v>30708117583</v>
      </c>
      <c r="E1265" t="s">
        <v>1766</v>
      </c>
      <c r="F1265" t="s">
        <v>1</v>
      </c>
      <c r="G1265" t="s">
        <v>754</v>
      </c>
      <c r="H1265" t="s">
        <v>61</v>
      </c>
      <c r="I1265">
        <v>6100</v>
      </c>
      <c r="J1265">
        <v>12</v>
      </c>
      <c r="K1265" t="s">
        <v>34</v>
      </c>
      <c r="L1265">
        <v>11014</v>
      </c>
      <c r="M1265" t="s">
        <v>232</v>
      </c>
      <c r="N1265">
        <v>14</v>
      </c>
      <c r="O1265" t="s">
        <v>119</v>
      </c>
      <c r="P1265" t="s">
        <v>1792</v>
      </c>
      <c r="Q1265">
        <v>536155.19999999995</v>
      </c>
      <c r="R1265">
        <v>33096000</v>
      </c>
      <c r="S1265">
        <v>21</v>
      </c>
      <c r="T1265">
        <v>1576000</v>
      </c>
      <c r="U1265">
        <v>1</v>
      </c>
      <c r="V1265">
        <v>1</v>
      </c>
      <c r="W1265" t="s">
        <v>127</v>
      </c>
      <c r="X1265">
        <v>19700</v>
      </c>
      <c r="Y1265">
        <v>536155.19999999995</v>
      </c>
      <c r="Z1265">
        <v>33096000</v>
      </c>
      <c r="AA1265">
        <v>1576000</v>
      </c>
      <c r="AB1265">
        <v>105</v>
      </c>
      <c r="AC1265" s="34">
        <v>46003</v>
      </c>
      <c r="AD1265" s="34">
        <v>46203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 t="s">
        <v>122</v>
      </c>
      <c r="AT1265">
        <v>19857600</v>
      </c>
      <c r="AU1265">
        <v>321693.12</v>
      </c>
      <c r="AV1265">
        <v>19857600</v>
      </c>
      <c r="AW1265">
        <v>321693.12</v>
      </c>
    </row>
    <row r="1266" spans="1:49" hidden="1" x14ac:dyDescent="0.35">
      <c r="A1266">
        <v>5862910</v>
      </c>
      <c r="B1266">
        <v>5010005862901</v>
      </c>
      <c r="D1266">
        <v>30708117583</v>
      </c>
      <c r="E1266" t="s">
        <v>1766</v>
      </c>
      <c r="F1266" t="s">
        <v>1</v>
      </c>
      <c r="G1266" t="s">
        <v>21</v>
      </c>
      <c r="H1266" t="s">
        <v>21</v>
      </c>
      <c r="I1266">
        <v>2720</v>
      </c>
      <c r="J1266">
        <v>1</v>
      </c>
      <c r="K1266" t="s">
        <v>16</v>
      </c>
      <c r="L1266">
        <v>11014</v>
      </c>
      <c r="M1266" t="s">
        <v>232</v>
      </c>
      <c r="N1266">
        <v>15</v>
      </c>
      <c r="O1266" t="s">
        <v>119</v>
      </c>
      <c r="P1266" t="s">
        <v>1793</v>
      </c>
      <c r="Q1266">
        <v>1927605.6</v>
      </c>
      <c r="R1266">
        <v>118988000</v>
      </c>
      <c r="S1266">
        <v>75.5</v>
      </c>
      <c r="T1266">
        <v>1576000</v>
      </c>
      <c r="U1266">
        <v>1</v>
      </c>
      <c r="V1266">
        <v>1</v>
      </c>
      <c r="W1266" t="s">
        <v>127</v>
      </c>
      <c r="X1266">
        <v>19700</v>
      </c>
      <c r="Y1266">
        <v>1927605.6</v>
      </c>
      <c r="Z1266">
        <v>118988000</v>
      </c>
      <c r="AA1266">
        <v>1576000</v>
      </c>
      <c r="AB1266">
        <v>105</v>
      </c>
      <c r="AC1266" s="34">
        <v>46003</v>
      </c>
      <c r="AD1266" s="34">
        <v>46203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 t="s">
        <v>122</v>
      </c>
      <c r="AT1266">
        <v>71392800</v>
      </c>
      <c r="AU1266">
        <v>1156563.3600000001</v>
      </c>
      <c r="AV1266">
        <v>71392800</v>
      </c>
      <c r="AW1266">
        <v>1156563.3600000001</v>
      </c>
    </row>
    <row r="1267" spans="1:49" hidden="1" x14ac:dyDescent="0.35">
      <c r="A1267">
        <v>5862910</v>
      </c>
      <c r="B1267">
        <v>5010005862901</v>
      </c>
      <c r="D1267">
        <v>30708117583</v>
      </c>
      <c r="E1267" t="s">
        <v>1766</v>
      </c>
      <c r="F1267" t="s">
        <v>1</v>
      </c>
      <c r="G1267" t="s">
        <v>21</v>
      </c>
      <c r="H1267" t="s">
        <v>21</v>
      </c>
      <c r="I1267">
        <v>2720</v>
      </c>
      <c r="J1267">
        <v>1</v>
      </c>
      <c r="K1267" t="s">
        <v>16</v>
      </c>
      <c r="L1267">
        <v>11014</v>
      </c>
      <c r="M1267" t="s">
        <v>232</v>
      </c>
      <c r="N1267">
        <v>16</v>
      </c>
      <c r="O1267" t="s">
        <v>119</v>
      </c>
      <c r="P1267" t="s">
        <v>1794</v>
      </c>
      <c r="Q1267">
        <v>638280</v>
      </c>
      <c r="R1267">
        <v>39400000</v>
      </c>
      <c r="S1267">
        <v>25</v>
      </c>
      <c r="T1267">
        <v>1576000</v>
      </c>
      <c r="U1267">
        <v>1</v>
      </c>
      <c r="V1267">
        <v>1</v>
      </c>
      <c r="W1267" t="s">
        <v>127</v>
      </c>
      <c r="X1267">
        <v>19700</v>
      </c>
      <c r="Y1267">
        <v>638280</v>
      </c>
      <c r="Z1267">
        <v>39400000</v>
      </c>
      <c r="AA1267">
        <v>1576000</v>
      </c>
      <c r="AB1267">
        <v>105</v>
      </c>
      <c r="AC1267" s="34">
        <v>46003</v>
      </c>
      <c r="AD1267" s="34">
        <v>46203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 t="s">
        <v>122</v>
      </c>
      <c r="AT1267">
        <v>23640000</v>
      </c>
      <c r="AU1267">
        <v>382968</v>
      </c>
      <c r="AV1267">
        <v>23640000</v>
      </c>
      <c r="AW1267">
        <v>382968</v>
      </c>
    </row>
    <row r="1268" spans="1:49" hidden="1" x14ac:dyDescent="0.35">
      <c r="A1268">
        <v>5863010</v>
      </c>
      <c r="B1268">
        <v>5010005863001</v>
      </c>
      <c r="D1268">
        <v>20215034063</v>
      </c>
      <c r="E1268" t="s">
        <v>1795</v>
      </c>
      <c r="F1268" t="s">
        <v>1</v>
      </c>
      <c r="G1268" t="s">
        <v>18</v>
      </c>
      <c r="H1268" t="s">
        <v>18</v>
      </c>
      <c r="I1268">
        <v>6660</v>
      </c>
      <c r="J1268">
        <v>1</v>
      </c>
      <c r="K1268" t="s">
        <v>16</v>
      </c>
      <c r="L1268">
        <v>10768</v>
      </c>
      <c r="M1268" t="s">
        <v>1796</v>
      </c>
      <c r="N1268">
        <v>1</v>
      </c>
      <c r="O1268" t="s">
        <v>119</v>
      </c>
      <c r="P1268" t="s">
        <v>1797</v>
      </c>
      <c r="Q1268">
        <v>5000221.6900000004</v>
      </c>
      <c r="R1268">
        <v>117652275</v>
      </c>
      <c r="S1268">
        <v>87</v>
      </c>
      <c r="T1268">
        <v>1352325</v>
      </c>
      <c r="U1268">
        <v>1</v>
      </c>
      <c r="V1268">
        <v>1</v>
      </c>
      <c r="W1268" t="s">
        <v>127</v>
      </c>
      <c r="X1268">
        <v>54093</v>
      </c>
      <c r="Y1268">
        <v>5000221.6900000004</v>
      </c>
      <c r="Z1268">
        <v>117652275</v>
      </c>
      <c r="AA1268">
        <v>1352325</v>
      </c>
      <c r="AB1268">
        <v>105</v>
      </c>
      <c r="AC1268" s="34">
        <v>46061</v>
      </c>
      <c r="AD1268" s="34">
        <v>46112</v>
      </c>
      <c r="AF1268">
        <v>0</v>
      </c>
      <c r="AG1268">
        <v>8793493.3200000003</v>
      </c>
      <c r="AH1268">
        <v>0</v>
      </c>
      <c r="AI1268">
        <v>8793493.3200000003</v>
      </c>
      <c r="AJ1268">
        <v>0</v>
      </c>
      <c r="AK1268">
        <v>0</v>
      </c>
      <c r="AL1268">
        <v>2207166.83</v>
      </c>
      <c r="AM1268">
        <v>0</v>
      </c>
      <c r="AN1268">
        <v>11000660.15</v>
      </c>
      <c r="AO1268" t="s">
        <v>122</v>
      </c>
      <c r="AP1268">
        <v>10</v>
      </c>
      <c r="AQ1268">
        <v>879349.33</v>
      </c>
      <c r="AR1268">
        <v>879349.33</v>
      </c>
      <c r="AT1268">
        <v>70591365</v>
      </c>
      <c r="AU1268">
        <v>3000133.01</v>
      </c>
      <c r="AV1268">
        <v>70591365</v>
      </c>
      <c r="AW1268">
        <v>3000133.01</v>
      </c>
    </row>
    <row r="1269" spans="1:49" hidden="1" x14ac:dyDescent="0.35">
      <c r="A1269">
        <v>5863010</v>
      </c>
      <c r="B1269">
        <v>5010005863001</v>
      </c>
      <c r="D1269">
        <v>20215034063</v>
      </c>
      <c r="E1269" t="s">
        <v>1795</v>
      </c>
      <c r="F1269" t="s">
        <v>1</v>
      </c>
      <c r="G1269" t="s">
        <v>18</v>
      </c>
      <c r="H1269" t="s">
        <v>18</v>
      </c>
      <c r="I1269">
        <v>6660</v>
      </c>
      <c r="J1269">
        <v>1</v>
      </c>
      <c r="K1269" t="s">
        <v>16</v>
      </c>
      <c r="L1269">
        <v>10768</v>
      </c>
      <c r="M1269" t="s">
        <v>1796</v>
      </c>
      <c r="N1269">
        <v>2</v>
      </c>
      <c r="O1269" t="s">
        <v>119</v>
      </c>
      <c r="P1269" t="s">
        <v>1798</v>
      </c>
      <c r="Q1269">
        <v>3793271.63</v>
      </c>
      <c r="R1269">
        <v>89253450</v>
      </c>
      <c r="S1269">
        <v>66</v>
      </c>
      <c r="T1269">
        <v>1352325</v>
      </c>
      <c r="U1269">
        <v>1</v>
      </c>
      <c r="V1269">
        <v>1</v>
      </c>
      <c r="W1269" t="s">
        <v>127</v>
      </c>
      <c r="X1269">
        <v>54093</v>
      </c>
      <c r="Y1269">
        <v>3793271.63</v>
      </c>
      <c r="Z1269">
        <v>89253450</v>
      </c>
      <c r="AA1269">
        <v>1352325</v>
      </c>
      <c r="AB1269">
        <v>105</v>
      </c>
      <c r="AC1269" s="34">
        <v>46061</v>
      </c>
      <c r="AD1269" s="34">
        <v>46112</v>
      </c>
      <c r="AE1269" t="s">
        <v>355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 t="s">
        <v>122</v>
      </c>
      <c r="AT1269">
        <v>53552070</v>
      </c>
      <c r="AU1269">
        <v>2275962.98</v>
      </c>
      <c r="AV1269">
        <v>53552070</v>
      </c>
      <c r="AW1269">
        <v>2275962.98</v>
      </c>
    </row>
    <row r="1270" spans="1:49" hidden="1" x14ac:dyDescent="0.35">
      <c r="A1270">
        <v>5863110</v>
      </c>
      <c r="B1270">
        <v>5010005863101</v>
      </c>
      <c r="D1270">
        <v>30708117583</v>
      </c>
      <c r="E1270" t="s">
        <v>1766</v>
      </c>
      <c r="F1270" t="s">
        <v>1</v>
      </c>
      <c r="G1270" t="s">
        <v>1767</v>
      </c>
      <c r="H1270" t="s">
        <v>50</v>
      </c>
      <c r="I1270">
        <v>5951</v>
      </c>
      <c r="J1270">
        <v>3</v>
      </c>
      <c r="K1270" t="s">
        <v>32</v>
      </c>
      <c r="L1270">
        <v>11014</v>
      </c>
      <c r="M1270" t="s">
        <v>232</v>
      </c>
      <c r="N1270">
        <v>1</v>
      </c>
      <c r="O1270" t="s">
        <v>119</v>
      </c>
      <c r="P1270" t="s">
        <v>1799</v>
      </c>
      <c r="Q1270">
        <v>1259280</v>
      </c>
      <c r="R1270">
        <v>59400000</v>
      </c>
      <c r="S1270">
        <v>100</v>
      </c>
      <c r="T1270">
        <v>594000</v>
      </c>
      <c r="U1270">
        <v>1</v>
      </c>
      <c r="V1270">
        <v>1</v>
      </c>
      <c r="W1270" t="s">
        <v>127</v>
      </c>
      <c r="X1270">
        <v>29700</v>
      </c>
      <c r="Y1270">
        <v>1259280</v>
      </c>
      <c r="Z1270">
        <v>59400000</v>
      </c>
      <c r="AA1270">
        <v>594000</v>
      </c>
      <c r="AB1270">
        <v>210</v>
      </c>
      <c r="AC1270" s="34">
        <v>46003</v>
      </c>
      <c r="AD1270" s="34">
        <v>46173</v>
      </c>
      <c r="AF1270">
        <v>0</v>
      </c>
      <c r="AG1270">
        <v>54780818.399999999</v>
      </c>
      <c r="AH1270">
        <v>0</v>
      </c>
      <c r="AI1270">
        <v>54780818.399999999</v>
      </c>
      <c r="AJ1270">
        <v>0</v>
      </c>
      <c r="AK1270">
        <v>0</v>
      </c>
      <c r="AL1270">
        <v>14209223.74</v>
      </c>
      <c r="AM1270">
        <v>0</v>
      </c>
      <c r="AN1270">
        <v>68990042.140000001</v>
      </c>
      <c r="AO1270" t="s">
        <v>122</v>
      </c>
      <c r="AP1270">
        <v>15</v>
      </c>
      <c r="AQ1270">
        <v>8217122.7599999998</v>
      </c>
      <c r="AR1270">
        <v>8217122.7599999998</v>
      </c>
      <c r="AT1270">
        <v>35640000</v>
      </c>
      <c r="AU1270">
        <v>755568</v>
      </c>
      <c r="AV1270">
        <v>35640000</v>
      </c>
      <c r="AW1270">
        <v>755568</v>
      </c>
    </row>
    <row r="1271" spans="1:49" hidden="1" x14ac:dyDescent="0.35">
      <c r="A1271">
        <v>5863110</v>
      </c>
      <c r="B1271">
        <v>5010005863101</v>
      </c>
      <c r="D1271">
        <v>30708117583</v>
      </c>
      <c r="E1271" t="s">
        <v>1766</v>
      </c>
      <c r="F1271" t="s">
        <v>1</v>
      </c>
      <c r="G1271" t="s">
        <v>454</v>
      </c>
      <c r="H1271" t="s">
        <v>48</v>
      </c>
      <c r="I1271">
        <v>6123</v>
      </c>
      <c r="J1271">
        <v>3</v>
      </c>
      <c r="K1271" t="s">
        <v>32</v>
      </c>
      <c r="L1271">
        <v>11014</v>
      </c>
      <c r="M1271" t="s">
        <v>232</v>
      </c>
      <c r="N1271">
        <v>2</v>
      </c>
      <c r="O1271" t="s">
        <v>119</v>
      </c>
      <c r="P1271" t="s">
        <v>1800</v>
      </c>
      <c r="Q1271">
        <v>2172258</v>
      </c>
      <c r="R1271">
        <v>94446000</v>
      </c>
      <c r="S1271">
        <v>159</v>
      </c>
      <c r="T1271">
        <v>594000</v>
      </c>
      <c r="U1271">
        <v>1</v>
      </c>
      <c r="V1271">
        <v>1</v>
      </c>
      <c r="W1271" t="s">
        <v>127</v>
      </c>
      <c r="X1271">
        <v>29700</v>
      </c>
      <c r="Y1271">
        <v>2172258</v>
      </c>
      <c r="Z1271">
        <v>94446000</v>
      </c>
      <c r="AA1271">
        <v>594000</v>
      </c>
      <c r="AB1271">
        <v>210</v>
      </c>
      <c r="AC1271" s="34">
        <v>46003</v>
      </c>
      <c r="AD1271" s="34">
        <v>46173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 t="s">
        <v>122</v>
      </c>
      <c r="AT1271">
        <v>56667600</v>
      </c>
      <c r="AU1271">
        <v>1303354.8</v>
      </c>
      <c r="AV1271">
        <v>56667600</v>
      </c>
      <c r="AW1271">
        <v>1303354.8</v>
      </c>
    </row>
    <row r="1272" spans="1:49" hidden="1" x14ac:dyDescent="0.35">
      <c r="A1272">
        <v>5863110</v>
      </c>
      <c r="B1272">
        <v>5010005863101</v>
      </c>
      <c r="D1272">
        <v>30708117583</v>
      </c>
      <c r="E1272" t="s">
        <v>1766</v>
      </c>
      <c r="F1272" t="s">
        <v>1</v>
      </c>
      <c r="G1272" t="s">
        <v>1801</v>
      </c>
      <c r="H1272" t="s">
        <v>50</v>
      </c>
      <c r="I1272">
        <v>5951</v>
      </c>
      <c r="J1272">
        <v>3</v>
      </c>
      <c r="K1272" t="s">
        <v>32</v>
      </c>
      <c r="L1272">
        <v>11014</v>
      </c>
      <c r="M1272" t="s">
        <v>232</v>
      </c>
      <c r="N1272">
        <v>3</v>
      </c>
      <c r="O1272" t="s">
        <v>119</v>
      </c>
      <c r="P1272" t="s">
        <v>1802</v>
      </c>
      <c r="Q1272">
        <v>5137862.4000000004</v>
      </c>
      <c r="R1272">
        <v>242352000</v>
      </c>
      <c r="S1272">
        <v>408</v>
      </c>
      <c r="T1272">
        <v>594000</v>
      </c>
      <c r="U1272">
        <v>1</v>
      </c>
      <c r="V1272">
        <v>1</v>
      </c>
      <c r="W1272" t="s">
        <v>127</v>
      </c>
      <c r="X1272">
        <v>29700</v>
      </c>
      <c r="Y1272">
        <v>5137862.4000000004</v>
      </c>
      <c r="Z1272">
        <v>242352000</v>
      </c>
      <c r="AA1272">
        <v>594000</v>
      </c>
      <c r="AB1272">
        <v>210</v>
      </c>
      <c r="AC1272" s="34">
        <v>46003</v>
      </c>
      <c r="AD1272" s="34">
        <v>46173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 t="s">
        <v>122</v>
      </c>
      <c r="AT1272">
        <v>145411200</v>
      </c>
      <c r="AU1272">
        <v>3082717.44</v>
      </c>
      <c r="AV1272">
        <v>145411200</v>
      </c>
      <c r="AW1272">
        <v>3082717.44</v>
      </c>
    </row>
    <row r="1273" spans="1:49" hidden="1" x14ac:dyDescent="0.35">
      <c r="A1273">
        <v>5863110</v>
      </c>
      <c r="B1273">
        <v>5010005863101</v>
      </c>
      <c r="D1273">
        <v>30708117583</v>
      </c>
      <c r="E1273" t="s">
        <v>1766</v>
      </c>
      <c r="F1273" t="s">
        <v>1</v>
      </c>
      <c r="G1273" t="s">
        <v>49</v>
      </c>
      <c r="H1273" t="s">
        <v>49</v>
      </c>
      <c r="I1273">
        <v>5800</v>
      </c>
      <c r="J1273">
        <v>3</v>
      </c>
      <c r="K1273" t="s">
        <v>32</v>
      </c>
      <c r="L1273">
        <v>11014</v>
      </c>
      <c r="M1273" t="s">
        <v>232</v>
      </c>
      <c r="N1273">
        <v>4</v>
      </c>
      <c r="O1273" t="s">
        <v>119</v>
      </c>
      <c r="P1273" t="s">
        <v>1803</v>
      </c>
      <c r="Q1273">
        <v>5288976</v>
      </c>
      <c r="R1273">
        <v>94446000</v>
      </c>
      <c r="S1273">
        <v>159</v>
      </c>
      <c r="T1273">
        <v>594000</v>
      </c>
      <c r="U1273">
        <v>1</v>
      </c>
      <c r="V1273">
        <v>1</v>
      </c>
      <c r="W1273" t="s">
        <v>127</v>
      </c>
      <c r="X1273">
        <v>29700</v>
      </c>
      <c r="Y1273">
        <v>5288976</v>
      </c>
      <c r="Z1273">
        <v>94446000</v>
      </c>
      <c r="AA1273">
        <v>594000</v>
      </c>
      <c r="AB1273">
        <v>210</v>
      </c>
      <c r="AC1273" s="34">
        <v>46003</v>
      </c>
      <c r="AD1273" s="34">
        <v>46173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 t="s">
        <v>122</v>
      </c>
      <c r="AT1273">
        <v>56667600</v>
      </c>
      <c r="AU1273">
        <v>3173385.6</v>
      </c>
      <c r="AV1273">
        <v>56667600</v>
      </c>
      <c r="AW1273">
        <v>3173385.6</v>
      </c>
    </row>
    <row r="1274" spans="1:49" x14ac:dyDescent="0.35">
      <c r="A1274">
        <v>5863110</v>
      </c>
      <c r="B1274">
        <v>5010005863101</v>
      </c>
      <c r="D1274">
        <v>30708117583</v>
      </c>
      <c r="E1274" t="s">
        <v>1766</v>
      </c>
      <c r="F1274" t="s">
        <v>1</v>
      </c>
      <c r="G1274" t="s">
        <v>435</v>
      </c>
      <c r="H1274" t="s">
        <v>68</v>
      </c>
      <c r="I1274">
        <v>6127</v>
      </c>
      <c r="J1274">
        <v>3</v>
      </c>
      <c r="K1274" t="s">
        <v>32</v>
      </c>
      <c r="L1274">
        <v>11014</v>
      </c>
      <c r="M1274" t="s">
        <v>232</v>
      </c>
      <c r="N1274">
        <v>5</v>
      </c>
      <c r="O1274" t="s">
        <v>119</v>
      </c>
      <c r="P1274" t="s">
        <v>1804</v>
      </c>
      <c r="Q1274">
        <v>3742200</v>
      </c>
      <c r="R1274" s="60">
        <v>124740000</v>
      </c>
      <c r="S1274">
        <v>210</v>
      </c>
      <c r="T1274">
        <v>594000</v>
      </c>
      <c r="U1274">
        <v>1</v>
      </c>
      <c r="V1274">
        <v>1</v>
      </c>
      <c r="W1274" t="s">
        <v>127</v>
      </c>
      <c r="X1274">
        <v>29700</v>
      </c>
      <c r="Y1274" s="60">
        <v>3742200</v>
      </c>
      <c r="Z1274" s="60">
        <v>124740000</v>
      </c>
      <c r="AA1274">
        <v>594000</v>
      </c>
      <c r="AB1274">
        <v>210</v>
      </c>
      <c r="AC1274" s="34">
        <v>46003</v>
      </c>
      <c r="AD1274" s="34">
        <v>46173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 t="s">
        <v>122</v>
      </c>
      <c r="AT1274">
        <v>74844000</v>
      </c>
      <c r="AU1274">
        <v>2245320</v>
      </c>
      <c r="AV1274">
        <v>74844000</v>
      </c>
      <c r="AW1274">
        <v>2245320</v>
      </c>
    </row>
    <row r="1275" spans="1:49" hidden="1" x14ac:dyDescent="0.35">
      <c r="A1275">
        <v>5863110</v>
      </c>
      <c r="B1275">
        <v>5010005863101</v>
      </c>
      <c r="D1275">
        <v>30708117583</v>
      </c>
      <c r="E1275" t="s">
        <v>1766</v>
      </c>
      <c r="F1275" t="s">
        <v>1</v>
      </c>
      <c r="G1275" t="s">
        <v>1767</v>
      </c>
      <c r="H1275" t="s">
        <v>50</v>
      </c>
      <c r="I1275">
        <v>5951</v>
      </c>
      <c r="J1275">
        <v>3</v>
      </c>
      <c r="K1275" t="s">
        <v>32</v>
      </c>
      <c r="L1275">
        <v>11014</v>
      </c>
      <c r="M1275" t="s">
        <v>232</v>
      </c>
      <c r="N1275">
        <v>6</v>
      </c>
      <c r="O1275" t="s">
        <v>119</v>
      </c>
      <c r="P1275" t="s">
        <v>1805</v>
      </c>
      <c r="Q1275">
        <v>2556338.4</v>
      </c>
      <c r="R1275">
        <v>120582000</v>
      </c>
      <c r="S1275">
        <v>203</v>
      </c>
      <c r="T1275">
        <v>594000</v>
      </c>
      <c r="U1275">
        <v>1</v>
      </c>
      <c r="V1275">
        <v>1</v>
      </c>
      <c r="W1275" t="s">
        <v>127</v>
      </c>
      <c r="X1275">
        <v>29700</v>
      </c>
      <c r="Y1275">
        <v>2556338.4</v>
      </c>
      <c r="Z1275">
        <v>120582000</v>
      </c>
      <c r="AA1275">
        <v>594000</v>
      </c>
      <c r="AB1275">
        <v>210</v>
      </c>
      <c r="AC1275" s="34">
        <v>46003</v>
      </c>
      <c r="AD1275" s="34">
        <v>46173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 t="s">
        <v>122</v>
      </c>
      <c r="AT1275">
        <v>72349200</v>
      </c>
      <c r="AU1275">
        <v>1533803.04</v>
      </c>
      <c r="AV1275">
        <v>72349200</v>
      </c>
      <c r="AW1275">
        <v>1533803.04</v>
      </c>
    </row>
    <row r="1276" spans="1:49" hidden="1" x14ac:dyDescent="0.35">
      <c r="A1276">
        <v>5863110</v>
      </c>
      <c r="B1276">
        <v>5010005863101</v>
      </c>
      <c r="D1276">
        <v>30708117583</v>
      </c>
      <c r="E1276" t="s">
        <v>1766</v>
      </c>
      <c r="F1276" t="s">
        <v>1</v>
      </c>
      <c r="G1276" t="s">
        <v>1767</v>
      </c>
      <c r="H1276" t="s">
        <v>50</v>
      </c>
      <c r="I1276">
        <v>5951</v>
      </c>
      <c r="J1276">
        <v>3</v>
      </c>
      <c r="K1276" t="s">
        <v>32</v>
      </c>
      <c r="L1276">
        <v>11014</v>
      </c>
      <c r="M1276" t="s">
        <v>232</v>
      </c>
      <c r="N1276">
        <v>7</v>
      </c>
      <c r="O1276" t="s">
        <v>119</v>
      </c>
      <c r="P1276" t="s">
        <v>1806</v>
      </c>
      <c r="Q1276">
        <v>881496</v>
      </c>
      <c r="R1276">
        <v>41580000</v>
      </c>
      <c r="S1276">
        <v>70</v>
      </c>
      <c r="T1276">
        <v>594000</v>
      </c>
      <c r="U1276">
        <v>1</v>
      </c>
      <c r="V1276">
        <v>1</v>
      </c>
      <c r="W1276" t="s">
        <v>127</v>
      </c>
      <c r="X1276">
        <v>29700</v>
      </c>
      <c r="Y1276">
        <v>881496</v>
      </c>
      <c r="Z1276">
        <v>41580000</v>
      </c>
      <c r="AA1276">
        <v>594000</v>
      </c>
      <c r="AB1276">
        <v>210</v>
      </c>
      <c r="AC1276" s="34">
        <v>46003</v>
      </c>
      <c r="AD1276" s="34">
        <v>46173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 t="s">
        <v>122</v>
      </c>
      <c r="AT1276">
        <v>24948000</v>
      </c>
      <c r="AU1276">
        <v>528897.6</v>
      </c>
      <c r="AV1276">
        <v>24948000</v>
      </c>
      <c r="AW1276">
        <v>528897.6</v>
      </c>
    </row>
    <row r="1277" spans="1:49" hidden="1" x14ac:dyDescent="0.35">
      <c r="A1277">
        <v>5863110</v>
      </c>
      <c r="B1277">
        <v>5010005863101</v>
      </c>
      <c r="D1277">
        <v>30708117583</v>
      </c>
      <c r="E1277" t="s">
        <v>1766</v>
      </c>
      <c r="F1277" t="s">
        <v>1</v>
      </c>
      <c r="G1277" t="s">
        <v>49</v>
      </c>
      <c r="H1277" t="s">
        <v>49</v>
      </c>
      <c r="I1277">
        <v>5800</v>
      </c>
      <c r="J1277">
        <v>3</v>
      </c>
      <c r="K1277" t="s">
        <v>32</v>
      </c>
      <c r="L1277">
        <v>11014</v>
      </c>
      <c r="M1277" t="s">
        <v>232</v>
      </c>
      <c r="N1277">
        <v>8</v>
      </c>
      <c r="O1277" t="s">
        <v>119</v>
      </c>
      <c r="P1277" t="s">
        <v>1807</v>
      </c>
      <c r="Q1277">
        <v>3792096</v>
      </c>
      <c r="R1277">
        <v>67716000</v>
      </c>
      <c r="S1277">
        <v>114</v>
      </c>
      <c r="T1277">
        <v>594000</v>
      </c>
      <c r="U1277">
        <v>1</v>
      </c>
      <c r="V1277">
        <v>1</v>
      </c>
      <c r="W1277" t="s">
        <v>127</v>
      </c>
      <c r="X1277">
        <v>29700</v>
      </c>
      <c r="Y1277">
        <v>3792096</v>
      </c>
      <c r="Z1277">
        <v>67716000</v>
      </c>
      <c r="AA1277">
        <v>594000</v>
      </c>
      <c r="AB1277">
        <v>210</v>
      </c>
      <c r="AC1277" s="34">
        <v>46003</v>
      </c>
      <c r="AD1277" s="34">
        <v>46173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 t="s">
        <v>122</v>
      </c>
      <c r="AT1277">
        <v>40629600</v>
      </c>
      <c r="AU1277">
        <v>2275257.6</v>
      </c>
      <c r="AV1277">
        <v>40629600</v>
      </c>
      <c r="AW1277">
        <v>2275257.6</v>
      </c>
    </row>
    <row r="1278" spans="1:49" hidden="1" x14ac:dyDescent="0.35">
      <c r="A1278">
        <v>5863110</v>
      </c>
      <c r="B1278">
        <v>5010005863101</v>
      </c>
      <c r="D1278">
        <v>30708117583</v>
      </c>
      <c r="E1278" t="s">
        <v>1766</v>
      </c>
      <c r="F1278" t="s">
        <v>1</v>
      </c>
      <c r="G1278" t="s">
        <v>703</v>
      </c>
      <c r="H1278" t="s">
        <v>47</v>
      </c>
      <c r="I1278">
        <v>2670</v>
      </c>
      <c r="J1278">
        <v>3</v>
      </c>
      <c r="K1278" t="s">
        <v>32</v>
      </c>
      <c r="L1278">
        <v>11014</v>
      </c>
      <c r="M1278" t="s">
        <v>232</v>
      </c>
      <c r="N1278">
        <v>9</v>
      </c>
      <c r="O1278" t="s">
        <v>119</v>
      </c>
      <c r="P1278" t="s">
        <v>1808</v>
      </c>
      <c r="Q1278">
        <v>1406592</v>
      </c>
      <c r="R1278">
        <v>43956000</v>
      </c>
      <c r="S1278">
        <v>74</v>
      </c>
      <c r="T1278">
        <v>594000</v>
      </c>
      <c r="U1278">
        <v>1</v>
      </c>
      <c r="V1278">
        <v>1</v>
      </c>
      <c r="W1278" t="s">
        <v>127</v>
      </c>
      <c r="X1278">
        <v>29700</v>
      </c>
      <c r="Y1278">
        <v>1406592</v>
      </c>
      <c r="Z1278">
        <v>43956000</v>
      </c>
      <c r="AA1278">
        <v>594000</v>
      </c>
      <c r="AB1278">
        <v>210</v>
      </c>
      <c r="AC1278" s="34">
        <v>46003</v>
      </c>
      <c r="AD1278" s="34">
        <v>46173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 t="s">
        <v>122</v>
      </c>
      <c r="AT1278">
        <v>26373600</v>
      </c>
      <c r="AU1278">
        <v>843955.19999999995</v>
      </c>
      <c r="AV1278">
        <v>26373600</v>
      </c>
      <c r="AW1278">
        <v>843955.19999999995</v>
      </c>
    </row>
    <row r="1279" spans="1:49" hidden="1" x14ac:dyDescent="0.35">
      <c r="A1279">
        <v>5863110</v>
      </c>
      <c r="B1279">
        <v>5010005863101</v>
      </c>
      <c r="D1279">
        <v>30708117583</v>
      </c>
      <c r="E1279" t="s">
        <v>1766</v>
      </c>
      <c r="F1279" t="s">
        <v>1</v>
      </c>
      <c r="G1279" t="s">
        <v>703</v>
      </c>
      <c r="H1279" t="s">
        <v>47</v>
      </c>
      <c r="I1279">
        <v>2670</v>
      </c>
      <c r="J1279">
        <v>3</v>
      </c>
      <c r="K1279" t="s">
        <v>32</v>
      </c>
      <c r="L1279">
        <v>11014</v>
      </c>
      <c r="M1279" t="s">
        <v>232</v>
      </c>
      <c r="N1279">
        <v>10</v>
      </c>
      <c r="O1279" t="s">
        <v>119</v>
      </c>
      <c r="P1279" t="s">
        <v>1809</v>
      </c>
      <c r="Q1279">
        <v>760320</v>
      </c>
      <c r="R1279">
        <v>23760000</v>
      </c>
      <c r="S1279">
        <v>40</v>
      </c>
      <c r="T1279">
        <v>594000</v>
      </c>
      <c r="U1279">
        <v>1</v>
      </c>
      <c r="V1279">
        <v>1</v>
      </c>
      <c r="W1279" t="s">
        <v>127</v>
      </c>
      <c r="X1279">
        <v>29700</v>
      </c>
      <c r="Y1279">
        <v>760320</v>
      </c>
      <c r="Z1279">
        <v>23760000</v>
      </c>
      <c r="AA1279">
        <v>594000</v>
      </c>
      <c r="AB1279">
        <v>210</v>
      </c>
      <c r="AC1279" s="34">
        <v>46003</v>
      </c>
      <c r="AD1279" s="34">
        <v>46173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 t="s">
        <v>122</v>
      </c>
      <c r="AT1279">
        <v>14256000</v>
      </c>
      <c r="AU1279">
        <v>456192</v>
      </c>
      <c r="AV1279">
        <v>14256000</v>
      </c>
      <c r="AW1279">
        <v>456192</v>
      </c>
    </row>
    <row r="1280" spans="1:49" hidden="1" x14ac:dyDescent="0.35">
      <c r="A1280">
        <v>5863110</v>
      </c>
      <c r="B1280">
        <v>5010005863101</v>
      </c>
      <c r="D1280">
        <v>30708117583</v>
      </c>
      <c r="E1280" t="s">
        <v>1766</v>
      </c>
      <c r="F1280" t="s">
        <v>1</v>
      </c>
      <c r="G1280" t="s">
        <v>703</v>
      </c>
      <c r="H1280" t="s">
        <v>47</v>
      </c>
      <c r="I1280">
        <v>2670</v>
      </c>
      <c r="J1280">
        <v>3</v>
      </c>
      <c r="K1280" t="s">
        <v>32</v>
      </c>
      <c r="L1280">
        <v>11014</v>
      </c>
      <c r="M1280" t="s">
        <v>232</v>
      </c>
      <c r="N1280">
        <v>11</v>
      </c>
      <c r="O1280" t="s">
        <v>119</v>
      </c>
      <c r="P1280" t="s">
        <v>1810</v>
      </c>
      <c r="Q1280">
        <v>1045440</v>
      </c>
      <c r="R1280">
        <v>32670000</v>
      </c>
      <c r="S1280">
        <v>55</v>
      </c>
      <c r="T1280">
        <v>594000</v>
      </c>
      <c r="U1280">
        <v>1</v>
      </c>
      <c r="V1280">
        <v>1</v>
      </c>
      <c r="W1280" t="s">
        <v>127</v>
      </c>
      <c r="X1280">
        <v>29700</v>
      </c>
      <c r="Y1280">
        <v>1045440</v>
      </c>
      <c r="Z1280">
        <v>32670000</v>
      </c>
      <c r="AA1280">
        <v>594000</v>
      </c>
      <c r="AB1280">
        <v>210</v>
      </c>
      <c r="AC1280" s="34">
        <v>46003</v>
      </c>
      <c r="AD1280" s="34">
        <v>46173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 t="s">
        <v>122</v>
      </c>
      <c r="AT1280">
        <v>19602000</v>
      </c>
      <c r="AU1280">
        <v>627264</v>
      </c>
      <c r="AV1280">
        <v>19602000</v>
      </c>
      <c r="AW1280">
        <v>627264</v>
      </c>
    </row>
    <row r="1281" spans="1:49" hidden="1" x14ac:dyDescent="0.35">
      <c r="A1281">
        <v>5863110</v>
      </c>
      <c r="B1281">
        <v>5010005863101</v>
      </c>
      <c r="D1281">
        <v>30708117583</v>
      </c>
      <c r="E1281" t="s">
        <v>1766</v>
      </c>
      <c r="F1281" t="s">
        <v>1</v>
      </c>
      <c r="G1281" t="s">
        <v>703</v>
      </c>
      <c r="H1281" t="s">
        <v>47</v>
      </c>
      <c r="I1281">
        <v>2670</v>
      </c>
      <c r="J1281">
        <v>3</v>
      </c>
      <c r="K1281" t="s">
        <v>32</v>
      </c>
      <c r="L1281">
        <v>11014</v>
      </c>
      <c r="M1281" t="s">
        <v>232</v>
      </c>
      <c r="N1281">
        <v>12</v>
      </c>
      <c r="O1281" t="s">
        <v>119</v>
      </c>
      <c r="P1281" t="s">
        <v>1811</v>
      </c>
      <c r="Q1281">
        <v>1292544</v>
      </c>
      <c r="R1281">
        <v>40392000</v>
      </c>
      <c r="S1281">
        <v>68</v>
      </c>
      <c r="T1281">
        <v>594000</v>
      </c>
      <c r="U1281">
        <v>1</v>
      </c>
      <c r="V1281">
        <v>1</v>
      </c>
      <c r="W1281" t="s">
        <v>127</v>
      </c>
      <c r="X1281">
        <v>29700</v>
      </c>
      <c r="Y1281">
        <v>1292544</v>
      </c>
      <c r="Z1281">
        <v>40392000</v>
      </c>
      <c r="AA1281">
        <v>594000</v>
      </c>
      <c r="AB1281">
        <v>210</v>
      </c>
      <c r="AC1281" s="34">
        <v>46003</v>
      </c>
      <c r="AD1281" s="34">
        <v>46173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 t="s">
        <v>122</v>
      </c>
      <c r="AT1281">
        <v>24235200</v>
      </c>
      <c r="AU1281">
        <v>775526.40000000002</v>
      </c>
      <c r="AV1281">
        <v>24235200</v>
      </c>
      <c r="AW1281">
        <v>775526.40000000002</v>
      </c>
    </row>
    <row r="1282" spans="1:49" hidden="1" x14ac:dyDescent="0.35">
      <c r="A1282">
        <v>5863110</v>
      </c>
      <c r="B1282">
        <v>5010005863101</v>
      </c>
      <c r="D1282">
        <v>30708117583</v>
      </c>
      <c r="E1282" t="s">
        <v>1766</v>
      </c>
      <c r="F1282" t="s">
        <v>1</v>
      </c>
      <c r="G1282" t="s">
        <v>703</v>
      </c>
      <c r="H1282" t="s">
        <v>47</v>
      </c>
      <c r="I1282">
        <v>2670</v>
      </c>
      <c r="J1282">
        <v>3</v>
      </c>
      <c r="K1282" t="s">
        <v>32</v>
      </c>
      <c r="L1282">
        <v>11014</v>
      </c>
      <c r="M1282" t="s">
        <v>232</v>
      </c>
      <c r="N1282">
        <v>13</v>
      </c>
      <c r="O1282" t="s">
        <v>119</v>
      </c>
      <c r="P1282" t="s">
        <v>1812</v>
      </c>
      <c r="Q1282">
        <v>2566080</v>
      </c>
      <c r="R1282">
        <v>80190000</v>
      </c>
      <c r="S1282">
        <v>135</v>
      </c>
      <c r="T1282">
        <v>594000</v>
      </c>
      <c r="U1282">
        <v>1</v>
      </c>
      <c r="V1282">
        <v>1</v>
      </c>
      <c r="W1282" t="s">
        <v>127</v>
      </c>
      <c r="X1282">
        <v>29700</v>
      </c>
      <c r="Y1282">
        <v>2566080</v>
      </c>
      <c r="Z1282">
        <v>80190000</v>
      </c>
      <c r="AA1282">
        <v>594000</v>
      </c>
      <c r="AB1282">
        <v>210</v>
      </c>
      <c r="AC1282" s="34">
        <v>46003</v>
      </c>
      <c r="AD1282" s="34">
        <v>46173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 t="s">
        <v>122</v>
      </c>
      <c r="AT1282">
        <v>48114000</v>
      </c>
      <c r="AU1282">
        <v>1539648</v>
      </c>
      <c r="AV1282">
        <v>48114000</v>
      </c>
      <c r="AW1282">
        <v>1539648</v>
      </c>
    </row>
    <row r="1283" spans="1:49" hidden="1" x14ac:dyDescent="0.35">
      <c r="A1283">
        <v>5863110</v>
      </c>
      <c r="B1283">
        <v>5010005863101</v>
      </c>
      <c r="D1283">
        <v>30708117583</v>
      </c>
      <c r="E1283" t="s">
        <v>1766</v>
      </c>
      <c r="F1283" t="s">
        <v>1</v>
      </c>
      <c r="G1283" t="s">
        <v>703</v>
      </c>
      <c r="H1283" t="s">
        <v>47</v>
      </c>
      <c r="I1283">
        <v>2670</v>
      </c>
      <c r="J1283">
        <v>3</v>
      </c>
      <c r="K1283" t="s">
        <v>32</v>
      </c>
      <c r="L1283">
        <v>11014</v>
      </c>
      <c r="M1283" t="s">
        <v>232</v>
      </c>
      <c r="N1283">
        <v>14</v>
      </c>
      <c r="O1283" t="s">
        <v>119</v>
      </c>
      <c r="P1283" t="s">
        <v>1813</v>
      </c>
      <c r="Q1283">
        <v>323136</v>
      </c>
      <c r="R1283">
        <v>10098000</v>
      </c>
      <c r="S1283">
        <v>17</v>
      </c>
      <c r="T1283">
        <v>594000</v>
      </c>
      <c r="U1283">
        <v>1</v>
      </c>
      <c r="V1283">
        <v>1</v>
      </c>
      <c r="W1283" t="s">
        <v>127</v>
      </c>
      <c r="X1283">
        <v>29700</v>
      </c>
      <c r="Y1283">
        <v>323136</v>
      </c>
      <c r="Z1283">
        <v>10098000</v>
      </c>
      <c r="AA1283">
        <v>594000</v>
      </c>
      <c r="AB1283">
        <v>210</v>
      </c>
      <c r="AC1283" s="34">
        <v>46003</v>
      </c>
      <c r="AD1283" s="34">
        <v>46173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 t="s">
        <v>122</v>
      </c>
      <c r="AT1283">
        <v>6058800</v>
      </c>
      <c r="AU1283">
        <v>193881.60000000001</v>
      </c>
      <c r="AV1283">
        <v>6058800</v>
      </c>
      <c r="AW1283">
        <v>193881.60000000001</v>
      </c>
    </row>
    <row r="1284" spans="1:49" hidden="1" x14ac:dyDescent="0.35">
      <c r="A1284">
        <v>5863110</v>
      </c>
      <c r="B1284">
        <v>5010005863101</v>
      </c>
      <c r="D1284">
        <v>30708117583</v>
      </c>
      <c r="E1284" t="s">
        <v>1766</v>
      </c>
      <c r="F1284" t="s">
        <v>1</v>
      </c>
      <c r="G1284" t="s">
        <v>703</v>
      </c>
      <c r="H1284" t="s">
        <v>47</v>
      </c>
      <c r="I1284">
        <v>2670</v>
      </c>
      <c r="J1284">
        <v>3</v>
      </c>
      <c r="K1284" t="s">
        <v>32</v>
      </c>
      <c r="L1284">
        <v>11014</v>
      </c>
      <c r="M1284" t="s">
        <v>232</v>
      </c>
      <c r="N1284">
        <v>15</v>
      </c>
      <c r="O1284" t="s">
        <v>119</v>
      </c>
      <c r="P1284" t="s">
        <v>1814</v>
      </c>
      <c r="Q1284">
        <v>437184</v>
      </c>
      <c r="R1284">
        <v>13662000</v>
      </c>
      <c r="S1284">
        <v>23</v>
      </c>
      <c r="T1284">
        <v>594000</v>
      </c>
      <c r="U1284">
        <v>1</v>
      </c>
      <c r="V1284">
        <v>1</v>
      </c>
      <c r="W1284" t="s">
        <v>127</v>
      </c>
      <c r="X1284">
        <v>29700</v>
      </c>
      <c r="Y1284">
        <v>437184</v>
      </c>
      <c r="Z1284">
        <v>13662000</v>
      </c>
      <c r="AA1284">
        <v>594000</v>
      </c>
      <c r="AB1284">
        <v>210</v>
      </c>
      <c r="AC1284" s="34">
        <v>46003</v>
      </c>
      <c r="AD1284" s="34">
        <v>46173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 t="s">
        <v>122</v>
      </c>
      <c r="AT1284">
        <v>8197200</v>
      </c>
      <c r="AU1284">
        <v>262310.40000000002</v>
      </c>
      <c r="AV1284">
        <v>8197200</v>
      </c>
      <c r="AW1284">
        <v>262310.40000000002</v>
      </c>
    </row>
    <row r="1285" spans="1:49" hidden="1" x14ac:dyDescent="0.35">
      <c r="A1285">
        <v>5863110</v>
      </c>
      <c r="B1285">
        <v>5010005863101</v>
      </c>
      <c r="D1285">
        <v>30708117583</v>
      </c>
      <c r="E1285" t="s">
        <v>1766</v>
      </c>
      <c r="F1285" t="s">
        <v>1</v>
      </c>
      <c r="G1285" t="s">
        <v>457</v>
      </c>
      <c r="H1285" t="s">
        <v>48</v>
      </c>
      <c r="I1285">
        <v>6128</v>
      </c>
      <c r="J1285">
        <v>3</v>
      </c>
      <c r="K1285" t="s">
        <v>32</v>
      </c>
      <c r="L1285">
        <v>11014</v>
      </c>
      <c r="M1285" t="s">
        <v>232</v>
      </c>
      <c r="N1285">
        <v>16</v>
      </c>
      <c r="O1285" t="s">
        <v>119</v>
      </c>
      <c r="P1285" t="s">
        <v>1815</v>
      </c>
      <c r="Q1285">
        <v>3381345</v>
      </c>
      <c r="R1285">
        <v>147015000</v>
      </c>
      <c r="S1285">
        <v>165</v>
      </c>
      <c r="T1285">
        <v>891000</v>
      </c>
      <c r="U1285">
        <v>1</v>
      </c>
      <c r="V1285">
        <v>1</v>
      </c>
      <c r="W1285" t="s">
        <v>127</v>
      </c>
      <c r="X1285">
        <v>29700</v>
      </c>
      <c r="Y1285">
        <v>3381345</v>
      </c>
      <c r="Z1285">
        <v>147015000</v>
      </c>
      <c r="AA1285">
        <v>891000</v>
      </c>
      <c r="AB1285">
        <v>210</v>
      </c>
      <c r="AC1285" s="34">
        <v>46003</v>
      </c>
      <c r="AD1285" s="34">
        <v>46173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 t="s">
        <v>122</v>
      </c>
      <c r="AT1285">
        <v>88209000</v>
      </c>
      <c r="AU1285">
        <v>2028807</v>
      </c>
      <c r="AV1285">
        <v>88209000</v>
      </c>
      <c r="AW1285">
        <v>2028807</v>
      </c>
    </row>
    <row r="1286" spans="1:49" hidden="1" x14ac:dyDescent="0.35">
      <c r="A1286">
        <v>5863110</v>
      </c>
      <c r="B1286">
        <v>5010005863101</v>
      </c>
      <c r="D1286">
        <v>30708117583</v>
      </c>
      <c r="E1286" t="s">
        <v>1766</v>
      </c>
      <c r="F1286" t="s">
        <v>1</v>
      </c>
      <c r="G1286" t="s">
        <v>166</v>
      </c>
      <c r="H1286" t="s">
        <v>50</v>
      </c>
      <c r="I1286">
        <v>5940</v>
      </c>
      <c r="J1286">
        <v>3</v>
      </c>
      <c r="K1286" t="s">
        <v>32</v>
      </c>
      <c r="L1286">
        <v>11014</v>
      </c>
      <c r="M1286" t="s">
        <v>232</v>
      </c>
      <c r="N1286">
        <v>17</v>
      </c>
      <c r="O1286" t="s">
        <v>119</v>
      </c>
      <c r="P1286" t="s">
        <v>1816</v>
      </c>
      <c r="Q1286">
        <v>1158537.6000000001</v>
      </c>
      <c r="R1286">
        <v>54648000</v>
      </c>
      <c r="S1286">
        <v>92</v>
      </c>
      <c r="T1286">
        <v>594000</v>
      </c>
      <c r="U1286">
        <v>1</v>
      </c>
      <c r="V1286">
        <v>1</v>
      </c>
      <c r="W1286" t="s">
        <v>127</v>
      </c>
      <c r="X1286">
        <v>29700</v>
      </c>
      <c r="Y1286">
        <v>1158537.6000000001</v>
      </c>
      <c r="Z1286">
        <v>54648000</v>
      </c>
      <c r="AA1286">
        <v>594000</v>
      </c>
      <c r="AB1286">
        <v>210</v>
      </c>
      <c r="AC1286" s="34">
        <v>46003</v>
      </c>
      <c r="AD1286" s="34">
        <v>46173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 t="s">
        <v>122</v>
      </c>
      <c r="AT1286">
        <v>32788800</v>
      </c>
      <c r="AU1286">
        <v>695122.56</v>
      </c>
      <c r="AV1286">
        <v>32788800</v>
      </c>
      <c r="AW1286">
        <v>695122.56</v>
      </c>
    </row>
    <row r="1287" spans="1:49" hidden="1" x14ac:dyDescent="0.35">
      <c r="A1287">
        <v>5863110</v>
      </c>
      <c r="B1287">
        <v>5010005863101</v>
      </c>
      <c r="D1287">
        <v>30708117583</v>
      </c>
      <c r="E1287" t="s">
        <v>1766</v>
      </c>
      <c r="F1287" t="s">
        <v>1</v>
      </c>
      <c r="G1287" t="s">
        <v>1817</v>
      </c>
      <c r="H1287" t="s">
        <v>48</v>
      </c>
      <c r="I1287">
        <v>6128</v>
      </c>
      <c r="J1287">
        <v>3</v>
      </c>
      <c r="K1287" t="s">
        <v>32</v>
      </c>
      <c r="L1287">
        <v>11014</v>
      </c>
      <c r="M1287" t="s">
        <v>232</v>
      </c>
      <c r="N1287">
        <v>18</v>
      </c>
      <c r="O1287" t="s">
        <v>119</v>
      </c>
      <c r="P1287" t="s">
        <v>1818</v>
      </c>
      <c r="Q1287">
        <v>3791205</v>
      </c>
      <c r="R1287">
        <v>163350000</v>
      </c>
      <c r="S1287">
        <v>185</v>
      </c>
      <c r="T1287">
        <v>882972.97</v>
      </c>
      <c r="U1287">
        <v>1</v>
      </c>
      <c r="V1287">
        <v>1</v>
      </c>
      <c r="W1287" t="s">
        <v>127</v>
      </c>
      <c r="X1287">
        <v>29700</v>
      </c>
      <c r="Y1287">
        <v>3791205</v>
      </c>
      <c r="Z1287">
        <v>163350000</v>
      </c>
      <c r="AA1287">
        <v>882972.97</v>
      </c>
      <c r="AB1287">
        <v>210</v>
      </c>
      <c r="AC1287" s="34">
        <v>46003</v>
      </c>
      <c r="AD1287" s="34">
        <v>46173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 t="s">
        <v>122</v>
      </c>
      <c r="AT1287">
        <v>98010000</v>
      </c>
      <c r="AU1287">
        <v>2274723</v>
      </c>
      <c r="AV1287">
        <v>98010000</v>
      </c>
      <c r="AW1287">
        <v>2274723</v>
      </c>
    </row>
    <row r="1288" spans="1:49" hidden="1" x14ac:dyDescent="0.35">
      <c r="A1288">
        <v>5863110</v>
      </c>
      <c r="B1288">
        <v>5010005863101</v>
      </c>
      <c r="D1288">
        <v>30708117583</v>
      </c>
      <c r="E1288" t="s">
        <v>1766</v>
      </c>
      <c r="F1288" t="s">
        <v>1</v>
      </c>
      <c r="G1288" t="s">
        <v>49</v>
      </c>
      <c r="H1288" t="s">
        <v>49</v>
      </c>
      <c r="I1288">
        <v>5800</v>
      </c>
      <c r="J1288">
        <v>3</v>
      </c>
      <c r="K1288" t="s">
        <v>32</v>
      </c>
      <c r="L1288">
        <v>11014</v>
      </c>
      <c r="M1288" t="s">
        <v>232</v>
      </c>
      <c r="N1288">
        <v>19</v>
      </c>
      <c r="O1288" t="s">
        <v>119</v>
      </c>
      <c r="P1288" t="s">
        <v>1819</v>
      </c>
      <c r="Q1288">
        <v>4357584</v>
      </c>
      <c r="R1288">
        <v>77814000</v>
      </c>
      <c r="S1288">
        <v>131</v>
      </c>
      <c r="T1288">
        <v>594000</v>
      </c>
      <c r="U1288">
        <v>1</v>
      </c>
      <c r="V1288">
        <v>1</v>
      </c>
      <c r="W1288" t="s">
        <v>127</v>
      </c>
      <c r="X1288">
        <v>29700</v>
      </c>
      <c r="Y1288">
        <v>4357584</v>
      </c>
      <c r="Z1288">
        <v>77814000</v>
      </c>
      <c r="AA1288">
        <v>594000</v>
      </c>
      <c r="AB1288">
        <v>210</v>
      </c>
      <c r="AC1288" s="34">
        <v>46003</v>
      </c>
      <c r="AD1288" s="34">
        <v>46173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 t="s">
        <v>122</v>
      </c>
      <c r="AT1288">
        <v>46688400</v>
      </c>
      <c r="AU1288">
        <v>2614550.4</v>
      </c>
      <c r="AV1288">
        <v>46688400</v>
      </c>
      <c r="AW1288">
        <v>2614550.4</v>
      </c>
    </row>
    <row r="1289" spans="1:49" hidden="1" x14ac:dyDescent="0.35">
      <c r="A1289">
        <v>5863110</v>
      </c>
      <c r="B1289">
        <v>5010005863101</v>
      </c>
      <c r="D1289">
        <v>30708117583</v>
      </c>
      <c r="E1289" t="s">
        <v>1766</v>
      </c>
      <c r="F1289" t="s">
        <v>1</v>
      </c>
      <c r="G1289" t="s">
        <v>1820</v>
      </c>
      <c r="H1289" t="s">
        <v>21</v>
      </c>
      <c r="I1289">
        <v>2720</v>
      </c>
      <c r="J1289">
        <v>1</v>
      </c>
      <c r="K1289" t="s">
        <v>16</v>
      </c>
      <c r="L1289">
        <v>11014</v>
      </c>
      <c r="M1289" t="s">
        <v>232</v>
      </c>
      <c r="N1289">
        <v>20</v>
      </c>
      <c r="O1289" t="s">
        <v>119</v>
      </c>
      <c r="P1289" t="s">
        <v>1821</v>
      </c>
      <c r="Q1289">
        <v>320760</v>
      </c>
      <c r="R1289">
        <v>17820000</v>
      </c>
      <c r="S1289">
        <v>20</v>
      </c>
      <c r="T1289">
        <v>891000</v>
      </c>
      <c r="U1289">
        <v>1</v>
      </c>
      <c r="V1289">
        <v>1</v>
      </c>
      <c r="W1289" t="s">
        <v>127</v>
      </c>
      <c r="X1289">
        <v>29700</v>
      </c>
      <c r="Y1289">
        <v>320760</v>
      </c>
      <c r="Z1289">
        <v>17820000</v>
      </c>
      <c r="AA1289">
        <v>891000</v>
      </c>
      <c r="AB1289">
        <v>210</v>
      </c>
      <c r="AC1289" s="34">
        <v>46003</v>
      </c>
      <c r="AD1289" s="34">
        <v>46173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 t="s">
        <v>122</v>
      </c>
      <c r="AT1289">
        <v>10692000</v>
      </c>
      <c r="AU1289">
        <v>192456</v>
      </c>
      <c r="AV1289">
        <v>10692000</v>
      </c>
      <c r="AW1289">
        <v>192456</v>
      </c>
    </row>
    <row r="1290" spans="1:49" hidden="1" x14ac:dyDescent="0.35">
      <c r="A1290">
        <v>5863110</v>
      </c>
      <c r="B1290">
        <v>5010005863101</v>
      </c>
      <c r="D1290">
        <v>30708117583</v>
      </c>
      <c r="E1290" t="s">
        <v>1766</v>
      </c>
      <c r="F1290" t="s">
        <v>1</v>
      </c>
      <c r="G1290" t="s">
        <v>22</v>
      </c>
      <c r="H1290" t="s">
        <v>22</v>
      </c>
      <c r="I1290">
        <v>2812</v>
      </c>
      <c r="J1290">
        <v>1</v>
      </c>
      <c r="K1290" t="s">
        <v>16</v>
      </c>
      <c r="L1290">
        <v>11014</v>
      </c>
      <c r="M1290" t="s">
        <v>232</v>
      </c>
      <c r="N1290">
        <v>21</v>
      </c>
      <c r="O1290" t="s">
        <v>119</v>
      </c>
      <c r="P1290" t="s">
        <v>1822</v>
      </c>
      <c r="Q1290">
        <v>3287790</v>
      </c>
      <c r="R1290">
        <v>182655000</v>
      </c>
      <c r="S1290">
        <v>246</v>
      </c>
      <c r="T1290">
        <v>742500</v>
      </c>
      <c r="U1290">
        <v>1</v>
      </c>
      <c r="V1290">
        <v>1</v>
      </c>
      <c r="W1290" t="s">
        <v>127</v>
      </c>
      <c r="X1290">
        <v>29700</v>
      </c>
      <c r="Y1290">
        <v>3287790</v>
      </c>
      <c r="Z1290">
        <v>182655000</v>
      </c>
      <c r="AA1290">
        <v>742500</v>
      </c>
      <c r="AB1290">
        <v>210</v>
      </c>
      <c r="AC1290" s="34">
        <v>46003</v>
      </c>
      <c r="AD1290" s="34">
        <v>46173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 t="s">
        <v>122</v>
      </c>
      <c r="AT1290">
        <v>109593000</v>
      </c>
      <c r="AU1290">
        <v>1972674</v>
      </c>
      <c r="AV1290">
        <v>109593000</v>
      </c>
      <c r="AW1290">
        <v>1972674</v>
      </c>
    </row>
    <row r="1291" spans="1:49" hidden="1" x14ac:dyDescent="0.35">
      <c r="A1291">
        <v>5863110</v>
      </c>
      <c r="B1291">
        <v>5010005863101</v>
      </c>
      <c r="D1291">
        <v>30708117583</v>
      </c>
      <c r="E1291" t="s">
        <v>1766</v>
      </c>
      <c r="F1291" t="s">
        <v>1</v>
      </c>
      <c r="G1291" t="s">
        <v>1820</v>
      </c>
      <c r="H1291" t="s">
        <v>21</v>
      </c>
      <c r="I1291">
        <v>2720</v>
      </c>
      <c r="J1291">
        <v>1</v>
      </c>
      <c r="K1291" t="s">
        <v>16</v>
      </c>
      <c r="L1291">
        <v>11014</v>
      </c>
      <c r="M1291" t="s">
        <v>232</v>
      </c>
      <c r="N1291">
        <v>22</v>
      </c>
      <c r="O1291" t="s">
        <v>119</v>
      </c>
      <c r="P1291" t="s">
        <v>1823</v>
      </c>
      <c r="Q1291">
        <v>906147</v>
      </c>
      <c r="R1291">
        <v>50341500</v>
      </c>
      <c r="S1291">
        <v>56.5</v>
      </c>
      <c r="T1291">
        <v>891000</v>
      </c>
      <c r="U1291">
        <v>1</v>
      </c>
      <c r="V1291">
        <v>1</v>
      </c>
      <c r="W1291" t="s">
        <v>127</v>
      </c>
      <c r="X1291">
        <v>29700</v>
      </c>
      <c r="Y1291">
        <v>906147</v>
      </c>
      <c r="Z1291">
        <v>50341500</v>
      </c>
      <c r="AA1291">
        <v>891000</v>
      </c>
      <c r="AB1291">
        <v>210</v>
      </c>
      <c r="AC1291" s="34">
        <v>46003</v>
      </c>
      <c r="AD1291" s="34">
        <v>46173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 t="s">
        <v>122</v>
      </c>
      <c r="AT1291">
        <v>30204900</v>
      </c>
      <c r="AU1291">
        <v>543688.19999999995</v>
      </c>
      <c r="AV1291">
        <v>30204900</v>
      </c>
      <c r="AW1291">
        <v>543688.19999999995</v>
      </c>
    </row>
    <row r="1292" spans="1:49" hidden="1" x14ac:dyDescent="0.35">
      <c r="A1292">
        <v>5863110</v>
      </c>
      <c r="B1292">
        <v>5010005863101</v>
      </c>
      <c r="D1292">
        <v>30708117583</v>
      </c>
      <c r="E1292" t="s">
        <v>1766</v>
      </c>
      <c r="F1292" t="s">
        <v>1</v>
      </c>
      <c r="G1292" t="s">
        <v>1820</v>
      </c>
      <c r="H1292" t="s">
        <v>21</v>
      </c>
      <c r="I1292">
        <v>2720</v>
      </c>
      <c r="J1292">
        <v>1</v>
      </c>
      <c r="K1292" t="s">
        <v>16</v>
      </c>
      <c r="L1292">
        <v>11014</v>
      </c>
      <c r="M1292" t="s">
        <v>232</v>
      </c>
      <c r="N1292">
        <v>23</v>
      </c>
      <c r="O1292" t="s">
        <v>119</v>
      </c>
      <c r="P1292" t="s">
        <v>1824</v>
      </c>
      <c r="Q1292">
        <v>1042470</v>
      </c>
      <c r="R1292">
        <v>57915000</v>
      </c>
      <c r="S1292">
        <v>65</v>
      </c>
      <c r="T1292">
        <v>891000</v>
      </c>
      <c r="U1292">
        <v>1</v>
      </c>
      <c r="V1292">
        <v>1</v>
      </c>
      <c r="W1292" t="s">
        <v>127</v>
      </c>
      <c r="X1292">
        <v>29700</v>
      </c>
      <c r="Y1292">
        <v>1042470</v>
      </c>
      <c r="Z1292">
        <v>57915000</v>
      </c>
      <c r="AA1292">
        <v>891000</v>
      </c>
      <c r="AB1292">
        <v>210</v>
      </c>
      <c r="AC1292" s="34">
        <v>46003</v>
      </c>
      <c r="AD1292" s="34">
        <v>46173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 t="s">
        <v>122</v>
      </c>
      <c r="AT1292">
        <v>34749000</v>
      </c>
      <c r="AU1292">
        <v>625482</v>
      </c>
      <c r="AV1292">
        <v>34749000</v>
      </c>
      <c r="AW1292">
        <v>625482</v>
      </c>
    </row>
    <row r="1293" spans="1:49" hidden="1" x14ac:dyDescent="0.35">
      <c r="A1293">
        <v>5863110</v>
      </c>
      <c r="B1293">
        <v>5010005863101</v>
      </c>
      <c r="D1293">
        <v>30708117583</v>
      </c>
      <c r="E1293" t="s">
        <v>1766</v>
      </c>
      <c r="F1293" t="s">
        <v>1</v>
      </c>
      <c r="G1293" t="s">
        <v>131</v>
      </c>
      <c r="H1293" t="s">
        <v>23</v>
      </c>
      <c r="I1293">
        <v>6105</v>
      </c>
      <c r="J1293">
        <v>1</v>
      </c>
      <c r="K1293" t="s">
        <v>16</v>
      </c>
      <c r="L1293">
        <v>11014</v>
      </c>
      <c r="M1293" t="s">
        <v>232</v>
      </c>
      <c r="N1293">
        <v>24</v>
      </c>
      <c r="O1293" t="s">
        <v>119</v>
      </c>
      <c r="P1293" t="s">
        <v>1825</v>
      </c>
      <c r="Q1293">
        <v>2726460</v>
      </c>
      <c r="R1293">
        <v>121176000</v>
      </c>
      <c r="S1293">
        <v>136</v>
      </c>
      <c r="T1293">
        <v>891000</v>
      </c>
      <c r="U1293">
        <v>1</v>
      </c>
      <c r="V1293">
        <v>1</v>
      </c>
      <c r="W1293" t="s">
        <v>127</v>
      </c>
      <c r="X1293">
        <v>29700</v>
      </c>
      <c r="Y1293">
        <v>2726460</v>
      </c>
      <c r="Z1293">
        <v>121176000</v>
      </c>
      <c r="AA1293">
        <v>891000</v>
      </c>
      <c r="AB1293">
        <v>210</v>
      </c>
      <c r="AC1293" s="34">
        <v>46003</v>
      </c>
      <c r="AD1293" s="34">
        <v>46173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 t="s">
        <v>122</v>
      </c>
      <c r="AT1293">
        <v>72705600</v>
      </c>
      <c r="AU1293">
        <v>1635876</v>
      </c>
      <c r="AV1293">
        <v>72705600</v>
      </c>
      <c r="AW1293">
        <v>1635876</v>
      </c>
    </row>
    <row r="1294" spans="1:49" hidden="1" x14ac:dyDescent="0.35">
      <c r="A1294">
        <v>5863110</v>
      </c>
      <c r="B1294">
        <v>5010005863101</v>
      </c>
      <c r="D1294">
        <v>30708117583</v>
      </c>
      <c r="E1294" t="s">
        <v>1766</v>
      </c>
      <c r="F1294" t="s">
        <v>1</v>
      </c>
      <c r="G1294" t="s">
        <v>754</v>
      </c>
      <c r="H1294" t="s">
        <v>61</v>
      </c>
      <c r="I1294">
        <v>6100</v>
      </c>
      <c r="J1294">
        <v>12</v>
      </c>
      <c r="K1294" t="s">
        <v>34</v>
      </c>
      <c r="L1294">
        <v>11014</v>
      </c>
      <c r="M1294" t="s">
        <v>232</v>
      </c>
      <c r="N1294">
        <v>25</v>
      </c>
      <c r="O1294" t="s">
        <v>119</v>
      </c>
      <c r="P1294" t="s">
        <v>1826</v>
      </c>
      <c r="Q1294">
        <v>633501</v>
      </c>
      <c r="R1294">
        <v>35194500</v>
      </c>
      <c r="S1294">
        <v>39.5</v>
      </c>
      <c r="T1294">
        <v>891000</v>
      </c>
      <c r="U1294">
        <v>1</v>
      </c>
      <c r="V1294">
        <v>1</v>
      </c>
      <c r="W1294" t="s">
        <v>127</v>
      </c>
      <c r="X1294">
        <v>29700</v>
      </c>
      <c r="Y1294">
        <v>633501</v>
      </c>
      <c r="Z1294">
        <v>35194500</v>
      </c>
      <c r="AA1294">
        <v>891000</v>
      </c>
      <c r="AB1294">
        <v>210</v>
      </c>
      <c r="AC1294" s="34">
        <v>46003</v>
      </c>
      <c r="AD1294" s="34">
        <v>46173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 t="s">
        <v>122</v>
      </c>
      <c r="AT1294">
        <v>21116700</v>
      </c>
      <c r="AU1294">
        <v>380100.6</v>
      </c>
      <c r="AV1294">
        <v>21116700</v>
      </c>
      <c r="AW1294">
        <v>380100.6</v>
      </c>
    </row>
    <row r="1295" spans="1:49" hidden="1" x14ac:dyDescent="0.35">
      <c r="A1295">
        <v>5863110</v>
      </c>
      <c r="B1295">
        <v>5010005863101</v>
      </c>
      <c r="D1295">
        <v>30708117583</v>
      </c>
      <c r="E1295" t="s">
        <v>1766</v>
      </c>
      <c r="F1295" t="s">
        <v>1</v>
      </c>
      <c r="G1295" t="s">
        <v>754</v>
      </c>
      <c r="H1295" t="s">
        <v>61</v>
      </c>
      <c r="I1295">
        <v>6100</v>
      </c>
      <c r="J1295">
        <v>12</v>
      </c>
      <c r="K1295" t="s">
        <v>34</v>
      </c>
      <c r="L1295">
        <v>11014</v>
      </c>
      <c r="M1295" t="s">
        <v>232</v>
      </c>
      <c r="N1295">
        <v>26</v>
      </c>
      <c r="O1295" t="s">
        <v>119</v>
      </c>
      <c r="P1295" t="s">
        <v>1827</v>
      </c>
      <c r="Q1295">
        <v>513216</v>
      </c>
      <c r="R1295">
        <v>28512000</v>
      </c>
      <c r="S1295">
        <v>48</v>
      </c>
      <c r="T1295">
        <v>594000</v>
      </c>
      <c r="U1295">
        <v>1</v>
      </c>
      <c r="V1295">
        <v>1</v>
      </c>
      <c r="W1295" t="s">
        <v>127</v>
      </c>
      <c r="X1295">
        <v>29700</v>
      </c>
      <c r="Y1295">
        <v>513216</v>
      </c>
      <c r="Z1295">
        <v>28512000</v>
      </c>
      <c r="AA1295">
        <v>594000</v>
      </c>
      <c r="AB1295">
        <v>210</v>
      </c>
      <c r="AC1295" s="34">
        <v>46003</v>
      </c>
      <c r="AD1295" s="34">
        <v>46173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 t="s">
        <v>122</v>
      </c>
      <c r="AT1295">
        <v>17107200</v>
      </c>
      <c r="AU1295">
        <v>307929.59999999998</v>
      </c>
      <c r="AV1295">
        <v>17107200</v>
      </c>
      <c r="AW1295">
        <v>307929.59999999998</v>
      </c>
    </row>
    <row r="1296" spans="1:49" hidden="1" x14ac:dyDescent="0.35">
      <c r="A1296">
        <v>5863210</v>
      </c>
      <c r="B1296">
        <v>5010005863201</v>
      </c>
      <c r="D1296">
        <v>20319620932</v>
      </c>
      <c r="E1296" t="s">
        <v>1108</v>
      </c>
      <c r="F1296" t="s">
        <v>1</v>
      </c>
      <c r="G1296" t="s">
        <v>1828</v>
      </c>
      <c r="H1296" t="s">
        <v>55</v>
      </c>
      <c r="I1296">
        <v>6221</v>
      </c>
      <c r="J1296">
        <v>21</v>
      </c>
      <c r="K1296" t="s">
        <v>33</v>
      </c>
      <c r="L1296">
        <v>13212</v>
      </c>
      <c r="M1296" t="s">
        <v>429</v>
      </c>
      <c r="N1296">
        <v>1</v>
      </c>
      <c r="O1296" t="s">
        <v>119</v>
      </c>
      <c r="P1296" t="s">
        <v>1829</v>
      </c>
      <c r="Q1296">
        <v>4752428</v>
      </c>
      <c r="R1296">
        <v>145780000</v>
      </c>
      <c r="S1296">
        <v>185</v>
      </c>
      <c r="T1296">
        <v>788000</v>
      </c>
      <c r="U1296">
        <v>1</v>
      </c>
      <c r="V1296">
        <v>1</v>
      </c>
      <c r="W1296" t="s">
        <v>127</v>
      </c>
      <c r="X1296">
        <v>19700</v>
      </c>
      <c r="Y1296" s="60">
        <v>4752428</v>
      </c>
      <c r="Z1296" s="78">
        <v>145780000</v>
      </c>
      <c r="AA1296">
        <v>788000</v>
      </c>
      <c r="AB1296">
        <v>210</v>
      </c>
      <c r="AC1296" s="34">
        <v>46012</v>
      </c>
      <c r="AD1296" s="34">
        <v>46203</v>
      </c>
      <c r="AE1296" t="s">
        <v>355</v>
      </c>
      <c r="AF1296">
        <v>0</v>
      </c>
      <c r="AG1296">
        <v>6679088</v>
      </c>
      <c r="AH1296">
        <v>0</v>
      </c>
      <c r="AI1296">
        <v>6679088</v>
      </c>
      <c r="AJ1296">
        <v>0</v>
      </c>
      <c r="AK1296">
        <v>0</v>
      </c>
      <c r="AL1296">
        <v>1676451.09</v>
      </c>
      <c r="AM1296">
        <v>0</v>
      </c>
      <c r="AN1296">
        <v>8355539.0899999999</v>
      </c>
      <c r="AO1296" t="s">
        <v>122</v>
      </c>
      <c r="AP1296">
        <v>15</v>
      </c>
      <c r="AQ1296">
        <v>1001863.2</v>
      </c>
      <c r="AR1296">
        <v>1001863.2</v>
      </c>
      <c r="AT1296">
        <v>87468000</v>
      </c>
      <c r="AU1296">
        <v>2851456.8</v>
      </c>
      <c r="AV1296">
        <v>87468000</v>
      </c>
      <c r="AW1296">
        <v>2851456.8</v>
      </c>
    </row>
    <row r="1297" spans="1:49" hidden="1" x14ac:dyDescent="0.35">
      <c r="A1297">
        <v>5863210</v>
      </c>
      <c r="B1297">
        <v>5010005863201</v>
      </c>
      <c r="D1297">
        <v>20319620932</v>
      </c>
      <c r="E1297" t="s">
        <v>1108</v>
      </c>
      <c r="F1297" t="s">
        <v>1</v>
      </c>
      <c r="G1297" t="s">
        <v>1828</v>
      </c>
      <c r="H1297" t="s">
        <v>55</v>
      </c>
      <c r="I1297">
        <v>6221</v>
      </c>
      <c r="J1297">
        <v>21</v>
      </c>
      <c r="K1297" t="s">
        <v>33</v>
      </c>
      <c r="L1297">
        <v>13212</v>
      </c>
      <c r="M1297" t="s">
        <v>429</v>
      </c>
      <c r="N1297">
        <v>2</v>
      </c>
      <c r="O1297" t="s">
        <v>119</v>
      </c>
      <c r="P1297" t="s">
        <v>1830</v>
      </c>
      <c r="Q1297">
        <v>1926660</v>
      </c>
      <c r="R1297">
        <v>59100000</v>
      </c>
      <c r="S1297">
        <v>75</v>
      </c>
      <c r="T1297">
        <v>788000</v>
      </c>
      <c r="U1297">
        <v>1</v>
      </c>
      <c r="V1297">
        <v>1</v>
      </c>
      <c r="W1297" t="s">
        <v>127</v>
      </c>
      <c r="X1297">
        <v>19700</v>
      </c>
      <c r="Y1297" s="60">
        <v>1926660</v>
      </c>
      <c r="Z1297" s="78">
        <v>59100000</v>
      </c>
      <c r="AA1297">
        <v>788000</v>
      </c>
      <c r="AB1297">
        <v>210</v>
      </c>
      <c r="AC1297" s="34">
        <v>46012</v>
      </c>
      <c r="AD1297" s="34">
        <v>46203</v>
      </c>
      <c r="AE1297" t="s">
        <v>355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 t="s">
        <v>122</v>
      </c>
      <c r="AT1297">
        <v>35460000</v>
      </c>
      <c r="AU1297">
        <v>1155996</v>
      </c>
      <c r="AV1297">
        <v>35460000</v>
      </c>
      <c r="AW1297">
        <v>1155996</v>
      </c>
    </row>
    <row r="1298" spans="1:49" hidden="1" x14ac:dyDescent="0.35">
      <c r="A1298">
        <v>5863310</v>
      </c>
      <c r="B1298">
        <v>5010005863301</v>
      </c>
      <c r="D1298">
        <v>30711031436</v>
      </c>
      <c r="E1298" t="s">
        <v>696</v>
      </c>
      <c r="F1298" t="s">
        <v>1</v>
      </c>
      <c r="G1298" t="s">
        <v>72</v>
      </c>
      <c r="H1298" t="s">
        <v>72</v>
      </c>
      <c r="I1298">
        <v>7400</v>
      </c>
      <c r="J1298">
        <v>1</v>
      </c>
      <c r="K1298" t="s">
        <v>16</v>
      </c>
      <c r="L1298">
        <v>13524</v>
      </c>
      <c r="M1298" t="s">
        <v>697</v>
      </c>
      <c r="N1298">
        <v>1</v>
      </c>
      <c r="O1298" t="s">
        <v>119</v>
      </c>
      <c r="P1298" t="s">
        <v>1831</v>
      </c>
      <c r="Q1298">
        <v>3752</v>
      </c>
      <c r="R1298">
        <v>140000</v>
      </c>
      <c r="S1298">
        <v>200</v>
      </c>
      <c r="T1298">
        <v>700</v>
      </c>
      <c r="U1298">
        <v>26</v>
      </c>
      <c r="V1298">
        <v>1396</v>
      </c>
      <c r="W1298" t="s">
        <v>121</v>
      </c>
      <c r="X1298" t="s">
        <v>1</v>
      </c>
      <c r="Y1298">
        <v>5237792</v>
      </c>
      <c r="Z1298">
        <v>195440000</v>
      </c>
      <c r="AA1298">
        <v>977200</v>
      </c>
      <c r="AB1298">
        <v>106</v>
      </c>
      <c r="AC1298" s="34">
        <v>46035</v>
      </c>
      <c r="AD1298" s="34">
        <v>46112</v>
      </c>
      <c r="AF1298">
        <v>0</v>
      </c>
      <c r="AG1298">
        <v>3752</v>
      </c>
      <c r="AH1298">
        <v>0</v>
      </c>
      <c r="AI1298">
        <v>5237792</v>
      </c>
      <c r="AJ1298">
        <v>0</v>
      </c>
      <c r="AK1298">
        <v>0</v>
      </c>
      <c r="AL1298">
        <v>1314683</v>
      </c>
      <c r="AM1298">
        <v>0</v>
      </c>
      <c r="AN1298">
        <v>6552475</v>
      </c>
      <c r="AO1298" t="s">
        <v>122</v>
      </c>
      <c r="AP1298">
        <v>10</v>
      </c>
      <c r="AQ1298">
        <v>375.2</v>
      </c>
      <c r="AR1298">
        <v>523779.2</v>
      </c>
      <c r="AT1298">
        <v>84000</v>
      </c>
      <c r="AU1298">
        <v>2251.1999999999998</v>
      </c>
      <c r="AV1298">
        <v>117264000</v>
      </c>
      <c r="AW1298">
        <v>3142675.2</v>
      </c>
    </row>
    <row r="1299" spans="1:49" hidden="1" x14ac:dyDescent="0.35">
      <c r="A1299">
        <v>5863410</v>
      </c>
      <c r="B1299">
        <v>1170005863401</v>
      </c>
      <c r="D1299">
        <v>20295147149</v>
      </c>
      <c r="E1299" t="s">
        <v>303</v>
      </c>
      <c r="F1299" t="s">
        <v>1</v>
      </c>
      <c r="G1299" t="s">
        <v>226</v>
      </c>
      <c r="H1299" t="s">
        <v>63</v>
      </c>
      <c r="I1299">
        <v>2535</v>
      </c>
      <c r="J1299">
        <v>12</v>
      </c>
      <c r="K1299" t="s">
        <v>34</v>
      </c>
      <c r="L1299">
        <v>83429</v>
      </c>
      <c r="M1299" t="s">
        <v>140</v>
      </c>
      <c r="N1299">
        <v>1</v>
      </c>
      <c r="O1299" t="s">
        <v>119</v>
      </c>
      <c r="P1299" t="s">
        <v>1832</v>
      </c>
      <c r="Q1299">
        <v>1228689</v>
      </c>
      <c r="R1299">
        <v>59400000</v>
      </c>
      <c r="S1299">
        <v>100</v>
      </c>
      <c r="T1299">
        <v>594000</v>
      </c>
      <c r="U1299">
        <v>1</v>
      </c>
      <c r="V1299">
        <v>1</v>
      </c>
      <c r="W1299" t="s">
        <v>127</v>
      </c>
      <c r="X1299">
        <v>29700</v>
      </c>
      <c r="Y1299">
        <v>1228689</v>
      </c>
      <c r="Z1299">
        <v>59400000</v>
      </c>
      <c r="AA1299">
        <v>594000</v>
      </c>
      <c r="AB1299">
        <v>105</v>
      </c>
      <c r="AC1299" s="34">
        <v>46046</v>
      </c>
      <c r="AD1299" s="34">
        <v>46188</v>
      </c>
      <c r="AF1299">
        <v>0</v>
      </c>
      <c r="AG1299">
        <v>2297592</v>
      </c>
      <c r="AH1299">
        <v>0</v>
      </c>
      <c r="AI1299">
        <v>2297592</v>
      </c>
      <c r="AJ1299">
        <v>0</v>
      </c>
      <c r="AK1299">
        <v>0</v>
      </c>
      <c r="AL1299">
        <v>588183.55000000005</v>
      </c>
      <c r="AM1299">
        <v>0</v>
      </c>
      <c r="AN1299">
        <v>2885775.55</v>
      </c>
      <c r="AO1299" t="s">
        <v>122</v>
      </c>
      <c r="AP1299">
        <v>15</v>
      </c>
      <c r="AQ1299">
        <v>344638.8</v>
      </c>
      <c r="AR1299">
        <v>344638.8</v>
      </c>
      <c r="AT1299">
        <v>35640000</v>
      </c>
      <c r="AU1299">
        <v>737213.4</v>
      </c>
      <c r="AV1299">
        <v>35640000</v>
      </c>
      <c r="AW1299">
        <v>737213.4</v>
      </c>
    </row>
    <row r="1300" spans="1:49" hidden="1" x14ac:dyDescent="0.35">
      <c r="A1300">
        <v>5863410</v>
      </c>
      <c r="B1300">
        <v>1170005863401</v>
      </c>
      <c r="D1300">
        <v>20295147149</v>
      </c>
      <c r="E1300" t="s">
        <v>303</v>
      </c>
      <c r="F1300" t="s">
        <v>1</v>
      </c>
      <c r="G1300" t="s">
        <v>226</v>
      </c>
      <c r="H1300" t="s">
        <v>63</v>
      </c>
      <c r="I1300">
        <v>2535</v>
      </c>
      <c r="J1300">
        <v>12</v>
      </c>
      <c r="K1300" t="s">
        <v>34</v>
      </c>
      <c r="L1300">
        <v>83429</v>
      </c>
      <c r="M1300" t="s">
        <v>140</v>
      </c>
      <c r="N1300">
        <v>2</v>
      </c>
      <c r="O1300" t="s">
        <v>119</v>
      </c>
      <c r="P1300" t="s">
        <v>1833</v>
      </c>
      <c r="Q1300">
        <v>184437</v>
      </c>
      <c r="R1300">
        <v>8910000</v>
      </c>
      <c r="S1300">
        <v>15</v>
      </c>
      <c r="T1300">
        <v>594000</v>
      </c>
      <c r="U1300">
        <v>1</v>
      </c>
      <c r="V1300">
        <v>1</v>
      </c>
      <c r="W1300" t="s">
        <v>127</v>
      </c>
      <c r="X1300">
        <v>29700</v>
      </c>
      <c r="Y1300">
        <v>184437</v>
      </c>
      <c r="Z1300">
        <v>8910000</v>
      </c>
      <c r="AA1300">
        <v>594000</v>
      </c>
      <c r="AB1300">
        <v>105</v>
      </c>
      <c r="AC1300" s="34">
        <v>46046</v>
      </c>
      <c r="AD1300" s="34">
        <v>46188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 t="s">
        <v>122</v>
      </c>
      <c r="AT1300">
        <v>5346000</v>
      </c>
      <c r="AU1300">
        <v>110662.2</v>
      </c>
      <c r="AV1300">
        <v>5346000</v>
      </c>
      <c r="AW1300">
        <v>110662.2</v>
      </c>
    </row>
    <row r="1301" spans="1:49" hidden="1" x14ac:dyDescent="0.35">
      <c r="A1301">
        <v>5863410</v>
      </c>
      <c r="B1301">
        <v>1170005863401</v>
      </c>
      <c r="D1301">
        <v>20295147149</v>
      </c>
      <c r="E1301" t="s">
        <v>303</v>
      </c>
      <c r="F1301" t="s">
        <v>1</v>
      </c>
      <c r="G1301" t="s">
        <v>226</v>
      </c>
      <c r="H1301" t="s">
        <v>63</v>
      </c>
      <c r="I1301">
        <v>2535</v>
      </c>
      <c r="J1301">
        <v>12</v>
      </c>
      <c r="K1301" t="s">
        <v>34</v>
      </c>
      <c r="L1301">
        <v>83429</v>
      </c>
      <c r="M1301" t="s">
        <v>140</v>
      </c>
      <c r="N1301">
        <v>3</v>
      </c>
      <c r="O1301" t="s">
        <v>119</v>
      </c>
      <c r="P1301" t="s">
        <v>1834</v>
      </c>
      <c r="Q1301">
        <v>245619</v>
      </c>
      <c r="R1301">
        <v>11880000</v>
      </c>
      <c r="S1301">
        <v>20</v>
      </c>
      <c r="T1301">
        <v>594000</v>
      </c>
      <c r="U1301">
        <v>1</v>
      </c>
      <c r="V1301">
        <v>1</v>
      </c>
      <c r="W1301" t="s">
        <v>127</v>
      </c>
      <c r="X1301">
        <v>29700</v>
      </c>
      <c r="Y1301">
        <v>245619</v>
      </c>
      <c r="Z1301">
        <v>11880000</v>
      </c>
      <c r="AA1301">
        <v>594000</v>
      </c>
      <c r="AB1301">
        <v>105</v>
      </c>
      <c r="AC1301" s="34">
        <v>46046</v>
      </c>
      <c r="AD1301" s="34">
        <v>46188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 t="s">
        <v>122</v>
      </c>
      <c r="AT1301">
        <v>7128000</v>
      </c>
      <c r="AU1301">
        <v>147371.4</v>
      </c>
      <c r="AV1301">
        <v>7128000</v>
      </c>
      <c r="AW1301">
        <v>147371.4</v>
      </c>
    </row>
    <row r="1302" spans="1:49" hidden="1" x14ac:dyDescent="0.35">
      <c r="A1302">
        <v>5863410</v>
      </c>
      <c r="B1302">
        <v>1170005863401</v>
      </c>
      <c r="D1302">
        <v>20295147149</v>
      </c>
      <c r="E1302" t="s">
        <v>303</v>
      </c>
      <c r="F1302" t="s">
        <v>1</v>
      </c>
      <c r="G1302" t="s">
        <v>226</v>
      </c>
      <c r="H1302" t="s">
        <v>63</v>
      </c>
      <c r="I1302">
        <v>2535</v>
      </c>
      <c r="J1302">
        <v>12</v>
      </c>
      <c r="K1302" t="s">
        <v>34</v>
      </c>
      <c r="L1302">
        <v>83429</v>
      </c>
      <c r="M1302" t="s">
        <v>140</v>
      </c>
      <c r="N1302">
        <v>4</v>
      </c>
      <c r="O1302" t="s">
        <v>119</v>
      </c>
      <c r="P1302" t="s">
        <v>1835</v>
      </c>
      <c r="Q1302">
        <v>638847</v>
      </c>
      <c r="R1302">
        <v>30888000</v>
      </c>
      <c r="S1302">
        <v>52</v>
      </c>
      <c r="T1302">
        <v>594000</v>
      </c>
      <c r="U1302">
        <v>1</v>
      </c>
      <c r="V1302">
        <v>1</v>
      </c>
      <c r="W1302" t="s">
        <v>127</v>
      </c>
      <c r="X1302">
        <v>29700</v>
      </c>
      <c r="Y1302">
        <v>638847</v>
      </c>
      <c r="Z1302">
        <v>30888000</v>
      </c>
      <c r="AA1302">
        <v>594000</v>
      </c>
      <c r="AB1302">
        <v>105</v>
      </c>
      <c r="AC1302" s="34">
        <v>46046</v>
      </c>
      <c r="AD1302" s="34">
        <v>46188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 t="s">
        <v>122</v>
      </c>
      <c r="AT1302">
        <v>18532800</v>
      </c>
      <c r="AU1302">
        <v>383308.2</v>
      </c>
      <c r="AV1302">
        <v>18532800</v>
      </c>
      <c r="AW1302">
        <v>383308.2</v>
      </c>
    </row>
    <row r="1303" spans="1:49" hidden="1" x14ac:dyDescent="0.35">
      <c r="A1303">
        <v>5863510</v>
      </c>
      <c r="B1303">
        <v>1170005863501</v>
      </c>
      <c r="D1303">
        <v>27240192433</v>
      </c>
      <c r="E1303" t="s">
        <v>596</v>
      </c>
      <c r="F1303" t="s">
        <v>1</v>
      </c>
      <c r="G1303" t="s">
        <v>226</v>
      </c>
      <c r="H1303" t="s">
        <v>63</v>
      </c>
      <c r="I1303">
        <v>2535</v>
      </c>
      <c r="J1303">
        <v>12</v>
      </c>
      <c r="K1303" t="s">
        <v>34</v>
      </c>
      <c r="L1303">
        <v>83429</v>
      </c>
      <c r="M1303" t="s">
        <v>140</v>
      </c>
      <c r="N1303">
        <v>1</v>
      </c>
      <c r="O1303" t="s">
        <v>119</v>
      </c>
      <c r="P1303" t="s">
        <v>1836</v>
      </c>
      <c r="Q1303">
        <v>589842</v>
      </c>
      <c r="R1303">
        <v>28512000</v>
      </c>
      <c r="S1303">
        <v>32</v>
      </c>
      <c r="T1303">
        <v>891000</v>
      </c>
      <c r="U1303">
        <v>1</v>
      </c>
      <c r="V1303">
        <v>1</v>
      </c>
      <c r="W1303" t="s">
        <v>127</v>
      </c>
      <c r="X1303">
        <v>29700</v>
      </c>
      <c r="Y1303">
        <v>589842</v>
      </c>
      <c r="Z1303">
        <v>28512000</v>
      </c>
      <c r="AA1303">
        <v>891000</v>
      </c>
      <c r="AB1303">
        <v>105</v>
      </c>
      <c r="AC1303" s="34">
        <v>45999</v>
      </c>
      <c r="AD1303" s="34">
        <v>46173</v>
      </c>
      <c r="AF1303">
        <v>0</v>
      </c>
      <c r="AG1303">
        <v>589842</v>
      </c>
      <c r="AH1303">
        <v>0</v>
      </c>
      <c r="AI1303">
        <v>589842</v>
      </c>
      <c r="AJ1303">
        <v>0</v>
      </c>
      <c r="AK1303">
        <v>0</v>
      </c>
      <c r="AL1303">
        <v>150999.54999999999</v>
      </c>
      <c r="AM1303">
        <v>0</v>
      </c>
      <c r="AN1303">
        <v>740841.55</v>
      </c>
      <c r="AO1303" t="s">
        <v>122</v>
      </c>
      <c r="AP1303">
        <v>15</v>
      </c>
      <c r="AQ1303">
        <v>88476.3</v>
      </c>
      <c r="AR1303">
        <v>88476.3</v>
      </c>
      <c r="AT1303">
        <v>17107200</v>
      </c>
      <c r="AU1303">
        <v>353905.2</v>
      </c>
      <c r="AV1303">
        <v>17107200</v>
      </c>
      <c r="AW1303">
        <v>353905.2</v>
      </c>
    </row>
    <row r="1304" spans="1:49" hidden="1" x14ac:dyDescent="0.35">
      <c r="A1304">
        <v>5863610</v>
      </c>
      <c r="B1304">
        <v>1090005863601</v>
      </c>
      <c r="D1304">
        <v>30717663981</v>
      </c>
      <c r="E1304" t="s">
        <v>168</v>
      </c>
      <c r="F1304" t="s">
        <v>1</v>
      </c>
      <c r="G1304" t="s">
        <v>169</v>
      </c>
      <c r="H1304" t="s">
        <v>170</v>
      </c>
      <c r="I1304">
        <v>8166</v>
      </c>
      <c r="J1304">
        <v>1</v>
      </c>
      <c r="K1304" t="s">
        <v>16</v>
      </c>
      <c r="L1304">
        <v>7754</v>
      </c>
      <c r="M1304" t="s">
        <v>171</v>
      </c>
      <c r="N1304">
        <v>1</v>
      </c>
      <c r="O1304" t="s">
        <v>119</v>
      </c>
      <c r="P1304" t="s">
        <v>1837</v>
      </c>
      <c r="Q1304">
        <v>1758.12</v>
      </c>
      <c r="R1304">
        <v>58800</v>
      </c>
      <c r="S1304">
        <v>98</v>
      </c>
      <c r="T1304">
        <v>600</v>
      </c>
      <c r="U1304">
        <v>26</v>
      </c>
      <c r="V1304">
        <v>1389</v>
      </c>
      <c r="W1304" t="s">
        <v>121</v>
      </c>
      <c r="X1304" t="s">
        <v>1</v>
      </c>
      <c r="Y1304">
        <v>2442028.6800000002</v>
      </c>
      <c r="Z1304">
        <v>81673200</v>
      </c>
      <c r="AA1304">
        <v>833400</v>
      </c>
      <c r="AB1304">
        <v>106</v>
      </c>
      <c r="AC1304" s="34">
        <v>46013</v>
      </c>
      <c r="AD1304" s="34">
        <v>46142</v>
      </c>
      <c r="AF1304">
        <v>0</v>
      </c>
      <c r="AG1304">
        <v>1758.12</v>
      </c>
      <c r="AH1304">
        <v>0</v>
      </c>
      <c r="AI1304">
        <v>2442028.6800000002</v>
      </c>
      <c r="AJ1304">
        <v>0</v>
      </c>
      <c r="AK1304">
        <v>0</v>
      </c>
      <c r="AL1304">
        <v>612951.81000000006</v>
      </c>
      <c r="AM1304">
        <v>0</v>
      </c>
      <c r="AN1304">
        <v>3054980.49</v>
      </c>
      <c r="AO1304" t="s">
        <v>122</v>
      </c>
      <c r="AP1304">
        <v>10</v>
      </c>
      <c r="AQ1304">
        <v>175.81</v>
      </c>
      <c r="AR1304">
        <v>244200.09</v>
      </c>
      <c r="AT1304">
        <v>35280</v>
      </c>
      <c r="AU1304">
        <v>1054.8699999999999</v>
      </c>
      <c r="AV1304">
        <v>49003920</v>
      </c>
      <c r="AW1304">
        <v>1465214.43</v>
      </c>
    </row>
    <row r="1305" spans="1:49" hidden="1" x14ac:dyDescent="0.35">
      <c r="A1305">
        <v>5863710</v>
      </c>
      <c r="B1305">
        <v>1170005863701</v>
      </c>
      <c r="D1305">
        <v>20202637818</v>
      </c>
      <c r="E1305" t="s">
        <v>1536</v>
      </c>
      <c r="F1305" t="s">
        <v>1</v>
      </c>
      <c r="G1305" t="s">
        <v>1838</v>
      </c>
      <c r="H1305" t="s">
        <v>297</v>
      </c>
      <c r="I1305">
        <v>2124</v>
      </c>
      <c r="J1305">
        <v>12</v>
      </c>
      <c r="K1305" t="s">
        <v>34</v>
      </c>
      <c r="L1305">
        <v>10987</v>
      </c>
      <c r="M1305" t="s">
        <v>298</v>
      </c>
      <c r="N1305">
        <v>1</v>
      </c>
      <c r="O1305" t="s">
        <v>125</v>
      </c>
      <c r="P1305" t="s">
        <v>1839</v>
      </c>
      <c r="Q1305">
        <v>469.5</v>
      </c>
      <c r="R1305">
        <v>15000</v>
      </c>
      <c r="S1305">
        <v>25</v>
      </c>
      <c r="T1305">
        <v>600</v>
      </c>
      <c r="U1305">
        <v>26</v>
      </c>
      <c r="V1305">
        <v>1389</v>
      </c>
      <c r="W1305" t="s">
        <v>121</v>
      </c>
      <c r="X1305" t="s">
        <v>1</v>
      </c>
      <c r="Y1305">
        <v>652135.5</v>
      </c>
      <c r="Z1305">
        <v>20835000</v>
      </c>
      <c r="AA1305">
        <v>833400</v>
      </c>
      <c r="AB1305">
        <v>214</v>
      </c>
      <c r="AC1305" s="34">
        <v>45942</v>
      </c>
      <c r="AD1305" s="34">
        <v>46022</v>
      </c>
      <c r="AE1305" t="s">
        <v>161</v>
      </c>
      <c r="AF1305">
        <v>0</v>
      </c>
      <c r="AG1305">
        <v>469.5</v>
      </c>
      <c r="AH1305">
        <v>0</v>
      </c>
      <c r="AI1305">
        <v>652135.5</v>
      </c>
      <c r="AJ1305">
        <v>0</v>
      </c>
      <c r="AK1305">
        <v>0</v>
      </c>
      <c r="AL1305">
        <v>166971.69</v>
      </c>
      <c r="AM1305">
        <v>0</v>
      </c>
      <c r="AN1305">
        <v>819107.19</v>
      </c>
      <c r="AO1305" t="s">
        <v>122</v>
      </c>
      <c r="AP1305">
        <v>15.000999999999999</v>
      </c>
      <c r="AQ1305">
        <v>70.430000000000007</v>
      </c>
      <c r="AR1305">
        <v>97827.27</v>
      </c>
      <c r="AT1305">
        <v>9000</v>
      </c>
      <c r="AU1305">
        <v>281.7</v>
      </c>
      <c r="AV1305">
        <v>12501000</v>
      </c>
      <c r="AW1305">
        <v>391281.3</v>
      </c>
    </row>
    <row r="1306" spans="1:49" hidden="1" x14ac:dyDescent="0.35">
      <c r="A1306">
        <v>5863810</v>
      </c>
      <c r="B1306">
        <v>5010005863801</v>
      </c>
      <c r="D1306">
        <v>30614483179</v>
      </c>
      <c r="E1306" t="s">
        <v>287</v>
      </c>
      <c r="F1306" t="s">
        <v>1</v>
      </c>
      <c r="G1306" t="s">
        <v>24</v>
      </c>
      <c r="H1306" t="s">
        <v>24</v>
      </c>
      <c r="I1306">
        <v>6070</v>
      </c>
      <c r="J1306">
        <v>1</v>
      </c>
      <c r="K1306" t="s">
        <v>16</v>
      </c>
      <c r="L1306">
        <v>11014</v>
      </c>
      <c r="M1306" t="s">
        <v>232</v>
      </c>
      <c r="N1306">
        <v>1</v>
      </c>
      <c r="O1306" t="s">
        <v>119</v>
      </c>
      <c r="P1306" t="s">
        <v>1840</v>
      </c>
      <c r="Q1306">
        <v>366.91</v>
      </c>
      <c r="R1306">
        <v>21840</v>
      </c>
      <c r="S1306">
        <v>45.5</v>
      </c>
      <c r="T1306">
        <v>480</v>
      </c>
      <c r="U1306">
        <v>26</v>
      </c>
      <c r="V1306">
        <v>1376</v>
      </c>
      <c r="W1306" t="s">
        <v>121</v>
      </c>
      <c r="X1306" t="s">
        <v>1</v>
      </c>
      <c r="Y1306">
        <v>504868.16</v>
      </c>
      <c r="Z1306">
        <v>30051840</v>
      </c>
      <c r="AA1306">
        <v>660480</v>
      </c>
      <c r="AB1306">
        <v>106</v>
      </c>
      <c r="AC1306" s="34">
        <v>46061</v>
      </c>
      <c r="AD1306" s="34">
        <v>46203</v>
      </c>
      <c r="AF1306">
        <v>0</v>
      </c>
      <c r="AG1306">
        <v>455.61</v>
      </c>
      <c r="AH1306">
        <v>0</v>
      </c>
      <c r="AI1306">
        <v>626919.36</v>
      </c>
      <c r="AJ1306">
        <v>0</v>
      </c>
      <c r="AK1306">
        <v>0</v>
      </c>
      <c r="AL1306">
        <v>157359.35999999999</v>
      </c>
      <c r="AM1306">
        <v>0</v>
      </c>
      <c r="AN1306">
        <v>784278.72</v>
      </c>
      <c r="AO1306" t="s">
        <v>122</v>
      </c>
      <c r="AP1306">
        <v>15</v>
      </c>
      <c r="AQ1306">
        <v>68.34</v>
      </c>
      <c r="AR1306">
        <v>94035.839999999997</v>
      </c>
      <c r="AT1306">
        <v>13104</v>
      </c>
      <c r="AU1306">
        <v>220.15</v>
      </c>
      <c r="AV1306">
        <v>18031104</v>
      </c>
      <c r="AW1306">
        <v>302926.40000000002</v>
      </c>
    </row>
    <row r="1307" spans="1:49" hidden="1" x14ac:dyDescent="0.35">
      <c r="A1307">
        <v>5863810</v>
      </c>
      <c r="B1307">
        <v>5010005863801</v>
      </c>
      <c r="D1307">
        <v>30614483179</v>
      </c>
      <c r="E1307" t="s">
        <v>287</v>
      </c>
      <c r="F1307" t="s">
        <v>1</v>
      </c>
      <c r="G1307" t="s">
        <v>24</v>
      </c>
      <c r="H1307" t="s">
        <v>24</v>
      </c>
      <c r="I1307">
        <v>6070</v>
      </c>
      <c r="J1307">
        <v>1</v>
      </c>
      <c r="K1307" t="s">
        <v>16</v>
      </c>
      <c r="L1307">
        <v>11014</v>
      </c>
      <c r="M1307" t="s">
        <v>232</v>
      </c>
      <c r="N1307">
        <v>2</v>
      </c>
      <c r="O1307" t="s">
        <v>119</v>
      </c>
      <c r="P1307" t="s">
        <v>1841</v>
      </c>
      <c r="Q1307">
        <v>88.7</v>
      </c>
      <c r="R1307">
        <v>5280</v>
      </c>
      <c r="S1307">
        <v>11</v>
      </c>
      <c r="T1307">
        <v>480</v>
      </c>
      <c r="U1307">
        <v>26</v>
      </c>
      <c r="V1307">
        <v>1376</v>
      </c>
      <c r="W1307" t="s">
        <v>121</v>
      </c>
      <c r="X1307" t="s">
        <v>1</v>
      </c>
      <c r="Y1307">
        <v>122051.2</v>
      </c>
      <c r="Z1307">
        <v>7265280</v>
      </c>
      <c r="AA1307">
        <v>660480</v>
      </c>
      <c r="AB1307">
        <v>106</v>
      </c>
      <c r="AC1307" s="34">
        <v>46061</v>
      </c>
      <c r="AD1307" s="34">
        <v>46203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 t="s">
        <v>122</v>
      </c>
      <c r="AT1307">
        <v>3168</v>
      </c>
      <c r="AU1307">
        <v>53.22</v>
      </c>
      <c r="AV1307">
        <v>4359168</v>
      </c>
      <c r="AW1307">
        <v>73230.720000000001</v>
      </c>
    </row>
    <row r="1308" spans="1:49" hidden="1" x14ac:dyDescent="0.35">
      <c r="A1308">
        <v>5863910</v>
      </c>
      <c r="B1308">
        <v>1170005863901</v>
      </c>
      <c r="D1308">
        <v>20278652220</v>
      </c>
      <c r="E1308" t="s">
        <v>1842</v>
      </c>
      <c r="F1308" t="s">
        <v>1</v>
      </c>
      <c r="G1308" t="s">
        <v>212</v>
      </c>
      <c r="H1308" t="s">
        <v>59</v>
      </c>
      <c r="I1308">
        <v>2637</v>
      </c>
      <c r="J1308">
        <v>12</v>
      </c>
      <c r="K1308" t="s">
        <v>34</v>
      </c>
      <c r="L1308">
        <v>14218</v>
      </c>
      <c r="M1308" t="s">
        <v>213</v>
      </c>
      <c r="N1308">
        <v>1</v>
      </c>
      <c r="O1308" t="s">
        <v>125</v>
      </c>
      <c r="P1308" t="s">
        <v>1843</v>
      </c>
      <c r="Q1308">
        <v>3601716.5</v>
      </c>
      <c r="R1308">
        <v>79158600</v>
      </c>
      <c r="S1308">
        <v>107</v>
      </c>
      <c r="T1308">
        <v>739800</v>
      </c>
      <c r="U1308">
        <v>1</v>
      </c>
      <c r="V1308">
        <v>1</v>
      </c>
      <c r="W1308" t="s">
        <v>127</v>
      </c>
      <c r="X1308">
        <v>24660</v>
      </c>
      <c r="Y1308">
        <v>3601716.5</v>
      </c>
      <c r="Z1308">
        <v>79158600</v>
      </c>
      <c r="AA1308">
        <v>739800</v>
      </c>
      <c r="AB1308">
        <v>214</v>
      </c>
      <c r="AC1308" s="34">
        <v>45882</v>
      </c>
      <c r="AD1308" s="34">
        <v>46022</v>
      </c>
      <c r="AE1308" t="s">
        <v>134</v>
      </c>
      <c r="AF1308">
        <v>0</v>
      </c>
      <c r="AG1308">
        <v>3601716.5</v>
      </c>
      <c r="AH1308">
        <v>0</v>
      </c>
      <c r="AI1308">
        <v>3601716.5</v>
      </c>
      <c r="AJ1308">
        <v>0</v>
      </c>
      <c r="AK1308">
        <v>0</v>
      </c>
      <c r="AL1308">
        <v>922039.42</v>
      </c>
      <c r="AM1308">
        <v>0</v>
      </c>
      <c r="AN1308">
        <v>4523755.92</v>
      </c>
      <c r="AO1308" t="s">
        <v>122</v>
      </c>
      <c r="AP1308">
        <v>15</v>
      </c>
      <c r="AQ1308">
        <v>540257.48</v>
      </c>
      <c r="AR1308">
        <v>540257.48</v>
      </c>
      <c r="AT1308">
        <v>47495160</v>
      </c>
      <c r="AU1308">
        <v>2161029.9</v>
      </c>
      <c r="AV1308">
        <v>47495160</v>
      </c>
      <c r="AW1308">
        <v>2161029.9</v>
      </c>
    </row>
    <row r="1309" spans="1:49" hidden="1" x14ac:dyDescent="0.35">
      <c r="A1309">
        <v>5864010</v>
      </c>
      <c r="B1309">
        <v>1170005864001</v>
      </c>
      <c r="D1309">
        <v>20276899865</v>
      </c>
      <c r="E1309" t="s">
        <v>1661</v>
      </c>
      <c r="F1309" t="s">
        <v>1</v>
      </c>
      <c r="G1309" t="s">
        <v>578</v>
      </c>
      <c r="H1309" t="s">
        <v>297</v>
      </c>
      <c r="I1309">
        <v>2107</v>
      </c>
      <c r="J1309">
        <v>12</v>
      </c>
      <c r="K1309" t="s">
        <v>34</v>
      </c>
      <c r="L1309">
        <v>8519</v>
      </c>
      <c r="M1309" t="s">
        <v>1662</v>
      </c>
      <c r="N1309">
        <v>1</v>
      </c>
      <c r="O1309" t="s">
        <v>125</v>
      </c>
      <c r="P1309" t="s">
        <v>1844</v>
      </c>
      <c r="Q1309">
        <v>1047.75</v>
      </c>
      <c r="R1309">
        <v>31750</v>
      </c>
      <c r="S1309">
        <v>63.5</v>
      </c>
      <c r="T1309">
        <v>500</v>
      </c>
      <c r="U1309">
        <v>26</v>
      </c>
      <c r="V1309">
        <v>1370.5</v>
      </c>
      <c r="W1309" t="s">
        <v>121</v>
      </c>
      <c r="X1309" t="s">
        <v>1</v>
      </c>
      <c r="Y1309">
        <v>1435941.38</v>
      </c>
      <c r="Z1309">
        <v>43513375</v>
      </c>
      <c r="AA1309">
        <v>685250</v>
      </c>
      <c r="AB1309">
        <v>214</v>
      </c>
      <c r="AC1309" s="34">
        <v>45931</v>
      </c>
      <c r="AD1309" s="34">
        <v>46022</v>
      </c>
      <c r="AE1309" t="s">
        <v>161</v>
      </c>
      <c r="AF1309">
        <v>0</v>
      </c>
      <c r="AG1309">
        <v>1955.25</v>
      </c>
      <c r="AH1309">
        <v>0</v>
      </c>
      <c r="AI1309">
        <v>2679670.13</v>
      </c>
      <c r="AJ1309">
        <v>0</v>
      </c>
      <c r="AK1309">
        <v>0</v>
      </c>
      <c r="AL1309">
        <v>686003.78</v>
      </c>
      <c r="AM1309">
        <v>0</v>
      </c>
      <c r="AN1309">
        <v>3365673.9</v>
      </c>
      <c r="AO1309" t="s">
        <v>122</v>
      </c>
      <c r="AP1309">
        <v>10</v>
      </c>
      <c r="AQ1309">
        <v>195.53</v>
      </c>
      <c r="AR1309">
        <v>267973.87</v>
      </c>
      <c r="AT1309">
        <v>19050</v>
      </c>
      <c r="AU1309">
        <v>628.65</v>
      </c>
      <c r="AV1309">
        <v>26108025</v>
      </c>
      <c r="AW1309">
        <v>861564.83</v>
      </c>
    </row>
    <row r="1310" spans="1:49" hidden="1" x14ac:dyDescent="0.35">
      <c r="A1310">
        <v>5864010</v>
      </c>
      <c r="B1310">
        <v>1170005864001</v>
      </c>
      <c r="D1310">
        <v>20276899865</v>
      </c>
      <c r="E1310" t="s">
        <v>1661</v>
      </c>
      <c r="F1310" t="s">
        <v>1</v>
      </c>
      <c r="G1310" t="s">
        <v>578</v>
      </c>
      <c r="H1310" t="s">
        <v>297</v>
      </c>
      <c r="I1310">
        <v>2107</v>
      </c>
      <c r="J1310">
        <v>12</v>
      </c>
      <c r="K1310" t="s">
        <v>34</v>
      </c>
      <c r="L1310">
        <v>8519</v>
      </c>
      <c r="M1310" t="s">
        <v>1662</v>
      </c>
      <c r="N1310">
        <v>2</v>
      </c>
      <c r="O1310" t="s">
        <v>125</v>
      </c>
      <c r="P1310" t="s">
        <v>1845</v>
      </c>
      <c r="Q1310">
        <v>412.5</v>
      </c>
      <c r="R1310">
        <v>12500</v>
      </c>
      <c r="S1310">
        <v>25</v>
      </c>
      <c r="T1310">
        <v>500</v>
      </c>
      <c r="U1310">
        <v>26</v>
      </c>
      <c r="V1310">
        <v>1370.5</v>
      </c>
      <c r="W1310" t="s">
        <v>121</v>
      </c>
      <c r="X1310" t="s">
        <v>1</v>
      </c>
      <c r="Y1310">
        <v>565331.25</v>
      </c>
      <c r="Z1310">
        <v>17131250</v>
      </c>
      <c r="AA1310">
        <v>685250</v>
      </c>
      <c r="AB1310">
        <v>214</v>
      </c>
      <c r="AC1310" s="34">
        <v>45931</v>
      </c>
      <c r="AD1310" s="34">
        <v>46022</v>
      </c>
      <c r="AE1310" t="s">
        <v>161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 t="s">
        <v>122</v>
      </c>
      <c r="AT1310">
        <v>7500</v>
      </c>
      <c r="AU1310">
        <v>247.5</v>
      </c>
      <c r="AV1310">
        <v>10278750</v>
      </c>
      <c r="AW1310">
        <v>339198.75</v>
      </c>
    </row>
    <row r="1311" spans="1:49" hidden="1" x14ac:dyDescent="0.35">
      <c r="A1311">
        <v>5864010</v>
      </c>
      <c r="B1311">
        <v>1170005864001</v>
      </c>
      <c r="D1311">
        <v>20276899865</v>
      </c>
      <c r="E1311" t="s">
        <v>1661</v>
      </c>
      <c r="F1311" t="s">
        <v>1</v>
      </c>
      <c r="G1311" t="s">
        <v>578</v>
      </c>
      <c r="H1311" t="s">
        <v>297</v>
      </c>
      <c r="I1311">
        <v>2107</v>
      </c>
      <c r="J1311">
        <v>12</v>
      </c>
      <c r="K1311" t="s">
        <v>34</v>
      </c>
      <c r="L1311">
        <v>8519</v>
      </c>
      <c r="M1311" t="s">
        <v>1662</v>
      </c>
      <c r="N1311">
        <v>3</v>
      </c>
      <c r="O1311" t="s">
        <v>125</v>
      </c>
      <c r="P1311" t="s">
        <v>1846</v>
      </c>
      <c r="Q1311">
        <v>495</v>
      </c>
      <c r="R1311">
        <v>15000</v>
      </c>
      <c r="S1311">
        <v>30</v>
      </c>
      <c r="T1311">
        <v>500</v>
      </c>
      <c r="U1311">
        <v>26</v>
      </c>
      <c r="V1311">
        <v>1370.5</v>
      </c>
      <c r="W1311" t="s">
        <v>121</v>
      </c>
      <c r="X1311" t="s">
        <v>1</v>
      </c>
      <c r="Y1311">
        <v>678397.5</v>
      </c>
      <c r="Z1311">
        <v>20557500</v>
      </c>
      <c r="AA1311">
        <v>685250</v>
      </c>
      <c r="AB1311">
        <v>214</v>
      </c>
      <c r="AC1311" s="34">
        <v>45931</v>
      </c>
      <c r="AD1311" s="34">
        <v>46022</v>
      </c>
      <c r="AE1311" t="s">
        <v>161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 t="s">
        <v>122</v>
      </c>
      <c r="AT1311">
        <v>9000</v>
      </c>
      <c r="AU1311">
        <v>297</v>
      </c>
      <c r="AV1311">
        <v>12334500</v>
      </c>
      <c r="AW1311">
        <v>407038.5</v>
      </c>
    </row>
    <row r="1312" spans="1:49" hidden="1" x14ac:dyDescent="0.35">
      <c r="A1312">
        <v>5864110</v>
      </c>
      <c r="B1312">
        <v>1170005864101</v>
      </c>
      <c r="D1312">
        <v>20276899865</v>
      </c>
      <c r="E1312" t="s">
        <v>1661</v>
      </c>
      <c r="F1312" t="s">
        <v>1</v>
      </c>
      <c r="G1312" t="s">
        <v>296</v>
      </c>
      <c r="H1312" t="s">
        <v>297</v>
      </c>
      <c r="I1312">
        <v>2107</v>
      </c>
      <c r="J1312">
        <v>12</v>
      </c>
      <c r="K1312" t="s">
        <v>34</v>
      </c>
      <c r="L1312">
        <v>8519</v>
      </c>
      <c r="M1312" t="s">
        <v>1662</v>
      </c>
      <c r="N1312">
        <v>1</v>
      </c>
      <c r="O1312" t="s">
        <v>125</v>
      </c>
      <c r="P1312" t="s">
        <v>1847</v>
      </c>
      <c r="Q1312">
        <v>1993761</v>
      </c>
      <c r="R1312">
        <v>60417000</v>
      </c>
      <c r="S1312">
        <v>70</v>
      </c>
      <c r="T1312">
        <v>863100</v>
      </c>
      <c r="U1312">
        <v>1</v>
      </c>
      <c r="V1312">
        <v>1</v>
      </c>
      <c r="W1312" t="s">
        <v>127</v>
      </c>
      <c r="X1312">
        <v>24660</v>
      </c>
      <c r="Y1312">
        <v>1993761</v>
      </c>
      <c r="Z1312">
        <v>60417000</v>
      </c>
      <c r="AA1312">
        <v>863100</v>
      </c>
      <c r="AB1312">
        <v>214</v>
      </c>
      <c r="AC1312" s="34">
        <v>45931</v>
      </c>
      <c r="AD1312" s="34">
        <v>46022</v>
      </c>
      <c r="AF1312">
        <v>0</v>
      </c>
      <c r="AG1312">
        <v>1993761</v>
      </c>
      <c r="AH1312">
        <v>0</v>
      </c>
      <c r="AI1312">
        <v>1993761</v>
      </c>
      <c r="AJ1312">
        <v>0</v>
      </c>
      <c r="AK1312">
        <v>0</v>
      </c>
      <c r="AL1312">
        <v>510402.83</v>
      </c>
      <c r="AM1312">
        <v>0</v>
      </c>
      <c r="AN1312">
        <v>2504163.83</v>
      </c>
      <c r="AO1312" t="s">
        <v>122</v>
      </c>
      <c r="AP1312">
        <v>10</v>
      </c>
      <c r="AQ1312">
        <v>199376.1</v>
      </c>
      <c r="AR1312">
        <v>199376.1</v>
      </c>
      <c r="AT1312">
        <v>36250200</v>
      </c>
      <c r="AU1312">
        <v>1196256.6000000001</v>
      </c>
      <c r="AV1312">
        <v>36250200</v>
      </c>
      <c r="AW1312">
        <v>1196256.6000000001</v>
      </c>
    </row>
    <row r="1313" spans="1:49" hidden="1" x14ac:dyDescent="0.35">
      <c r="A1313">
        <v>5864210</v>
      </c>
      <c r="B1313">
        <v>5010005864201</v>
      </c>
      <c r="D1313">
        <v>30711898235</v>
      </c>
      <c r="E1313" t="s">
        <v>1605</v>
      </c>
      <c r="F1313" t="s">
        <v>1</v>
      </c>
      <c r="G1313" t="s">
        <v>680</v>
      </c>
      <c r="H1313" t="s">
        <v>55</v>
      </c>
      <c r="I1313">
        <v>6220</v>
      </c>
      <c r="J1313">
        <v>21</v>
      </c>
      <c r="K1313" t="s">
        <v>33</v>
      </c>
      <c r="L1313">
        <v>13212</v>
      </c>
      <c r="M1313" t="s">
        <v>429</v>
      </c>
      <c r="N1313">
        <v>1</v>
      </c>
      <c r="O1313" t="s">
        <v>119</v>
      </c>
      <c r="P1313" t="s">
        <v>1848</v>
      </c>
      <c r="Q1313">
        <v>637963.38</v>
      </c>
      <c r="R1313">
        <v>12170925</v>
      </c>
      <c r="S1313">
        <v>30</v>
      </c>
      <c r="T1313">
        <v>405697.5</v>
      </c>
      <c r="U1313">
        <v>1</v>
      </c>
      <c r="V1313">
        <v>1</v>
      </c>
      <c r="W1313" t="s">
        <v>127</v>
      </c>
      <c r="X1313">
        <v>54093</v>
      </c>
      <c r="Y1313">
        <v>637963.38</v>
      </c>
      <c r="Z1313" s="60">
        <v>12170925</v>
      </c>
      <c r="AA1313">
        <v>405697.5</v>
      </c>
      <c r="AB1313">
        <v>210</v>
      </c>
      <c r="AC1313" s="34">
        <v>45944</v>
      </c>
      <c r="AD1313" s="34">
        <v>46112</v>
      </c>
      <c r="AE1313" t="s">
        <v>355</v>
      </c>
      <c r="AF1313">
        <v>0</v>
      </c>
      <c r="AG1313">
        <v>15757695.390000001</v>
      </c>
      <c r="AH1313">
        <v>0</v>
      </c>
      <c r="AI1313">
        <v>15757695.390000001</v>
      </c>
      <c r="AJ1313">
        <v>0</v>
      </c>
      <c r="AK1313">
        <v>0</v>
      </c>
      <c r="AL1313">
        <v>3955181.55</v>
      </c>
      <c r="AM1313">
        <v>0</v>
      </c>
      <c r="AN1313">
        <v>19712876.940000001</v>
      </c>
      <c r="AO1313" t="s">
        <v>122</v>
      </c>
      <c r="AP1313">
        <v>15</v>
      </c>
      <c r="AQ1313">
        <v>2363654.31</v>
      </c>
      <c r="AR1313">
        <v>2363654.31</v>
      </c>
      <c r="AT1313">
        <v>7302555</v>
      </c>
      <c r="AU1313">
        <v>382778.03</v>
      </c>
      <c r="AV1313">
        <v>7302555</v>
      </c>
      <c r="AW1313">
        <v>382778.03</v>
      </c>
    </row>
    <row r="1314" spans="1:49" hidden="1" x14ac:dyDescent="0.35">
      <c r="A1314">
        <v>5864210</v>
      </c>
      <c r="B1314">
        <v>5010005864201</v>
      </c>
      <c r="D1314">
        <v>30711898235</v>
      </c>
      <c r="E1314" t="s">
        <v>1605</v>
      </c>
      <c r="F1314" t="s">
        <v>1</v>
      </c>
      <c r="G1314" t="s">
        <v>680</v>
      </c>
      <c r="H1314" t="s">
        <v>55</v>
      </c>
      <c r="I1314">
        <v>6220</v>
      </c>
      <c r="J1314">
        <v>21</v>
      </c>
      <c r="K1314" t="s">
        <v>33</v>
      </c>
      <c r="L1314">
        <v>13212</v>
      </c>
      <c r="M1314" t="s">
        <v>429</v>
      </c>
      <c r="N1314">
        <v>2</v>
      </c>
      <c r="O1314" t="s">
        <v>119</v>
      </c>
      <c r="P1314" t="s">
        <v>1849</v>
      </c>
      <c r="Q1314">
        <v>2785773.42</v>
      </c>
      <c r="R1314">
        <v>53146372.5</v>
      </c>
      <c r="S1314">
        <v>131</v>
      </c>
      <c r="T1314">
        <v>405697.5</v>
      </c>
      <c r="U1314">
        <v>1</v>
      </c>
      <c r="V1314">
        <v>1</v>
      </c>
      <c r="W1314" t="s">
        <v>127</v>
      </c>
      <c r="X1314">
        <v>54093</v>
      </c>
      <c r="Y1314">
        <v>2785773.42</v>
      </c>
      <c r="Z1314" s="60">
        <v>53146372.5</v>
      </c>
      <c r="AA1314">
        <v>405697.5</v>
      </c>
      <c r="AB1314">
        <v>210</v>
      </c>
      <c r="AC1314" s="34">
        <v>45944</v>
      </c>
      <c r="AD1314" s="34">
        <v>46112</v>
      </c>
      <c r="AE1314" t="s">
        <v>355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 t="s">
        <v>122</v>
      </c>
      <c r="AT1314">
        <v>31887823.5</v>
      </c>
      <c r="AU1314">
        <v>1671464.05</v>
      </c>
      <c r="AV1314">
        <v>31887823.5</v>
      </c>
      <c r="AW1314">
        <v>1671464.05</v>
      </c>
    </row>
    <row r="1315" spans="1:49" hidden="1" x14ac:dyDescent="0.35">
      <c r="A1315">
        <v>5864210</v>
      </c>
      <c r="B1315">
        <v>5010005864201</v>
      </c>
      <c r="D1315">
        <v>30711898235</v>
      </c>
      <c r="E1315" t="s">
        <v>1605</v>
      </c>
      <c r="F1315" t="s">
        <v>1</v>
      </c>
      <c r="G1315" t="s">
        <v>680</v>
      </c>
      <c r="H1315" t="s">
        <v>55</v>
      </c>
      <c r="I1315">
        <v>6220</v>
      </c>
      <c r="J1315">
        <v>21</v>
      </c>
      <c r="K1315" t="s">
        <v>33</v>
      </c>
      <c r="L1315">
        <v>13212</v>
      </c>
      <c r="M1315" t="s">
        <v>429</v>
      </c>
      <c r="N1315">
        <v>3</v>
      </c>
      <c r="O1315" t="s">
        <v>119</v>
      </c>
      <c r="P1315" t="s">
        <v>1850</v>
      </c>
      <c r="Q1315">
        <v>1275926.75</v>
      </c>
      <c r="R1315">
        <v>24341850</v>
      </c>
      <c r="S1315">
        <v>60</v>
      </c>
      <c r="T1315">
        <v>405697.5</v>
      </c>
      <c r="U1315">
        <v>1</v>
      </c>
      <c r="V1315">
        <v>1</v>
      </c>
      <c r="W1315" t="s">
        <v>127</v>
      </c>
      <c r="X1315">
        <v>54093</v>
      </c>
      <c r="Y1315">
        <v>1275926.75</v>
      </c>
      <c r="Z1315" s="60">
        <v>24341850</v>
      </c>
      <c r="AA1315">
        <v>405697.5</v>
      </c>
      <c r="AB1315">
        <v>210</v>
      </c>
      <c r="AC1315" s="34">
        <v>45944</v>
      </c>
      <c r="AD1315" s="34">
        <v>46112</v>
      </c>
      <c r="AE1315" t="s">
        <v>355</v>
      </c>
      <c r="AF1315">
        <v>1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 t="s">
        <v>122</v>
      </c>
      <c r="AT1315">
        <v>14605110</v>
      </c>
      <c r="AU1315">
        <v>765556.05</v>
      </c>
      <c r="AV1315">
        <v>14605110</v>
      </c>
      <c r="AW1315">
        <v>765556.05</v>
      </c>
    </row>
    <row r="1316" spans="1:49" hidden="1" x14ac:dyDescent="0.35">
      <c r="A1316">
        <v>5864210</v>
      </c>
      <c r="B1316">
        <v>5010005864201</v>
      </c>
      <c r="D1316">
        <v>30711898235</v>
      </c>
      <c r="E1316" t="s">
        <v>1605</v>
      </c>
      <c r="F1316" t="s">
        <v>1</v>
      </c>
      <c r="G1316" t="s">
        <v>680</v>
      </c>
      <c r="H1316" t="s">
        <v>55</v>
      </c>
      <c r="I1316">
        <v>6220</v>
      </c>
      <c r="J1316">
        <v>21</v>
      </c>
      <c r="K1316" t="s">
        <v>33</v>
      </c>
      <c r="L1316">
        <v>13212</v>
      </c>
      <c r="M1316" t="s">
        <v>429</v>
      </c>
      <c r="N1316">
        <v>4</v>
      </c>
      <c r="O1316" t="s">
        <v>119</v>
      </c>
      <c r="P1316" t="s">
        <v>1851</v>
      </c>
      <c r="Q1316">
        <v>2339199.04</v>
      </c>
      <c r="R1316">
        <v>44626725</v>
      </c>
      <c r="S1316">
        <v>55</v>
      </c>
      <c r="T1316">
        <v>811395</v>
      </c>
      <c r="U1316">
        <v>1</v>
      </c>
      <c r="V1316">
        <v>1</v>
      </c>
      <c r="W1316" t="s">
        <v>127</v>
      </c>
      <c r="X1316">
        <v>54093</v>
      </c>
      <c r="Y1316">
        <v>2339199.04</v>
      </c>
      <c r="Z1316" s="60">
        <v>44626725</v>
      </c>
      <c r="AA1316">
        <v>811395</v>
      </c>
      <c r="AB1316">
        <v>210</v>
      </c>
      <c r="AC1316" s="34">
        <v>45944</v>
      </c>
      <c r="AD1316" s="34">
        <v>46112</v>
      </c>
      <c r="AE1316" t="s">
        <v>355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 t="s">
        <v>122</v>
      </c>
      <c r="AT1316">
        <v>26776035</v>
      </c>
      <c r="AU1316">
        <v>1403519.42</v>
      </c>
      <c r="AV1316">
        <v>26776035</v>
      </c>
      <c r="AW1316">
        <v>1403519.42</v>
      </c>
    </row>
    <row r="1317" spans="1:49" hidden="1" x14ac:dyDescent="0.35">
      <c r="A1317">
        <v>5864210</v>
      </c>
      <c r="B1317">
        <v>5010005864201</v>
      </c>
      <c r="D1317">
        <v>30711898235</v>
      </c>
      <c r="E1317" t="s">
        <v>1605</v>
      </c>
      <c r="F1317" t="s">
        <v>1</v>
      </c>
      <c r="G1317" t="s">
        <v>680</v>
      </c>
      <c r="H1317" t="s">
        <v>55</v>
      </c>
      <c r="I1317">
        <v>6220</v>
      </c>
      <c r="J1317">
        <v>21</v>
      </c>
      <c r="K1317" t="s">
        <v>33</v>
      </c>
      <c r="L1317">
        <v>13212</v>
      </c>
      <c r="M1317" t="s">
        <v>429</v>
      </c>
      <c r="N1317">
        <v>5</v>
      </c>
      <c r="O1317" t="s">
        <v>119</v>
      </c>
      <c r="P1317" t="s">
        <v>1852</v>
      </c>
      <c r="Q1317">
        <v>1275926.75</v>
      </c>
      <c r="R1317">
        <v>24341850</v>
      </c>
      <c r="S1317">
        <v>30</v>
      </c>
      <c r="T1317">
        <v>811395</v>
      </c>
      <c r="U1317">
        <v>1</v>
      </c>
      <c r="V1317">
        <v>1</v>
      </c>
      <c r="W1317" t="s">
        <v>127</v>
      </c>
      <c r="X1317">
        <v>54093</v>
      </c>
      <c r="Y1317">
        <v>1275926.75</v>
      </c>
      <c r="Z1317" s="60">
        <v>24341850</v>
      </c>
      <c r="AA1317">
        <v>811395</v>
      </c>
      <c r="AB1317">
        <v>210</v>
      </c>
      <c r="AC1317" s="34">
        <v>45944</v>
      </c>
      <c r="AD1317" s="34">
        <v>46112</v>
      </c>
      <c r="AE1317" t="s">
        <v>355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 t="s">
        <v>122</v>
      </c>
      <c r="AT1317">
        <v>14605110</v>
      </c>
      <c r="AU1317">
        <v>765556.05</v>
      </c>
      <c r="AV1317">
        <v>14605110</v>
      </c>
      <c r="AW1317">
        <v>765556.05</v>
      </c>
    </row>
    <row r="1318" spans="1:49" hidden="1" x14ac:dyDescent="0.35">
      <c r="A1318">
        <v>5864210</v>
      </c>
      <c r="B1318">
        <v>5010005864201</v>
      </c>
      <c r="D1318">
        <v>30711898235</v>
      </c>
      <c r="E1318" t="s">
        <v>1605</v>
      </c>
      <c r="F1318" t="s">
        <v>1</v>
      </c>
      <c r="G1318" t="s">
        <v>680</v>
      </c>
      <c r="H1318" t="s">
        <v>55</v>
      </c>
      <c r="I1318">
        <v>6220</v>
      </c>
      <c r="J1318">
        <v>21</v>
      </c>
      <c r="K1318" t="s">
        <v>33</v>
      </c>
      <c r="L1318">
        <v>13212</v>
      </c>
      <c r="M1318" t="s">
        <v>429</v>
      </c>
      <c r="N1318">
        <v>6</v>
      </c>
      <c r="O1318" t="s">
        <v>119</v>
      </c>
      <c r="P1318" t="s">
        <v>1853</v>
      </c>
      <c r="Q1318">
        <v>2977162.42</v>
      </c>
      <c r="R1318">
        <v>56797650</v>
      </c>
      <c r="S1318">
        <v>70</v>
      </c>
      <c r="T1318">
        <v>811395</v>
      </c>
      <c r="U1318">
        <v>1</v>
      </c>
      <c r="V1318">
        <v>1</v>
      </c>
      <c r="W1318" t="s">
        <v>127</v>
      </c>
      <c r="X1318">
        <v>54093</v>
      </c>
      <c r="Y1318">
        <v>2977162.42</v>
      </c>
      <c r="Z1318" s="60">
        <v>56797650</v>
      </c>
      <c r="AA1318">
        <v>811395</v>
      </c>
      <c r="AB1318">
        <v>210</v>
      </c>
      <c r="AC1318" s="34">
        <v>45944</v>
      </c>
      <c r="AD1318" s="34">
        <v>46112</v>
      </c>
      <c r="AE1318" t="s">
        <v>355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 t="s">
        <v>122</v>
      </c>
      <c r="AT1318">
        <v>34078590</v>
      </c>
      <c r="AU1318">
        <v>1786297.45</v>
      </c>
      <c r="AV1318">
        <v>34078590</v>
      </c>
      <c r="AW1318">
        <v>1786297.45</v>
      </c>
    </row>
    <row r="1319" spans="1:49" hidden="1" x14ac:dyDescent="0.35">
      <c r="A1319">
        <v>5864210</v>
      </c>
      <c r="B1319">
        <v>5010005864201</v>
      </c>
      <c r="D1319">
        <v>30711898235</v>
      </c>
      <c r="E1319" t="s">
        <v>1605</v>
      </c>
      <c r="F1319" t="s">
        <v>1</v>
      </c>
      <c r="G1319" t="s">
        <v>680</v>
      </c>
      <c r="H1319" t="s">
        <v>55</v>
      </c>
      <c r="I1319">
        <v>6220</v>
      </c>
      <c r="J1319">
        <v>21</v>
      </c>
      <c r="K1319" t="s">
        <v>33</v>
      </c>
      <c r="L1319">
        <v>13212</v>
      </c>
      <c r="M1319" t="s">
        <v>429</v>
      </c>
      <c r="N1319">
        <v>7</v>
      </c>
      <c r="O1319" t="s">
        <v>119</v>
      </c>
      <c r="P1319" t="s">
        <v>1854</v>
      </c>
      <c r="Q1319">
        <v>2339199.04</v>
      </c>
      <c r="R1319">
        <v>44626725</v>
      </c>
      <c r="S1319">
        <v>55</v>
      </c>
      <c r="T1319">
        <v>811395</v>
      </c>
      <c r="U1319">
        <v>1</v>
      </c>
      <c r="V1319">
        <v>1</v>
      </c>
      <c r="W1319" t="s">
        <v>127</v>
      </c>
      <c r="X1319">
        <v>54093</v>
      </c>
      <c r="Y1319">
        <v>2339199.04</v>
      </c>
      <c r="Z1319" s="60">
        <v>44626725</v>
      </c>
      <c r="AA1319">
        <v>811395</v>
      </c>
      <c r="AB1319">
        <v>210</v>
      </c>
      <c r="AC1319" s="34">
        <v>45944</v>
      </c>
      <c r="AD1319" s="34">
        <v>46112</v>
      </c>
      <c r="AE1319" t="s">
        <v>355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 t="s">
        <v>122</v>
      </c>
      <c r="AT1319">
        <v>26776035</v>
      </c>
      <c r="AU1319">
        <v>1403519.42</v>
      </c>
      <c r="AV1319">
        <v>26776035</v>
      </c>
      <c r="AW1319">
        <v>1403519.42</v>
      </c>
    </row>
    <row r="1320" spans="1:49" hidden="1" x14ac:dyDescent="0.35">
      <c r="A1320">
        <v>5864210</v>
      </c>
      <c r="B1320">
        <v>5010005864201</v>
      </c>
      <c r="D1320">
        <v>30711898235</v>
      </c>
      <c r="E1320" t="s">
        <v>1605</v>
      </c>
      <c r="F1320" t="s">
        <v>1</v>
      </c>
      <c r="G1320" t="s">
        <v>680</v>
      </c>
      <c r="H1320" t="s">
        <v>55</v>
      </c>
      <c r="I1320">
        <v>6220</v>
      </c>
      <c r="J1320">
        <v>21</v>
      </c>
      <c r="K1320" t="s">
        <v>33</v>
      </c>
      <c r="L1320">
        <v>13212</v>
      </c>
      <c r="M1320" t="s">
        <v>429</v>
      </c>
      <c r="N1320">
        <v>8</v>
      </c>
      <c r="O1320" t="s">
        <v>119</v>
      </c>
      <c r="P1320" t="s">
        <v>1855</v>
      </c>
      <c r="Q1320">
        <v>2126544.59</v>
      </c>
      <c r="R1320">
        <v>40569750</v>
      </c>
      <c r="S1320">
        <v>50</v>
      </c>
      <c r="T1320">
        <v>811395</v>
      </c>
      <c r="U1320">
        <v>1</v>
      </c>
      <c r="V1320">
        <v>1</v>
      </c>
      <c r="W1320" t="s">
        <v>127</v>
      </c>
      <c r="X1320">
        <v>54093</v>
      </c>
      <c r="Y1320">
        <v>2126544.59</v>
      </c>
      <c r="Z1320" s="60">
        <v>40569750</v>
      </c>
      <c r="AA1320">
        <v>811395</v>
      </c>
      <c r="AB1320">
        <v>210</v>
      </c>
      <c r="AC1320" s="34">
        <v>45944</v>
      </c>
      <c r="AD1320" s="34">
        <v>46112</v>
      </c>
      <c r="AE1320" t="s">
        <v>355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 t="s">
        <v>122</v>
      </c>
      <c r="AT1320">
        <v>24341850</v>
      </c>
      <c r="AU1320">
        <v>1275926.75</v>
      </c>
      <c r="AV1320">
        <v>24341850</v>
      </c>
      <c r="AW1320">
        <v>1275926.75</v>
      </c>
    </row>
    <row r="1321" spans="1:49" hidden="1" x14ac:dyDescent="0.35">
      <c r="A1321">
        <v>5864310</v>
      </c>
      <c r="B1321">
        <v>5010005864301</v>
      </c>
      <c r="D1321">
        <v>30711814961</v>
      </c>
      <c r="E1321" t="s">
        <v>1611</v>
      </c>
      <c r="F1321" t="s">
        <v>1</v>
      </c>
      <c r="G1321" t="s">
        <v>680</v>
      </c>
      <c r="H1321" t="s">
        <v>55</v>
      </c>
      <c r="I1321">
        <v>6220</v>
      </c>
      <c r="J1321">
        <v>21</v>
      </c>
      <c r="K1321" t="s">
        <v>33</v>
      </c>
      <c r="L1321">
        <v>13212</v>
      </c>
      <c r="M1321" t="s">
        <v>429</v>
      </c>
      <c r="N1321">
        <v>1</v>
      </c>
      <c r="O1321" t="s">
        <v>119</v>
      </c>
      <c r="P1321" t="s">
        <v>1856</v>
      </c>
      <c r="Q1321">
        <v>637963.38</v>
      </c>
      <c r="R1321">
        <v>12170925</v>
      </c>
      <c r="S1321">
        <v>30</v>
      </c>
      <c r="T1321">
        <v>405697.5</v>
      </c>
      <c r="U1321">
        <v>1</v>
      </c>
      <c r="V1321">
        <v>1</v>
      </c>
      <c r="W1321" t="s">
        <v>127</v>
      </c>
      <c r="X1321">
        <v>54093</v>
      </c>
      <c r="Y1321">
        <v>637963.38</v>
      </c>
      <c r="Z1321" s="60">
        <v>12170925</v>
      </c>
      <c r="AA1321">
        <v>405697.5</v>
      </c>
      <c r="AB1321">
        <v>210</v>
      </c>
      <c r="AC1321" s="34">
        <v>45944</v>
      </c>
      <c r="AD1321" s="34">
        <v>46112</v>
      </c>
      <c r="AE1321" t="s">
        <v>355</v>
      </c>
      <c r="AF1321">
        <v>0</v>
      </c>
      <c r="AG1321">
        <v>19443706</v>
      </c>
      <c r="AH1321">
        <v>0</v>
      </c>
      <c r="AI1321">
        <v>19443706</v>
      </c>
      <c r="AJ1321">
        <v>0</v>
      </c>
      <c r="AK1321">
        <v>0</v>
      </c>
      <c r="AL1321">
        <v>4880370.2</v>
      </c>
      <c r="AM1321">
        <v>0</v>
      </c>
      <c r="AN1321">
        <v>24324076.199999999</v>
      </c>
      <c r="AO1321" t="s">
        <v>122</v>
      </c>
      <c r="AP1321">
        <v>15</v>
      </c>
      <c r="AQ1321">
        <v>2916555.9</v>
      </c>
      <c r="AR1321">
        <v>2916555.9</v>
      </c>
      <c r="AT1321">
        <v>7302555</v>
      </c>
      <c r="AU1321">
        <v>382778.03</v>
      </c>
      <c r="AV1321">
        <v>7302555</v>
      </c>
      <c r="AW1321">
        <v>382778.03</v>
      </c>
    </row>
    <row r="1322" spans="1:49" hidden="1" x14ac:dyDescent="0.35">
      <c r="A1322">
        <v>5864310</v>
      </c>
      <c r="B1322">
        <v>5010005864301</v>
      </c>
      <c r="D1322">
        <v>30711814961</v>
      </c>
      <c r="E1322" t="s">
        <v>1611</v>
      </c>
      <c r="F1322" t="s">
        <v>1</v>
      </c>
      <c r="G1322" t="s">
        <v>680</v>
      </c>
      <c r="H1322" t="s">
        <v>55</v>
      </c>
      <c r="I1322">
        <v>6220</v>
      </c>
      <c r="J1322">
        <v>21</v>
      </c>
      <c r="K1322" t="s">
        <v>33</v>
      </c>
      <c r="L1322">
        <v>13212</v>
      </c>
      <c r="M1322" t="s">
        <v>429</v>
      </c>
      <c r="N1322">
        <v>2</v>
      </c>
      <c r="O1322" t="s">
        <v>119</v>
      </c>
      <c r="P1322" t="s">
        <v>1849</v>
      </c>
      <c r="Q1322">
        <v>2785773.42</v>
      </c>
      <c r="R1322">
        <v>53146372.5</v>
      </c>
      <c r="S1322">
        <v>131</v>
      </c>
      <c r="T1322">
        <v>405697.5</v>
      </c>
      <c r="U1322">
        <v>1</v>
      </c>
      <c r="V1322">
        <v>1</v>
      </c>
      <c r="W1322" t="s">
        <v>127</v>
      </c>
      <c r="X1322">
        <v>54093</v>
      </c>
      <c r="Y1322">
        <v>2785773.42</v>
      </c>
      <c r="Z1322" s="60">
        <v>53146372.5</v>
      </c>
      <c r="AA1322">
        <v>405697.5</v>
      </c>
      <c r="AB1322">
        <v>210</v>
      </c>
      <c r="AC1322" s="34">
        <v>45944</v>
      </c>
      <c r="AD1322" s="34">
        <v>46112</v>
      </c>
      <c r="AE1322" t="s">
        <v>355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 t="s">
        <v>122</v>
      </c>
      <c r="AT1322">
        <v>31887823.5</v>
      </c>
      <c r="AU1322">
        <v>1671464.05</v>
      </c>
      <c r="AV1322">
        <v>31887823.5</v>
      </c>
      <c r="AW1322">
        <v>1671464.05</v>
      </c>
    </row>
    <row r="1323" spans="1:49" hidden="1" x14ac:dyDescent="0.35">
      <c r="A1323">
        <v>5864310</v>
      </c>
      <c r="B1323">
        <v>5010005864301</v>
      </c>
      <c r="D1323">
        <v>30711814961</v>
      </c>
      <c r="E1323" t="s">
        <v>1611</v>
      </c>
      <c r="F1323" t="s">
        <v>1</v>
      </c>
      <c r="G1323" t="s">
        <v>680</v>
      </c>
      <c r="H1323" t="s">
        <v>55</v>
      </c>
      <c r="I1323">
        <v>6220</v>
      </c>
      <c r="J1323">
        <v>21</v>
      </c>
      <c r="K1323" t="s">
        <v>33</v>
      </c>
      <c r="L1323">
        <v>13212</v>
      </c>
      <c r="M1323" t="s">
        <v>429</v>
      </c>
      <c r="N1323">
        <v>3</v>
      </c>
      <c r="O1323" t="s">
        <v>119</v>
      </c>
      <c r="P1323" t="s">
        <v>1857</v>
      </c>
      <c r="Q1323">
        <v>1275926.75</v>
      </c>
      <c r="R1323">
        <v>24341850</v>
      </c>
      <c r="S1323">
        <v>60</v>
      </c>
      <c r="T1323">
        <v>405697.5</v>
      </c>
      <c r="U1323">
        <v>1</v>
      </c>
      <c r="V1323">
        <v>1</v>
      </c>
      <c r="W1323" t="s">
        <v>127</v>
      </c>
      <c r="X1323">
        <v>54093</v>
      </c>
      <c r="Y1323">
        <v>1275926.75</v>
      </c>
      <c r="Z1323" s="60">
        <v>24341850</v>
      </c>
      <c r="AA1323">
        <v>405697.5</v>
      </c>
      <c r="AB1323">
        <v>210</v>
      </c>
      <c r="AC1323" s="34">
        <v>45944</v>
      </c>
      <c r="AD1323" s="34">
        <v>46112</v>
      </c>
      <c r="AE1323" t="s">
        <v>355</v>
      </c>
      <c r="AF1323">
        <v>1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 t="s">
        <v>122</v>
      </c>
      <c r="AT1323">
        <v>14605110</v>
      </c>
      <c r="AU1323">
        <v>765556.05</v>
      </c>
      <c r="AV1323">
        <v>14605110</v>
      </c>
      <c r="AW1323">
        <v>765556.05</v>
      </c>
    </row>
    <row r="1324" spans="1:49" hidden="1" x14ac:dyDescent="0.35">
      <c r="A1324">
        <v>5864310</v>
      </c>
      <c r="B1324">
        <v>5010005864301</v>
      </c>
      <c r="D1324">
        <v>30711814961</v>
      </c>
      <c r="E1324" t="s">
        <v>1611</v>
      </c>
      <c r="F1324" t="s">
        <v>1</v>
      </c>
      <c r="G1324" t="s">
        <v>680</v>
      </c>
      <c r="H1324" t="s">
        <v>55</v>
      </c>
      <c r="I1324">
        <v>6220</v>
      </c>
      <c r="J1324">
        <v>21</v>
      </c>
      <c r="K1324" t="s">
        <v>33</v>
      </c>
      <c r="L1324">
        <v>13212</v>
      </c>
      <c r="M1324" t="s">
        <v>429</v>
      </c>
      <c r="N1324">
        <v>4</v>
      </c>
      <c r="O1324" t="s">
        <v>119</v>
      </c>
      <c r="P1324" t="s">
        <v>1858</v>
      </c>
      <c r="Q1324">
        <v>3317409.55</v>
      </c>
      <c r="R1324">
        <v>63288810</v>
      </c>
      <c r="S1324">
        <v>78</v>
      </c>
      <c r="T1324">
        <v>811395</v>
      </c>
      <c r="U1324">
        <v>1</v>
      </c>
      <c r="V1324">
        <v>1</v>
      </c>
      <c r="W1324" t="s">
        <v>127</v>
      </c>
      <c r="X1324">
        <v>54093</v>
      </c>
      <c r="Y1324">
        <v>3317409.55</v>
      </c>
      <c r="Z1324" s="60">
        <v>63288810</v>
      </c>
      <c r="AA1324">
        <v>811395</v>
      </c>
      <c r="AB1324">
        <v>210</v>
      </c>
      <c r="AC1324" s="34">
        <v>45944</v>
      </c>
      <c r="AD1324" s="34">
        <v>46112</v>
      </c>
      <c r="AE1324" t="s">
        <v>355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 t="s">
        <v>122</v>
      </c>
      <c r="AT1324">
        <v>37973286</v>
      </c>
      <c r="AU1324">
        <v>1990445.73</v>
      </c>
      <c r="AV1324">
        <v>37973286</v>
      </c>
      <c r="AW1324">
        <v>1990445.73</v>
      </c>
    </row>
    <row r="1325" spans="1:49" hidden="1" x14ac:dyDescent="0.35">
      <c r="A1325">
        <v>5864310</v>
      </c>
      <c r="B1325">
        <v>5010005864301</v>
      </c>
      <c r="D1325">
        <v>30711814961</v>
      </c>
      <c r="E1325" t="s">
        <v>1611</v>
      </c>
      <c r="F1325" t="s">
        <v>1</v>
      </c>
      <c r="G1325" t="s">
        <v>680</v>
      </c>
      <c r="H1325" t="s">
        <v>55</v>
      </c>
      <c r="I1325">
        <v>6220</v>
      </c>
      <c r="J1325">
        <v>21</v>
      </c>
      <c r="K1325" t="s">
        <v>33</v>
      </c>
      <c r="L1325">
        <v>13212</v>
      </c>
      <c r="M1325" t="s">
        <v>429</v>
      </c>
      <c r="N1325">
        <v>5</v>
      </c>
      <c r="O1325" t="s">
        <v>119</v>
      </c>
      <c r="P1325" t="s">
        <v>1859</v>
      </c>
      <c r="Q1325">
        <v>3572594.9</v>
      </c>
      <c r="R1325">
        <v>68157180</v>
      </c>
      <c r="S1325">
        <v>84</v>
      </c>
      <c r="T1325">
        <v>811395</v>
      </c>
      <c r="U1325">
        <v>1</v>
      </c>
      <c r="V1325">
        <v>1</v>
      </c>
      <c r="W1325" t="s">
        <v>127</v>
      </c>
      <c r="X1325">
        <v>54093</v>
      </c>
      <c r="Y1325">
        <v>3572594.9</v>
      </c>
      <c r="Z1325" s="60">
        <v>68157180</v>
      </c>
      <c r="AA1325">
        <v>811395</v>
      </c>
      <c r="AB1325">
        <v>210</v>
      </c>
      <c r="AC1325" s="34">
        <v>45944</v>
      </c>
      <c r="AD1325" s="34">
        <v>46112</v>
      </c>
      <c r="AE1325" t="s">
        <v>355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 t="s">
        <v>122</v>
      </c>
      <c r="AT1325">
        <v>40894308</v>
      </c>
      <c r="AU1325">
        <v>2143556.94</v>
      </c>
      <c r="AV1325">
        <v>40894308</v>
      </c>
      <c r="AW1325">
        <v>2143556.94</v>
      </c>
    </row>
    <row r="1326" spans="1:49" hidden="1" x14ac:dyDescent="0.35">
      <c r="A1326">
        <v>5864310</v>
      </c>
      <c r="B1326">
        <v>5010005864301</v>
      </c>
      <c r="D1326">
        <v>30711814961</v>
      </c>
      <c r="E1326" t="s">
        <v>1611</v>
      </c>
      <c r="F1326" t="s">
        <v>1</v>
      </c>
      <c r="G1326" t="s">
        <v>428</v>
      </c>
      <c r="H1326" t="s">
        <v>55</v>
      </c>
      <c r="I1326">
        <v>6221</v>
      </c>
      <c r="J1326">
        <v>21</v>
      </c>
      <c r="K1326" t="s">
        <v>33</v>
      </c>
      <c r="L1326">
        <v>13212</v>
      </c>
      <c r="M1326" t="s">
        <v>429</v>
      </c>
      <c r="N1326">
        <v>6</v>
      </c>
      <c r="O1326" t="s">
        <v>119</v>
      </c>
      <c r="P1326" t="s">
        <v>1860</v>
      </c>
      <c r="Q1326">
        <v>7854038</v>
      </c>
      <c r="R1326">
        <v>149837610</v>
      </c>
      <c r="S1326">
        <v>277</v>
      </c>
      <c r="T1326">
        <v>540930</v>
      </c>
      <c r="U1326">
        <v>1</v>
      </c>
      <c r="V1326">
        <v>1</v>
      </c>
      <c r="W1326" t="s">
        <v>127</v>
      </c>
      <c r="X1326">
        <v>54093</v>
      </c>
      <c r="Y1326">
        <v>7854038</v>
      </c>
      <c r="Z1326" s="60">
        <v>149837610</v>
      </c>
      <c r="AA1326">
        <v>540930</v>
      </c>
      <c r="AB1326">
        <v>210</v>
      </c>
      <c r="AC1326" s="34">
        <v>45944</v>
      </c>
      <c r="AD1326" s="34">
        <v>46112</v>
      </c>
      <c r="AE1326" t="s">
        <v>355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 t="s">
        <v>122</v>
      </c>
      <c r="AT1326">
        <v>89902566</v>
      </c>
      <c r="AU1326">
        <v>4712422.8</v>
      </c>
      <c r="AV1326">
        <v>89902566</v>
      </c>
      <c r="AW1326">
        <v>4712422.8</v>
      </c>
    </row>
    <row r="1327" spans="1:49" hidden="1" x14ac:dyDescent="0.35">
      <c r="A1327">
        <v>5864410</v>
      </c>
      <c r="B1327">
        <v>5010005864401</v>
      </c>
      <c r="D1327">
        <v>20286933697</v>
      </c>
      <c r="E1327" t="s">
        <v>427</v>
      </c>
      <c r="F1327" t="s">
        <v>1</v>
      </c>
      <c r="G1327" t="s">
        <v>428</v>
      </c>
      <c r="H1327" t="s">
        <v>55</v>
      </c>
      <c r="I1327">
        <v>6221</v>
      </c>
      <c r="J1327">
        <v>21</v>
      </c>
      <c r="K1327" t="s">
        <v>33</v>
      </c>
      <c r="L1327">
        <v>13212</v>
      </c>
      <c r="M1327" t="s">
        <v>429</v>
      </c>
      <c r="N1327">
        <v>1</v>
      </c>
      <c r="O1327" t="s">
        <v>119</v>
      </c>
      <c r="P1327" t="s">
        <v>1861</v>
      </c>
      <c r="Q1327">
        <v>1667785.51</v>
      </c>
      <c r="R1327">
        <v>47502400</v>
      </c>
      <c r="S1327">
        <v>88</v>
      </c>
      <c r="T1327">
        <v>539800</v>
      </c>
      <c r="U1327">
        <v>1</v>
      </c>
      <c r="V1327">
        <v>1</v>
      </c>
      <c r="W1327" t="s">
        <v>127</v>
      </c>
      <c r="X1327">
        <v>26990</v>
      </c>
      <c r="Y1327">
        <v>1667785.51</v>
      </c>
      <c r="Z1327">
        <v>47502400</v>
      </c>
      <c r="AA1327">
        <v>539800</v>
      </c>
      <c r="AB1327">
        <v>210</v>
      </c>
      <c r="AC1327" s="34">
        <v>45944</v>
      </c>
      <c r="AD1327" s="34">
        <v>46173</v>
      </c>
      <c r="AF1327">
        <v>0</v>
      </c>
      <c r="AG1327">
        <v>2463774.0499999998</v>
      </c>
      <c r="AH1327">
        <v>0</v>
      </c>
      <c r="AI1327">
        <v>2463774.0499999998</v>
      </c>
      <c r="AJ1327">
        <v>0</v>
      </c>
      <c r="AK1327">
        <v>0</v>
      </c>
      <c r="AL1327">
        <v>618407.28</v>
      </c>
      <c r="AM1327">
        <v>0</v>
      </c>
      <c r="AN1327">
        <v>3082181.33</v>
      </c>
      <c r="AO1327" t="s">
        <v>122</v>
      </c>
      <c r="AP1327">
        <v>15</v>
      </c>
      <c r="AQ1327">
        <v>369566.11</v>
      </c>
      <c r="AR1327">
        <v>369566.11</v>
      </c>
      <c r="AT1327">
        <v>28501440</v>
      </c>
      <c r="AU1327">
        <v>1000671.31</v>
      </c>
      <c r="AV1327">
        <v>28501440</v>
      </c>
      <c r="AW1327">
        <v>1000671.31</v>
      </c>
    </row>
    <row r="1328" spans="1:49" hidden="1" x14ac:dyDescent="0.35">
      <c r="A1328">
        <v>5864410</v>
      </c>
      <c r="B1328">
        <v>5010005864401</v>
      </c>
      <c r="D1328">
        <v>20286933697</v>
      </c>
      <c r="E1328" t="s">
        <v>427</v>
      </c>
      <c r="F1328" t="s">
        <v>1</v>
      </c>
      <c r="G1328" t="s">
        <v>428</v>
      </c>
      <c r="H1328" t="s">
        <v>55</v>
      </c>
      <c r="I1328">
        <v>6221</v>
      </c>
      <c r="J1328">
        <v>21</v>
      </c>
      <c r="K1328" t="s">
        <v>33</v>
      </c>
      <c r="L1328">
        <v>13212</v>
      </c>
      <c r="M1328" t="s">
        <v>429</v>
      </c>
      <c r="N1328">
        <v>2</v>
      </c>
      <c r="O1328" t="s">
        <v>119</v>
      </c>
      <c r="P1328" t="s">
        <v>1862</v>
      </c>
      <c r="Q1328">
        <v>795988.54</v>
      </c>
      <c r="R1328">
        <v>22671600</v>
      </c>
      <c r="S1328">
        <v>42</v>
      </c>
      <c r="T1328">
        <v>539800</v>
      </c>
      <c r="U1328">
        <v>1</v>
      </c>
      <c r="V1328">
        <v>1</v>
      </c>
      <c r="W1328" t="s">
        <v>127</v>
      </c>
      <c r="X1328">
        <v>26990</v>
      </c>
      <c r="Y1328">
        <v>795988.54</v>
      </c>
      <c r="Z1328">
        <v>22671600</v>
      </c>
      <c r="AA1328">
        <v>539800</v>
      </c>
      <c r="AB1328">
        <v>210</v>
      </c>
      <c r="AC1328" s="34">
        <v>45944</v>
      </c>
      <c r="AD1328" s="34">
        <v>46173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 t="s">
        <v>122</v>
      </c>
      <c r="AT1328">
        <v>13602960</v>
      </c>
      <c r="AU1328">
        <v>477593.12</v>
      </c>
      <c r="AV1328">
        <v>13602960</v>
      </c>
      <c r="AW1328">
        <v>477593.12</v>
      </c>
    </row>
    <row r="1329" spans="1:49" hidden="1" x14ac:dyDescent="0.35">
      <c r="A1329">
        <v>5864510</v>
      </c>
      <c r="B1329">
        <v>5010005864501</v>
      </c>
      <c r="D1329">
        <v>30711814961</v>
      </c>
      <c r="E1329" t="s">
        <v>1611</v>
      </c>
      <c r="F1329" t="s">
        <v>1</v>
      </c>
      <c r="G1329" t="s">
        <v>428</v>
      </c>
      <c r="H1329" t="s">
        <v>55</v>
      </c>
      <c r="I1329">
        <v>6221</v>
      </c>
      <c r="J1329">
        <v>21</v>
      </c>
      <c r="K1329" t="s">
        <v>33</v>
      </c>
      <c r="L1329">
        <v>13212</v>
      </c>
      <c r="M1329" t="s">
        <v>429</v>
      </c>
      <c r="N1329">
        <v>1</v>
      </c>
      <c r="O1329" t="s">
        <v>119</v>
      </c>
      <c r="P1329" t="s">
        <v>1863</v>
      </c>
      <c r="Q1329">
        <v>1042365.95</v>
      </c>
      <c r="R1329">
        <v>29689000</v>
      </c>
      <c r="S1329">
        <v>55</v>
      </c>
      <c r="T1329">
        <v>539800</v>
      </c>
      <c r="U1329">
        <v>1</v>
      </c>
      <c r="V1329">
        <v>1</v>
      </c>
      <c r="W1329" t="s">
        <v>127</v>
      </c>
      <c r="X1329">
        <v>26990</v>
      </c>
      <c r="Y1329">
        <v>1042365.95</v>
      </c>
      <c r="Z1329">
        <v>29689000</v>
      </c>
      <c r="AA1329">
        <v>539800</v>
      </c>
      <c r="AB1329">
        <v>210</v>
      </c>
      <c r="AC1329" s="34">
        <v>45944</v>
      </c>
      <c r="AD1329" s="34">
        <v>46173</v>
      </c>
      <c r="AF1329">
        <v>0</v>
      </c>
      <c r="AG1329">
        <v>4444269.3499999996</v>
      </c>
      <c r="AH1329">
        <v>0</v>
      </c>
      <c r="AI1329">
        <v>4444269.3499999996</v>
      </c>
      <c r="AJ1329">
        <v>0</v>
      </c>
      <c r="AK1329">
        <v>0</v>
      </c>
      <c r="AL1329">
        <v>1115511.6100000001</v>
      </c>
      <c r="AM1329">
        <v>0</v>
      </c>
      <c r="AN1329">
        <v>5559780.96</v>
      </c>
      <c r="AO1329" t="s">
        <v>122</v>
      </c>
      <c r="AP1329">
        <v>15</v>
      </c>
      <c r="AQ1329">
        <v>666640.4</v>
      </c>
      <c r="AR1329">
        <v>666640.4</v>
      </c>
      <c r="AT1329">
        <v>17813400</v>
      </c>
      <c r="AU1329">
        <v>625419.56999999995</v>
      </c>
      <c r="AV1329">
        <v>17813400</v>
      </c>
      <c r="AW1329">
        <v>625419.56999999995</v>
      </c>
    </row>
    <row r="1330" spans="1:49" hidden="1" x14ac:dyDescent="0.35">
      <c r="A1330">
        <v>5864510</v>
      </c>
      <c r="B1330">
        <v>5010005864501</v>
      </c>
      <c r="D1330">
        <v>30711814961</v>
      </c>
      <c r="E1330" t="s">
        <v>1611</v>
      </c>
      <c r="F1330" t="s">
        <v>1</v>
      </c>
      <c r="G1330" t="s">
        <v>428</v>
      </c>
      <c r="H1330" t="s">
        <v>55</v>
      </c>
      <c r="I1330">
        <v>6221</v>
      </c>
      <c r="J1330">
        <v>21</v>
      </c>
      <c r="K1330" t="s">
        <v>33</v>
      </c>
      <c r="L1330">
        <v>13212</v>
      </c>
      <c r="M1330" t="s">
        <v>429</v>
      </c>
      <c r="N1330">
        <v>2</v>
      </c>
      <c r="O1330" t="s">
        <v>119</v>
      </c>
      <c r="P1330" t="s">
        <v>1864</v>
      </c>
      <c r="Q1330">
        <v>568563.24</v>
      </c>
      <c r="R1330">
        <v>16194000</v>
      </c>
      <c r="S1330">
        <v>60</v>
      </c>
      <c r="T1330">
        <v>269900</v>
      </c>
      <c r="U1330">
        <v>1</v>
      </c>
      <c r="V1330">
        <v>1</v>
      </c>
      <c r="W1330" t="s">
        <v>127</v>
      </c>
      <c r="X1330">
        <v>26990</v>
      </c>
      <c r="Y1330">
        <v>568563.24</v>
      </c>
      <c r="Z1330">
        <v>16194000</v>
      </c>
      <c r="AA1330">
        <v>269900</v>
      </c>
      <c r="AB1330">
        <v>210</v>
      </c>
      <c r="AC1330" s="34">
        <v>45944</v>
      </c>
      <c r="AD1330" s="34">
        <v>46173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 t="s">
        <v>122</v>
      </c>
      <c r="AT1330">
        <v>9716400</v>
      </c>
      <c r="AU1330">
        <v>341137.94</v>
      </c>
      <c r="AV1330">
        <v>9716400</v>
      </c>
      <c r="AW1330">
        <v>341137.94</v>
      </c>
    </row>
    <row r="1331" spans="1:49" hidden="1" x14ac:dyDescent="0.35">
      <c r="A1331">
        <v>5864510</v>
      </c>
      <c r="B1331">
        <v>5010005864501</v>
      </c>
      <c r="D1331">
        <v>30711814961</v>
      </c>
      <c r="E1331" t="s">
        <v>1611</v>
      </c>
      <c r="F1331" t="s">
        <v>1</v>
      </c>
      <c r="G1331" t="s">
        <v>428</v>
      </c>
      <c r="H1331" t="s">
        <v>55</v>
      </c>
      <c r="I1331">
        <v>6221</v>
      </c>
      <c r="J1331">
        <v>21</v>
      </c>
      <c r="K1331" t="s">
        <v>33</v>
      </c>
      <c r="L1331">
        <v>13212</v>
      </c>
      <c r="M1331" t="s">
        <v>429</v>
      </c>
      <c r="N1331">
        <v>3</v>
      </c>
      <c r="O1331" t="s">
        <v>119</v>
      </c>
      <c r="P1331" t="s">
        <v>1865</v>
      </c>
      <c r="Q1331">
        <v>1250839.1299999999</v>
      </c>
      <c r="R1331">
        <v>35626800</v>
      </c>
      <c r="S1331">
        <v>132</v>
      </c>
      <c r="T1331">
        <v>269900</v>
      </c>
      <c r="U1331">
        <v>1</v>
      </c>
      <c r="V1331">
        <v>1</v>
      </c>
      <c r="W1331" t="s">
        <v>127</v>
      </c>
      <c r="X1331">
        <v>26990</v>
      </c>
      <c r="Y1331">
        <v>1250839.1299999999</v>
      </c>
      <c r="Z1331">
        <v>35626800</v>
      </c>
      <c r="AA1331">
        <v>269900</v>
      </c>
      <c r="AB1331">
        <v>210</v>
      </c>
      <c r="AC1331" s="34">
        <v>45944</v>
      </c>
      <c r="AD1331" s="34">
        <v>46173</v>
      </c>
      <c r="AF1331">
        <v>1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 t="s">
        <v>122</v>
      </c>
      <c r="AT1331">
        <v>21376080</v>
      </c>
      <c r="AU1331">
        <v>750503.48</v>
      </c>
      <c r="AV1331">
        <v>21376080</v>
      </c>
      <c r="AW1331">
        <v>750503.48</v>
      </c>
    </row>
    <row r="1332" spans="1:49" hidden="1" x14ac:dyDescent="0.35">
      <c r="A1332">
        <v>5864510</v>
      </c>
      <c r="B1332">
        <v>5010005864501</v>
      </c>
      <c r="D1332">
        <v>30711814961</v>
      </c>
      <c r="E1332" t="s">
        <v>1611</v>
      </c>
      <c r="F1332" t="s">
        <v>1</v>
      </c>
      <c r="G1332" t="s">
        <v>428</v>
      </c>
      <c r="H1332" t="s">
        <v>55</v>
      </c>
      <c r="I1332">
        <v>6221</v>
      </c>
      <c r="J1332">
        <v>21</v>
      </c>
      <c r="K1332" t="s">
        <v>33</v>
      </c>
      <c r="L1332">
        <v>13212</v>
      </c>
      <c r="M1332" t="s">
        <v>429</v>
      </c>
      <c r="N1332">
        <v>4</v>
      </c>
      <c r="O1332" t="s">
        <v>119</v>
      </c>
      <c r="P1332" t="s">
        <v>1866</v>
      </c>
      <c r="Q1332">
        <v>596991.41</v>
      </c>
      <c r="R1332">
        <v>17003700</v>
      </c>
      <c r="S1332">
        <v>63</v>
      </c>
      <c r="T1332">
        <v>269900</v>
      </c>
      <c r="U1332">
        <v>1</v>
      </c>
      <c r="V1332">
        <v>1</v>
      </c>
      <c r="W1332" t="s">
        <v>127</v>
      </c>
      <c r="X1332">
        <v>26990</v>
      </c>
      <c r="Y1332">
        <v>596991.41</v>
      </c>
      <c r="Z1332">
        <v>17003700</v>
      </c>
      <c r="AA1332">
        <v>269900</v>
      </c>
      <c r="AB1332">
        <v>210</v>
      </c>
      <c r="AC1332" s="34">
        <v>45944</v>
      </c>
      <c r="AD1332" s="34">
        <v>46173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 t="s">
        <v>122</v>
      </c>
      <c r="AT1332">
        <v>10202220</v>
      </c>
      <c r="AU1332">
        <v>358194.85</v>
      </c>
      <c r="AV1332">
        <v>10202220</v>
      </c>
      <c r="AW1332">
        <v>358194.85</v>
      </c>
    </row>
    <row r="1333" spans="1:49" hidden="1" x14ac:dyDescent="0.35">
      <c r="A1333">
        <v>5864510</v>
      </c>
      <c r="B1333">
        <v>5010005864501</v>
      </c>
      <c r="D1333">
        <v>30711814961</v>
      </c>
      <c r="E1333" t="s">
        <v>1611</v>
      </c>
      <c r="F1333" t="s">
        <v>1</v>
      </c>
      <c r="G1333" t="s">
        <v>428</v>
      </c>
      <c r="H1333" t="s">
        <v>55</v>
      </c>
      <c r="I1333">
        <v>6221</v>
      </c>
      <c r="J1333">
        <v>21</v>
      </c>
      <c r="K1333" t="s">
        <v>33</v>
      </c>
      <c r="L1333">
        <v>13212</v>
      </c>
      <c r="M1333" t="s">
        <v>429</v>
      </c>
      <c r="N1333">
        <v>5</v>
      </c>
      <c r="O1333" t="s">
        <v>119</v>
      </c>
      <c r="P1333" t="s">
        <v>1867</v>
      </c>
      <c r="Q1333">
        <v>478540.73</v>
      </c>
      <c r="R1333">
        <v>13629950</v>
      </c>
      <c r="S1333">
        <v>50.5</v>
      </c>
      <c r="T1333">
        <v>269900</v>
      </c>
      <c r="U1333">
        <v>1</v>
      </c>
      <c r="V1333">
        <v>1</v>
      </c>
      <c r="W1333" t="s">
        <v>127</v>
      </c>
      <c r="X1333">
        <v>26990</v>
      </c>
      <c r="Y1333">
        <v>478540.73</v>
      </c>
      <c r="Z1333">
        <v>13629950</v>
      </c>
      <c r="AA1333">
        <v>269900</v>
      </c>
      <c r="AB1333">
        <v>210</v>
      </c>
      <c r="AC1333" s="34">
        <v>45944</v>
      </c>
      <c r="AD1333" s="34">
        <v>46173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 t="s">
        <v>122</v>
      </c>
      <c r="AT1333">
        <v>8177970</v>
      </c>
      <c r="AU1333">
        <v>287124.44</v>
      </c>
      <c r="AV1333">
        <v>8177970</v>
      </c>
      <c r="AW1333">
        <v>287124.44</v>
      </c>
    </row>
    <row r="1334" spans="1:49" hidden="1" x14ac:dyDescent="0.35">
      <c r="A1334">
        <v>5864510</v>
      </c>
      <c r="B1334">
        <v>5010005864501</v>
      </c>
      <c r="D1334">
        <v>30711814961</v>
      </c>
      <c r="E1334" t="s">
        <v>1611</v>
      </c>
      <c r="F1334" t="s">
        <v>1</v>
      </c>
      <c r="G1334" t="s">
        <v>428</v>
      </c>
      <c r="H1334" t="s">
        <v>55</v>
      </c>
      <c r="I1334">
        <v>6221</v>
      </c>
      <c r="J1334">
        <v>21</v>
      </c>
      <c r="K1334" t="s">
        <v>33</v>
      </c>
      <c r="L1334">
        <v>13212</v>
      </c>
      <c r="M1334" t="s">
        <v>429</v>
      </c>
      <c r="N1334">
        <v>6</v>
      </c>
      <c r="O1334" t="s">
        <v>119</v>
      </c>
      <c r="P1334" t="s">
        <v>1868</v>
      </c>
      <c r="Q1334">
        <v>506968.89</v>
      </c>
      <c r="R1334">
        <v>14439650</v>
      </c>
      <c r="S1334">
        <v>53.5</v>
      </c>
      <c r="T1334">
        <v>269900</v>
      </c>
      <c r="U1334">
        <v>1</v>
      </c>
      <c r="V1334">
        <v>1</v>
      </c>
      <c r="W1334" t="s">
        <v>127</v>
      </c>
      <c r="X1334">
        <v>26990</v>
      </c>
      <c r="Y1334">
        <v>506968.89</v>
      </c>
      <c r="Z1334">
        <v>14439650</v>
      </c>
      <c r="AA1334">
        <v>269900</v>
      </c>
      <c r="AB1334">
        <v>210</v>
      </c>
      <c r="AC1334" s="34">
        <v>45944</v>
      </c>
      <c r="AD1334" s="34">
        <v>46173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 t="s">
        <v>122</v>
      </c>
      <c r="AT1334">
        <v>8663790</v>
      </c>
      <c r="AU1334">
        <v>304181.33</v>
      </c>
      <c r="AV1334">
        <v>8663790</v>
      </c>
      <c r="AW1334">
        <v>304181.33</v>
      </c>
    </row>
    <row r="1335" spans="1:49" hidden="1" x14ac:dyDescent="0.35">
      <c r="A1335">
        <v>5864610</v>
      </c>
      <c r="B1335">
        <v>5010005864601</v>
      </c>
      <c r="D1335">
        <v>30711898235</v>
      </c>
      <c r="E1335" t="s">
        <v>1605</v>
      </c>
      <c r="F1335" t="s">
        <v>1</v>
      </c>
      <c r="G1335" t="s">
        <v>428</v>
      </c>
      <c r="H1335" t="s">
        <v>55</v>
      </c>
      <c r="I1335">
        <v>6221</v>
      </c>
      <c r="J1335">
        <v>21</v>
      </c>
      <c r="K1335" t="s">
        <v>33</v>
      </c>
      <c r="L1335">
        <v>13212</v>
      </c>
      <c r="M1335" t="s">
        <v>429</v>
      </c>
      <c r="N1335">
        <v>1</v>
      </c>
      <c r="O1335" t="s">
        <v>119</v>
      </c>
      <c r="P1335" t="s">
        <v>1869</v>
      </c>
      <c r="Q1335">
        <v>568563.24</v>
      </c>
      <c r="R1335">
        <v>16194000</v>
      </c>
      <c r="S1335">
        <v>60</v>
      </c>
      <c r="T1335">
        <v>269900</v>
      </c>
      <c r="U1335">
        <v>1</v>
      </c>
      <c r="V1335">
        <v>1</v>
      </c>
      <c r="W1335" t="s">
        <v>127</v>
      </c>
      <c r="X1335">
        <v>26990</v>
      </c>
      <c r="Y1335">
        <v>568563.24</v>
      </c>
      <c r="Z1335">
        <v>16194000</v>
      </c>
      <c r="AA1335">
        <v>269900</v>
      </c>
      <c r="AB1335">
        <v>210</v>
      </c>
      <c r="AC1335" s="34">
        <v>45944</v>
      </c>
      <c r="AD1335" s="34">
        <v>46173</v>
      </c>
      <c r="AF1335">
        <v>0</v>
      </c>
      <c r="AG1335">
        <v>18563589.899999999</v>
      </c>
      <c r="AH1335">
        <v>0</v>
      </c>
      <c r="AI1335">
        <v>18563589.899999999</v>
      </c>
      <c r="AJ1335">
        <v>0</v>
      </c>
      <c r="AK1335">
        <v>0</v>
      </c>
      <c r="AL1335">
        <v>4659461.07</v>
      </c>
      <c r="AM1335">
        <v>0</v>
      </c>
      <c r="AN1335">
        <v>23223050.969999999</v>
      </c>
      <c r="AO1335" t="s">
        <v>122</v>
      </c>
      <c r="AP1335">
        <v>15</v>
      </c>
      <c r="AQ1335">
        <v>2784538.49</v>
      </c>
      <c r="AR1335">
        <v>2784538.49</v>
      </c>
      <c r="AT1335">
        <v>9716400</v>
      </c>
      <c r="AU1335">
        <v>341137.94</v>
      </c>
      <c r="AV1335">
        <v>9716400</v>
      </c>
      <c r="AW1335">
        <v>341137.94</v>
      </c>
    </row>
    <row r="1336" spans="1:49" hidden="1" x14ac:dyDescent="0.35">
      <c r="A1336">
        <v>5864610</v>
      </c>
      <c r="B1336">
        <v>5010005864601</v>
      </c>
      <c r="D1336">
        <v>30711898235</v>
      </c>
      <c r="E1336" t="s">
        <v>1605</v>
      </c>
      <c r="F1336" t="s">
        <v>1</v>
      </c>
      <c r="G1336" t="s">
        <v>428</v>
      </c>
      <c r="H1336" t="s">
        <v>55</v>
      </c>
      <c r="I1336">
        <v>6221</v>
      </c>
      <c r="J1336">
        <v>21</v>
      </c>
      <c r="K1336" t="s">
        <v>33</v>
      </c>
      <c r="L1336">
        <v>13212</v>
      </c>
      <c r="M1336" t="s">
        <v>429</v>
      </c>
      <c r="N1336">
        <v>2</v>
      </c>
      <c r="O1336" t="s">
        <v>119</v>
      </c>
      <c r="P1336" t="s">
        <v>1870</v>
      </c>
      <c r="Q1336">
        <v>1250839.1299999999</v>
      </c>
      <c r="R1336">
        <v>35626800</v>
      </c>
      <c r="S1336">
        <v>132</v>
      </c>
      <c r="T1336">
        <v>269900</v>
      </c>
      <c r="U1336">
        <v>1</v>
      </c>
      <c r="V1336">
        <v>1</v>
      </c>
      <c r="W1336" t="s">
        <v>127</v>
      </c>
      <c r="X1336">
        <v>26990</v>
      </c>
      <c r="Y1336">
        <v>1250839.1299999999</v>
      </c>
      <c r="Z1336">
        <v>35626800</v>
      </c>
      <c r="AA1336">
        <v>269900</v>
      </c>
      <c r="AB1336">
        <v>210</v>
      </c>
      <c r="AC1336" s="34">
        <v>45944</v>
      </c>
      <c r="AD1336" s="34">
        <v>46173</v>
      </c>
      <c r="AF1336">
        <v>1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 t="s">
        <v>122</v>
      </c>
      <c r="AT1336">
        <v>21376080</v>
      </c>
      <c r="AU1336">
        <v>750503.48</v>
      </c>
      <c r="AV1336">
        <v>21376080</v>
      </c>
      <c r="AW1336">
        <v>750503.48</v>
      </c>
    </row>
    <row r="1337" spans="1:49" hidden="1" x14ac:dyDescent="0.35">
      <c r="A1337">
        <v>5864610</v>
      </c>
      <c r="B1337">
        <v>5010005864601</v>
      </c>
      <c r="D1337">
        <v>30711898235</v>
      </c>
      <c r="E1337" t="s">
        <v>1605</v>
      </c>
      <c r="F1337" t="s">
        <v>1</v>
      </c>
      <c r="G1337" t="s">
        <v>428</v>
      </c>
      <c r="H1337" t="s">
        <v>55</v>
      </c>
      <c r="I1337">
        <v>6221</v>
      </c>
      <c r="J1337">
        <v>21</v>
      </c>
      <c r="K1337" t="s">
        <v>33</v>
      </c>
      <c r="L1337">
        <v>13212</v>
      </c>
      <c r="M1337" t="s">
        <v>429</v>
      </c>
      <c r="N1337">
        <v>3</v>
      </c>
      <c r="O1337" t="s">
        <v>119</v>
      </c>
      <c r="P1337" t="s">
        <v>1866</v>
      </c>
      <c r="Q1337">
        <v>596991.41</v>
      </c>
      <c r="R1337">
        <v>17003700</v>
      </c>
      <c r="S1337">
        <v>63</v>
      </c>
      <c r="T1337">
        <v>269900</v>
      </c>
      <c r="U1337">
        <v>1</v>
      </c>
      <c r="V1337">
        <v>1</v>
      </c>
      <c r="W1337" t="s">
        <v>127</v>
      </c>
      <c r="X1337">
        <v>26990</v>
      </c>
      <c r="Y1337">
        <v>596991.41</v>
      </c>
      <c r="Z1337">
        <v>17003700</v>
      </c>
      <c r="AA1337">
        <v>269900</v>
      </c>
      <c r="AB1337">
        <v>210</v>
      </c>
      <c r="AC1337" s="34">
        <v>45944</v>
      </c>
      <c r="AD1337" s="34">
        <v>46173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 t="s">
        <v>122</v>
      </c>
      <c r="AT1337">
        <v>10202220</v>
      </c>
      <c r="AU1337">
        <v>358194.85</v>
      </c>
      <c r="AV1337">
        <v>10202220</v>
      </c>
      <c r="AW1337">
        <v>358194.85</v>
      </c>
    </row>
    <row r="1338" spans="1:49" hidden="1" x14ac:dyDescent="0.35">
      <c r="A1338">
        <v>5864610</v>
      </c>
      <c r="B1338">
        <v>5010005864601</v>
      </c>
      <c r="D1338">
        <v>30711898235</v>
      </c>
      <c r="E1338" t="s">
        <v>1605</v>
      </c>
      <c r="F1338" t="s">
        <v>1</v>
      </c>
      <c r="G1338" t="s">
        <v>428</v>
      </c>
      <c r="H1338" t="s">
        <v>55</v>
      </c>
      <c r="I1338">
        <v>6221</v>
      </c>
      <c r="J1338">
        <v>21</v>
      </c>
      <c r="K1338" t="s">
        <v>33</v>
      </c>
      <c r="L1338">
        <v>13212</v>
      </c>
      <c r="M1338" t="s">
        <v>429</v>
      </c>
      <c r="N1338">
        <v>4</v>
      </c>
      <c r="O1338" t="s">
        <v>119</v>
      </c>
      <c r="P1338" t="s">
        <v>1871</v>
      </c>
      <c r="Q1338">
        <v>478540.73</v>
      </c>
      <c r="R1338">
        <v>13629950</v>
      </c>
      <c r="S1338">
        <v>50.5</v>
      </c>
      <c r="T1338">
        <v>269900</v>
      </c>
      <c r="U1338">
        <v>1</v>
      </c>
      <c r="V1338">
        <v>1</v>
      </c>
      <c r="W1338" t="s">
        <v>127</v>
      </c>
      <c r="X1338">
        <v>26990</v>
      </c>
      <c r="Y1338">
        <v>478540.73</v>
      </c>
      <c r="Z1338">
        <v>13629950</v>
      </c>
      <c r="AA1338">
        <v>269900</v>
      </c>
      <c r="AB1338">
        <v>210</v>
      </c>
      <c r="AC1338" s="34">
        <v>45944</v>
      </c>
      <c r="AD1338" s="34">
        <v>46173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 t="s">
        <v>122</v>
      </c>
      <c r="AT1338">
        <v>8177970</v>
      </c>
      <c r="AU1338">
        <v>287124.44</v>
      </c>
      <c r="AV1338">
        <v>8177970</v>
      </c>
      <c r="AW1338">
        <v>287124.44</v>
      </c>
    </row>
    <row r="1339" spans="1:49" hidden="1" x14ac:dyDescent="0.35">
      <c r="A1339">
        <v>5864610</v>
      </c>
      <c r="B1339">
        <v>5010005864601</v>
      </c>
      <c r="D1339">
        <v>30711898235</v>
      </c>
      <c r="E1339" t="s">
        <v>1605</v>
      </c>
      <c r="F1339" t="s">
        <v>1</v>
      </c>
      <c r="G1339" t="s">
        <v>428</v>
      </c>
      <c r="H1339" t="s">
        <v>55</v>
      </c>
      <c r="I1339">
        <v>6221</v>
      </c>
      <c r="J1339">
        <v>21</v>
      </c>
      <c r="K1339" t="s">
        <v>33</v>
      </c>
      <c r="L1339">
        <v>13212</v>
      </c>
      <c r="M1339" t="s">
        <v>429</v>
      </c>
      <c r="N1339">
        <v>5</v>
      </c>
      <c r="O1339" t="s">
        <v>119</v>
      </c>
      <c r="P1339" t="s">
        <v>1872</v>
      </c>
      <c r="Q1339">
        <v>506968.89</v>
      </c>
      <c r="R1339">
        <v>14439650</v>
      </c>
      <c r="S1339">
        <v>53.5</v>
      </c>
      <c r="T1339">
        <v>269900</v>
      </c>
      <c r="U1339">
        <v>1</v>
      </c>
      <c r="V1339">
        <v>1</v>
      </c>
      <c r="W1339" t="s">
        <v>127</v>
      </c>
      <c r="X1339">
        <v>26990</v>
      </c>
      <c r="Y1339">
        <v>506968.89</v>
      </c>
      <c r="Z1339">
        <v>14439650</v>
      </c>
      <c r="AA1339">
        <v>269900</v>
      </c>
      <c r="AB1339">
        <v>210</v>
      </c>
      <c r="AC1339" s="34">
        <v>45944</v>
      </c>
      <c r="AD1339" s="34">
        <v>46173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 t="s">
        <v>122</v>
      </c>
      <c r="AT1339">
        <v>8663790</v>
      </c>
      <c r="AU1339">
        <v>304181.33</v>
      </c>
      <c r="AV1339">
        <v>8663790</v>
      </c>
      <c r="AW1339">
        <v>304181.33</v>
      </c>
    </row>
    <row r="1340" spans="1:49" hidden="1" x14ac:dyDescent="0.35">
      <c r="A1340">
        <v>5864610</v>
      </c>
      <c r="B1340">
        <v>5010005864601</v>
      </c>
      <c r="D1340">
        <v>30711898235</v>
      </c>
      <c r="E1340" t="s">
        <v>1605</v>
      </c>
      <c r="F1340" t="s">
        <v>1</v>
      </c>
      <c r="G1340" t="s">
        <v>428</v>
      </c>
      <c r="H1340" t="s">
        <v>55</v>
      </c>
      <c r="I1340">
        <v>6221</v>
      </c>
      <c r="J1340">
        <v>21</v>
      </c>
      <c r="K1340" t="s">
        <v>33</v>
      </c>
      <c r="L1340">
        <v>13212</v>
      </c>
      <c r="M1340" t="s">
        <v>429</v>
      </c>
      <c r="N1340">
        <v>6</v>
      </c>
      <c r="O1340" t="s">
        <v>119</v>
      </c>
      <c r="P1340" t="s">
        <v>1873</v>
      </c>
      <c r="Q1340">
        <v>5306590.2699999996</v>
      </c>
      <c r="R1340">
        <v>151144000</v>
      </c>
      <c r="S1340">
        <v>280</v>
      </c>
      <c r="T1340">
        <v>539800</v>
      </c>
      <c r="U1340">
        <v>1</v>
      </c>
      <c r="V1340">
        <v>1</v>
      </c>
      <c r="W1340" t="s">
        <v>127</v>
      </c>
      <c r="X1340">
        <v>26990</v>
      </c>
      <c r="Y1340">
        <v>5306590.2699999996</v>
      </c>
      <c r="Z1340">
        <v>151144000</v>
      </c>
      <c r="AA1340">
        <v>539800</v>
      </c>
      <c r="AB1340">
        <v>210</v>
      </c>
      <c r="AC1340" s="34">
        <v>45944</v>
      </c>
      <c r="AD1340" s="34">
        <v>46173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 t="s">
        <v>122</v>
      </c>
      <c r="AT1340">
        <v>90686400</v>
      </c>
      <c r="AU1340">
        <v>3183954.16</v>
      </c>
      <c r="AV1340">
        <v>90686400</v>
      </c>
      <c r="AW1340">
        <v>3183954.16</v>
      </c>
    </row>
    <row r="1341" spans="1:49" hidden="1" x14ac:dyDescent="0.35">
      <c r="A1341">
        <v>5864610</v>
      </c>
      <c r="B1341">
        <v>5010005864601</v>
      </c>
      <c r="D1341">
        <v>30711898235</v>
      </c>
      <c r="E1341" t="s">
        <v>1605</v>
      </c>
      <c r="F1341" t="s">
        <v>1</v>
      </c>
      <c r="G1341" t="s">
        <v>428</v>
      </c>
      <c r="H1341" t="s">
        <v>55</v>
      </c>
      <c r="I1341">
        <v>6221</v>
      </c>
      <c r="J1341">
        <v>21</v>
      </c>
      <c r="K1341" t="s">
        <v>33</v>
      </c>
      <c r="L1341">
        <v>13212</v>
      </c>
      <c r="M1341" t="s">
        <v>429</v>
      </c>
      <c r="N1341">
        <v>7</v>
      </c>
      <c r="O1341" t="s">
        <v>119</v>
      </c>
      <c r="P1341" t="s">
        <v>1874</v>
      </c>
      <c r="Q1341">
        <v>2008923.46</v>
      </c>
      <c r="R1341">
        <v>57218800</v>
      </c>
      <c r="S1341">
        <v>106</v>
      </c>
      <c r="T1341">
        <v>539800</v>
      </c>
      <c r="U1341">
        <v>1</v>
      </c>
      <c r="V1341">
        <v>1</v>
      </c>
      <c r="W1341" t="s">
        <v>127</v>
      </c>
      <c r="X1341">
        <v>26990</v>
      </c>
      <c r="Y1341">
        <v>2008923.46</v>
      </c>
      <c r="Z1341">
        <v>57218800</v>
      </c>
      <c r="AA1341">
        <v>539800</v>
      </c>
      <c r="AB1341">
        <v>210</v>
      </c>
      <c r="AC1341" s="34">
        <v>45944</v>
      </c>
      <c r="AD1341" s="34">
        <v>46173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 t="s">
        <v>122</v>
      </c>
      <c r="AT1341">
        <v>34331280</v>
      </c>
      <c r="AU1341">
        <v>1205354.08</v>
      </c>
      <c r="AV1341">
        <v>34331280</v>
      </c>
      <c r="AW1341">
        <v>1205354.08</v>
      </c>
    </row>
    <row r="1342" spans="1:49" hidden="1" x14ac:dyDescent="0.35">
      <c r="A1342">
        <v>5864610</v>
      </c>
      <c r="B1342">
        <v>5010005864601</v>
      </c>
      <c r="D1342">
        <v>30711898235</v>
      </c>
      <c r="E1342" t="s">
        <v>1605</v>
      </c>
      <c r="F1342" t="s">
        <v>1</v>
      </c>
      <c r="G1342" t="s">
        <v>428</v>
      </c>
      <c r="H1342" t="s">
        <v>55</v>
      </c>
      <c r="I1342">
        <v>6221</v>
      </c>
      <c r="J1342">
        <v>21</v>
      </c>
      <c r="K1342" t="s">
        <v>33</v>
      </c>
      <c r="L1342">
        <v>13212</v>
      </c>
      <c r="M1342" t="s">
        <v>429</v>
      </c>
      <c r="N1342">
        <v>8</v>
      </c>
      <c r="O1342" t="s">
        <v>119</v>
      </c>
      <c r="P1342" t="s">
        <v>1875</v>
      </c>
      <c r="Q1342">
        <v>1516168.65</v>
      </c>
      <c r="R1342">
        <v>43184000</v>
      </c>
      <c r="S1342">
        <v>80</v>
      </c>
      <c r="T1342">
        <v>539800</v>
      </c>
      <c r="U1342">
        <v>1</v>
      </c>
      <c r="V1342">
        <v>1</v>
      </c>
      <c r="W1342" t="s">
        <v>127</v>
      </c>
      <c r="X1342">
        <v>26990</v>
      </c>
      <c r="Y1342">
        <v>1516168.65</v>
      </c>
      <c r="Z1342">
        <v>43184000</v>
      </c>
      <c r="AA1342">
        <v>539800</v>
      </c>
      <c r="AB1342">
        <v>210</v>
      </c>
      <c r="AC1342" s="34">
        <v>45944</v>
      </c>
      <c r="AD1342" s="34">
        <v>46173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 t="s">
        <v>122</v>
      </c>
      <c r="AT1342">
        <v>25910400</v>
      </c>
      <c r="AU1342">
        <v>909701.19</v>
      </c>
      <c r="AV1342">
        <v>25910400</v>
      </c>
      <c r="AW1342">
        <v>909701.19</v>
      </c>
    </row>
    <row r="1343" spans="1:49" hidden="1" x14ac:dyDescent="0.35">
      <c r="A1343">
        <v>5864610</v>
      </c>
      <c r="B1343">
        <v>5010005864601</v>
      </c>
      <c r="D1343">
        <v>30711898235</v>
      </c>
      <c r="E1343" t="s">
        <v>1605</v>
      </c>
      <c r="F1343" t="s">
        <v>1</v>
      </c>
      <c r="G1343" t="s">
        <v>428</v>
      </c>
      <c r="H1343" t="s">
        <v>55</v>
      </c>
      <c r="I1343">
        <v>6221</v>
      </c>
      <c r="J1343">
        <v>21</v>
      </c>
      <c r="K1343" t="s">
        <v>33</v>
      </c>
      <c r="L1343">
        <v>13212</v>
      </c>
      <c r="M1343" t="s">
        <v>429</v>
      </c>
      <c r="N1343">
        <v>9</v>
      </c>
      <c r="O1343" t="s">
        <v>119</v>
      </c>
      <c r="P1343" t="s">
        <v>1876</v>
      </c>
      <c r="Q1343">
        <v>379042.16</v>
      </c>
      <c r="R1343">
        <v>10796000</v>
      </c>
      <c r="S1343">
        <v>20</v>
      </c>
      <c r="T1343">
        <v>539800</v>
      </c>
      <c r="U1343">
        <v>1</v>
      </c>
      <c r="V1343">
        <v>1</v>
      </c>
      <c r="W1343" t="s">
        <v>127</v>
      </c>
      <c r="X1343">
        <v>26990</v>
      </c>
      <c r="Y1343">
        <v>379042.16</v>
      </c>
      <c r="Z1343">
        <v>10796000</v>
      </c>
      <c r="AA1343">
        <v>539800</v>
      </c>
      <c r="AB1343">
        <v>210</v>
      </c>
      <c r="AC1343" s="34">
        <v>45944</v>
      </c>
      <c r="AD1343" s="34">
        <v>46173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 t="s">
        <v>122</v>
      </c>
      <c r="AT1343">
        <v>6477600</v>
      </c>
      <c r="AU1343">
        <v>227425.3</v>
      </c>
      <c r="AV1343">
        <v>6477600</v>
      </c>
      <c r="AW1343">
        <v>227425.3</v>
      </c>
    </row>
    <row r="1344" spans="1:49" hidden="1" x14ac:dyDescent="0.35">
      <c r="A1344">
        <v>5864610</v>
      </c>
      <c r="B1344">
        <v>5010005864601</v>
      </c>
      <c r="D1344">
        <v>30711898235</v>
      </c>
      <c r="E1344" t="s">
        <v>1605</v>
      </c>
      <c r="F1344" t="s">
        <v>1</v>
      </c>
      <c r="G1344" t="s">
        <v>428</v>
      </c>
      <c r="H1344" t="s">
        <v>55</v>
      </c>
      <c r="I1344">
        <v>6221</v>
      </c>
      <c r="J1344">
        <v>21</v>
      </c>
      <c r="K1344" t="s">
        <v>33</v>
      </c>
      <c r="L1344">
        <v>13212</v>
      </c>
      <c r="M1344" t="s">
        <v>429</v>
      </c>
      <c r="N1344">
        <v>10</v>
      </c>
      <c r="O1344" t="s">
        <v>119</v>
      </c>
      <c r="P1344" t="s">
        <v>1877</v>
      </c>
      <c r="Q1344">
        <v>1137126.49</v>
      </c>
      <c r="R1344">
        <v>32388000</v>
      </c>
      <c r="S1344">
        <v>60</v>
      </c>
      <c r="T1344">
        <v>539800</v>
      </c>
      <c r="U1344">
        <v>1</v>
      </c>
      <c r="V1344">
        <v>1</v>
      </c>
      <c r="W1344" t="s">
        <v>127</v>
      </c>
      <c r="X1344">
        <v>26990</v>
      </c>
      <c r="Y1344">
        <v>1137126.49</v>
      </c>
      <c r="Z1344">
        <v>32388000</v>
      </c>
      <c r="AA1344">
        <v>539800</v>
      </c>
      <c r="AB1344">
        <v>210</v>
      </c>
      <c r="AC1344" s="34">
        <v>45944</v>
      </c>
      <c r="AD1344" s="34">
        <v>46173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 t="s">
        <v>122</v>
      </c>
      <c r="AT1344">
        <v>19432800</v>
      </c>
      <c r="AU1344">
        <v>682275.89</v>
      </c>
      <c r="AV1344">
        <v>19432800</v>
      </c>
      <c r="AW1344">
        <v>682275.89</v>
      </c>
    </row>
    <row r="1345" spans="1:49" hidden="1" x14ac:dyDescent="0.35">
      <c r="A1345">
        <v>5864610</v>
      </c>
      <c r="B1345">
        <v>5010005864601</v>
      </c>
      <c r="D1345">
        <v>30711898235</v>
      </c>
      <c r="E1345" t="s">
        <v>1605</v>
      </c>
      <c r="F1345" t="s">
        <v>1</v>
      </c>
      <c r="G1345" t="s">
        <v>568</v>
      </c>
      <c r="H1345" t="s">
        <v>57</v>
      </c>
      <c r="I1345">
        <v>6360</v>
      </c>
      <c r="J1345">
        <v>21</v>
      </c>
      <c r="K1345" t="s">
        <v>33</v>
      </c>
      <c r="L1345">
        <v>13212</v>
      </c>
      <c r="M1345" t="s">
        <v>429</v>
      </c>
      <c r="N1345">
        <v>11</v>
      </c>
      <c r="O1345" t="s">
        <v>119</v>
      </c>
      <c r="P1345" t="s">
        <v>1878</v>
      </c>
      <c r="Q1345">
        <v>1705689.73</v>
      </c>
      <c r="R1345">
        <v>48582000</v>
      </c>
      <c r="S1345">
        <v>90</v>
      </c>
      <c r="T1345">
        <v>539800</v>
      </c>
      <c r="U1345">
        <v>1</v>
      </c>
      <c r="V1345">
        <v>1</v>
      </c>
      <c r="W1345" t="s">
        <v>127</v>
      </c>
      <c r="X1345">
        <v>26990</v>
      </c>
      <c r="Y1345">
        <v>1705689.73</v>
      </c>
      <c r="Z1345">
        <v>48582000</v>
      </c>
      <c r="AA1345">
        <v>539800</v>
      </c>
      <c r="AB1345">
        <v>210</v>
      </c>
      <c r="AC1345" s="34">
        <v>45944</v>
      </c>
      <c r="AD1345" s="34">
        <v>46173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 t="s">
        <v>122</v>
      </c>
      <c r="AT1345">
        <v>29149200</v>
      </c>
      <c r="AU1345">
        <v>1023413.84</v>
      </c>
      <c r="AV1345">
        <v>29149200</v>
      </c>
      <c r="AW1345">
        <v>1023413.84</v>
      </c>
    </row>
    <row r="1346" spans="1:49" hidden="1" x14ac:dyDescent="0.35">
      <c r="A1346">
        <v>5864610</v>
      </c>
      <c r="B1346">
        <v>5010005864601</v>
      </c>
      <c r="D1346">
        <v>30711898235</v>
      </c>
      <c r="E1346" t="s">
        <v>1605</v>
      </c>
      <c r="F1346" t="s">
        <v>1</v>
      </c>
      <c r="G1346" t="s">
        <v>428</v>
      </c>
      <c r="H1346" t="s">
        <v>55</v>
      </c>
      <c r="I1346">
        <v>6221</v>
      </c>
      <c r="J1346">
        <v>21</v>
      </c>
      <c r="K1346" t="s">
        <v>33</v>
      </c>
      <c r="L1346">
        <v>13212</v>
      </c>
      <c r="M1346" t="s">
        <v>429</v>
      </c>
      <c r="N1346">
        <v>12</v>
      </c>
      <c r="O1346" t="s">
        <v>119</v>
      </c>
      <c r="P1346" t="s">
        <v>1879</v>
      </c>
      <c r="Q1346">
        <v>1326647.57</v>
      </c>
      <c r="R1346">
        <v>37786000</v>
      </c>
      <c r="S1346">
        <v>70</v>
      </c>
      <c r="T1346">
        <v>539800</v>
      </c>
      <c r="U1346">
        <v>1</v>
      </c>
      <c r="V1346">
        <v>1</v>
      </c>
      <c r="W1346" t="s">
        <v>127</v>
      </c>
      <c r="X1346">
        <v>26990</v>
      </c>
      <c r="Y1346">
        <v>1326647.57</v>
      </c>
      <c r="Z1346">
        <v>37786000</v>
      </c>
      <c r="AA1346">
        <v>539800</v>
      </c>
      <c r="AB1346">
        <v>210</v>
      </c>
      <c r="AC1346" s="34">
        <v>45944</v>
      </c>
      <c r="AD1346" s="34">
        <v>46173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 t="s">
        <v>122</v>
      </c>
      <c r="AT1346">
        <v>22671600</v>
      </c>
      <c r="AU1346">
        <v>795988.54</v>
      </c>
      <c r="AV1346">
        <v>22671600</v>
      </c>
      <c r="AW1346">
        <v>795988.54</v>
      </c>
    </row>
    <row r="1347" spans="1:49" hidden="1" x14ac:dyDescent="0.35">
      <c r="A1347">
        <v>5864610</v>
      </c>
      <c r="B1347">
        <v>5010005864601</v>
      </c>
      <c r="D1347">
        <v>30711898235</v>
      </c>
      <c r="E1347" t="s">
        <v>1605</v>
      </c>
      <c r="F1347" t="s">
        <v>1</v>
      </c>
      <c r="G1347" t="s">
        <v>428</v>
      </c>
      <c r="H1347" t="s">
        <v>55</v>
      </c>
      <c r="I1347">
        <v>6221</v>
      </c>
      <c r="J1347">
        <v>21</v>
      </c>
      <c r="K1347" t="s">
        <v>33</v>
      </c>
      <c r="L1347">
        <v>13212</v>
      </c>
      <c r="M1347" t="s">
        <v>429</v>
      </c>
      <c r="N1347">
        <v>13</v>
      </c>
      <c r="O1347" t="s">
        <v>119</v>
      </c>
      <c r="P1347" t="s">
        <v>1880</v>
      </c>
      <c r="Q1347">
        <v>1042365.95</v>
      </c>
      <c r="R1347">
        <v>29689000</v>
      </c>
      <c r="S1347">
        <v>55</v>
      </c>
      <c r="T1347">
        <v>539800</v>
      </c>
      <c r="U1347">
        <v>1</v>
      </c>
      <c r="V1347">
        <v>1</v>
      </c>
      <c r="W1347" t="s">
        <v>127</v>
      </c>
      <c r="X1347">
        <v>26990</v>
      </c>
      <c r="Y1347">
        <v>1042365.95</v>
      </c>
      <c r="Z1347">
        <v>29689000</v>
      </c>
      <c r="AA1347">
        <v>539800</v>
      </c>
      <c r="AB1347">
        <v>210</v>
      </c>
      <c r="AC1347" s="34">
        <v>45944</v>
      </c>
      <c r="AD1347" s="34">
        <v>46173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 t="s">
        <v>122</v>
      </c>
      <c r="AT1347">
        <v>17813400</v>
      </c>
      <c r="AU1347">
        <v>625419.56999999995</v>
      </c>
      <c r="AV1347">
        <v>17813400</v>
      </c>
      <c r="AW1347">
        <v>625419.56999999995</v>
      </c>
    </row>
    <row r="1348" spans="1:49" hidden="1" x14ac:dyDescent="0.35">
      <c r="A1348">
        <v>5864610</v>
      </c>
      <c r="B1348">
        <v>5010005864601</v>
      </c>
      <c r="D1348">
        <v>30711898235</v>
      </c>
      <c r="E1348" t="s">
        <v>1605</v>
      </c>
      <c r="F1348" t="s">
        <v>1</v>
      </c>
      <c r="G1348" t="s">
        <v>428</v>
      </c>
      <c r="H1348" t="s">
        <v>55</v>
      </c>
      <c r="I1348">
        <v>6221</v>
      </c>
      <c r="J1348">
        <v>21</v>
      </c>
      <c r="K1348" t="s">
        <v>33</v>
      </c>
      <c r="L1348">
        <v>13212</v>
      </c>
      <c r="M1348" t="s">
        <v>429</v>
      </c>
      <c r="N1348">
        <v>14</v>
      </c>
      <c r="O1348" t="s">
        <v>119</v>
      </c>
      <c r="P1348" t="s">
        <v>1881</v>
      </c>
      <c r="Q1348">
        <v>739132.22</v>
      </c>
      <c r="R1348">
        <v>21052200</v>
      </c>
      <c r="S1348">
        <v>39</v>
      </c>
      <c r="T1348">
        <v>539800</v>
      </c>
      <c r="U1348">
        <v>1</v>
      </c>
      <c r="V1348">
        <v>1</v>
      </c>
      <c r="W1348" t="s">
        <v>127</v>
      </c>
      <c r="X1348">
        <v>26990</v>
      </c>
      <c r="Y1348">
        <v>739132.22</v>
      </c>
      <c r="Z1348">
        <v>21052200</v>
      </c>
      <c r="AA1348">
        <v>539800</v>
      </c>
      <c r="AB1348">
        <v>210</v>
      </c>
      <c r="AC1348" s="34">
        <v>45944</v>
      </c>
      <c r="AD1348" s="34">
        <v>46173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 t="s">
        <v>122</v>
      </c>
      <c r="AT1348">
        <v>12631320</v>
      </c>
      <c r="AU1348">
        <v>443479.33</v>
      </c>
      <c r="AV1348">
        <v>12631320</v>
      </c>
      <c r="AW1348">
        <v>443479.33</v>
      </c>
    </row>
    <row r="1349" spans="1:49" hidden="1" x14ac:dyDescent="0.35">
      <c r="A1349">
        <v>5864710</v>
      </c>
      <c r="B1349">
        <v>1090005864701</v>
      </c>
      <c r="D1349">
        <v>20271081864</v>
      </c>
      <c r="E1349" t="s">
        <v>1586</v>
      </c>
      <c r="F1349" t="s">
        <v>1</v>
      </c>
      <c r="G1349" t="s">
        <v>395</v>
      </c>
      <c r="H1349" t="s">
        <v>56</v>
      </c>
      <c r="I1349">
        <v>6380</v>
      </c>
      <c r="J1349">
        <v>21</v>
      </c>
      <c r="K1349" t="s">
        <v>33</v>
      </c>
      <c r="L1349">
        <v>82963</v>
      </c>
      <c r="M1349" t="s">
        <v>396</v>
      </c>
      <c r="N1349">
        <v>1</v>
      </c>
      <c r="O1349" t="s">
        <v>119</v>
      </c>
      <c r="P1349" t="s">
        <v>1882</v>
      </c>
      <c r="Q1349">
        <v>2117000</v>
      </c>
      <c r="R1349">
        <v>73000000</v>
      </c>
      <c r="S1349">
        <v>146</v>
      </c>
      <c r="T1349">
        <v>500000</v>
      </c>
      <c r="U1349">
        <v>1</v>
      </c>
      <c r="V1349">
        <v>1</v>
      </c>
      <c r="W1349" t="s">
        <v>121</v>
      </c>
      <c r="X1349" t="s">
        <v>1</v>
      </c>
      <c r="Y1349">
        <v>2117000</v>
      </c>
      <c r="Z1349">
        <v>73000000</v>
      </c>
      <c r="AA1349">
        <v>500000</v>
      </c>
      <c r="AB1349">
        <v>105</v>
      </c>
      <c r="AC1349" s="34">
        <v>46053</v>
      </c>
      <c r="AD1349" s="34">
        <v>46203</v>
      </c>
      <c r="AE1349" t="s">
        <v>161</v>
      </c>
      <c r="AF1349">
        <v>0</v>
      </c>
      <c r="AG1349">
        <v>2117000</v>
      </c>
      <c r="AH1349">
        <v>0</v>
      </c>
      <c r="AI1349">
        <v>2117000</v>
      </c>
      <c r="AJ1349">
        <v>0</v>
      </c>
      <c r="AK1349">
        <v>0</v>
      </c>
      <c r="AL1349">
        <v>531367</v>
      </c>
      <c r="AM1349">
        <v>0</v>
      </c>
      <c r="AN1349">
        <v>2648367</v>
      </c>
      <c r="AO1349" t="s">
        <v>122</v>
      </c>
      <c r="AP1349">
        <v>12</v>
      </c>
      <c r="AQ1349">
        <v>254040</v>
      </c>
      <c r="AR1349">
        <v>254040</v>
      </c>
      <c r="AT1349">
        <v>43800000</v>
      </c>
      <c r="AU1349">
        <v>1270200</v>
      </c>
      <c r="AV1349">
        <v>43800000</v>
      </c>
      <c r="AW1349">
        <v>1270200</v>
      </c>
    </row>
    <row r="1350" spans="1:49" hidden="1" x14ac:dyDescent="0.35">
      <c r="A1350">
        <v>5864810</v>
      </c>
      <c r="B1350">
        <v>1090005864801</v>
      </c>
      <c r="D1350">
        <v>20278448399</v>
      </c>
      <c r="E1350" t="s">
        <v>1205</v>
      </c>
      <c r="F1350" t="s">
        <v>1</v>
      </c>
      <c r="G1350" t="s">
        <v>395</v>
      </c>
      <c r="H1350" t="s">
        <v>56</v>
      </c>
      <c r="I1350">
        <v>6380</v>
      </c>
      <c r="J1350">
        <v>21</v>
      </c>
      <c r="K1350" t="s">
        <v>33</v>
      </c>
      <c r="L1350">
        <v>82963</v>
      </c>
      <c r="M1350" t="s">
        <v>396</v>
      </c>
      <c r="N1350">
        <v>1</v>
      </c>
      <c r="O1350" t="s">
        <v>119</v>
      </c>
      <c r="P1350" t="s">
        <v>1883</v>
      </c>
      <c r="Q1350">
        <v>477.1</v>
      </c>
      <c r="R1350">
        <v>13000</v>
      </c>
      <c r="S1350">
        <v>52</v>
      </c>
      <c r="T1350">
        <v>250</v>
      </c>
      <c r="U1350">
        <v>26</v>
      </c>
      <c r="V1350">
        <v>1407</v>
      </c>
      <c r="W1350" t="s">
        <v>121</v>
      </c>
      <c r="X1350" t="s">
        <v>1</v>
      </c>
      <c r="Y1350">
        <v>671279.7</v>
      </c>
      <c r="Z1350">
        <v>18291000</v>
      </c>
      <c r="AA1350">
        <v>351750</v>
      </c>
      <c r="AB1350">
        <v>106</v>
      </c>
      <c r="AC1350" s="34">
        <v>46081</v>
      </c>
      <c r="AD1350" s="34">
        <v>46188</v>
      </c>
      <c r="AF1350">
        <v>0</v>
      </c>
      <c r="AG1350">
        <v>477.1</v>
      </c>
      <c r="AH1350">
        <v>0</v>
      </c>
      <c r="AI1350">
        <v>671279.7</v>
      </c>
      <c r="AJ1350">
        <v>0</v>
      </c>
      <c r="AK1350">
        <v>0</v>
      </c>
      <c r="AL1350">
        <v>168488.25</v>
      </c>
      <c r="AM1350">
        <v>0</v>
      </c>
      <c r="AN1350">
        <v>839767.95</v>
      </c>
      <c r="AO1350" t="s">
        <v>122</v>
      </c>
      <c r="AP1350">
        <v>12</v>
      </c>
      <c r="AQ1350">
        <v>57.25</v>
      </c>
      <c r="AR1350">
        <v>80550.75</v>
      </c>
      <c r="AT1350">
        <v>7800</v>
      </c>
      <c r="AU1350">
        <v>286.26</v>
      </c>
      <c r="AV1350">
        <v>10974600</v>
      </c>
      <c r="AW1350">
        <v>402767.82</v>
      </c>
    </row>
    <row r="1351" spans="1:49" hidden="1" x14ac:dyDescent="0.35">
      <c r="A1351">
        <v>5864910</v>
      </c>
      <c r="B1351">
        <v>1090005864901</v>
      </c>
      <c r="D1351">
        <v>30717689123</v>
      </c>
      <c r="E1351" t="s">
        <v>1444</v>
      </c>
      <c r="F1351" t="s">
        <v>1</v>
      </c>
      <c r="G1351" t="s">
        <v>1642</v>
      </c>
      <c r="H1351" t="s">
        <v>56</v>
      </c>
      <c r="I1351">
        <v>6380</v>
      </c>
      <c r="J1351">
        <v>21</v>
      </c>
      <c r="K1351" t="s">
        <v>33</v>
      </c>
      <c r="L1351">
        <v>82963</v>
      </c>
      <c r="M1351" t="s">
        <v>396</v>
      </c>
      <c r="N1351">
        <v>1</v>
      </c>
      <c r="O1351" t="s">
        <v>119</v>
      </c>
      <c r="P1351" t="s">
        <v>1884</v>
      </c>
      <c r="Q1351">
        <v>477.1</v>
      </c>
      <c r="R1351">
        <v>13000</v>
      </c>
      <c r="S1351">
        <v>52</v>
      </c>
      <c r="T1351">
        <v>250</v>
      </c>
      <c r="U1351">
        <v>26</v>
      </c>
      <c r="V1351">
        <v>1416</v>
      </c>
      <c r="W1351" t="s">
        <v>121</v>
      </c>
      <c r="X1351" t="s">
        <v>1</v>
      </c>
      <c r="Y1351">
        <v>675573.6</v>
      </c>
      <c r="Z1351">
        <v>18408000</v>
      </c>
      <c r="AA1351">
        <v>354000</v>
      </c>
      <c r="AB1351">
        <v>106</v>
      </c>
      <c r="AC1351" s="34">
        <v>46081</v>
      </c>
      <c r="AD1351" s="34">
        <v>46173</v>
      </c>
      <c r="AE1351" t="s">
        <v>161</v>
      </c>
      <c r="AF1351">
        <v>0</v>
      </c>
      <c r="AG1351">
        <v>477.1</v>
      </c>
      <c r="AH1351">
        <v>0</v>
      </c>
      <c r="AI1351">
        <v>675573.6</v>
      </c>
      <c r="AJ1351">
        <v>0</v>
      </c>
      <c r="AK1351">
        <v>0</v>
      </c>
      <c r="AL1351">
        <v>169566</v>
      </c>
      <c r="AM1351">
        <v>0</v>
      </c>
      <c r="AN1351">
        <v>845139.6</v>
      </c>
      <c r="AO1351" t="s">
        <v>122</v>
      </c>
      <c r="AP1351">
        <v>12</v>
      </c>
      <c r="AQ1351">
        <v>57.25</v>
      </c>
      <c r="AR1351">
        <v>81066</v>
      </c>
      <c r="AT1351">
        <v>7800</v>
      </c>
      <c r="AU1351">
        <v>286.26</v>
      </c>
      <c r="AV1351">
        <v>11044800</v>
      </c>
      <c r="AW1351">
        <v>405344.16</v>
      </c>
    </row>
    <row r="1352" spans="1:49" hidden="1" x14ac:dyDescent="0.35">
      <c r="A1352">
        <v>5865010</v>
      </c>
      <c r="B1352">
        <v>1090005865001</v>
      </c>
      <c r="D1352">
        <v>30717389405</v>
      </c>
      <c r="E1352" t="s">
        <v>572</v>
      </c>
      <c r="F1352" t="s">
        <v>1</v>
      </c>
      <c r="G1352" t="s">
        <v>1885</v>
      </c>
      <c r="H1352" t="s">
        <v>56</v>
      </c>
      <c r="I1352">
        <v>6315</v>
      </c>
      <c r="J1352">
        <v>21</v>
      </c>
      <c r="K1352" t="s">
        <v>33</v>
      </c>
      <c r="L1352">
        <v>6127</v>
      </c>
      <c r="M1352" t="s">
        <v>118</v>
      </c>
      <c r="N1352">
        <v>1</v>
      </c>
      <c r="O1352" t="s">
        <v>119</v>
      </c>
      <c r="P1352" t="s">
        <v>1886</v>
      </c>
      <c r="Q1352">
        <v>687.3</v>
      </c>
      <c r="R1352">
        <v>21750</v>
      </c>
      <c r="S1352">
        <v>145</v>
      </c>
      <c r="T1352">
        <v>150</v>
      </c>
      <c r="U1352">
        <v>26</v>
      </c>
      <c r="V1352">
        <v>1400</v>
      </c>
      <c r="W1352" t="s">
        <v>121</v>
      </c>
      <c r="X1352" t="s">
        <v>1</v>
      </c>
      <c r="Y1352">
        <v>962220</v>
      </c>
      <c r="Z1352">
        <v>30450000</v>
      </c>
      <c r="AA1352">
        <v>210000</v>
      </c>
      <c r="AB1352">
        <v>106</v>
      </c>
      <c r="AC1352" s="34">
        <v>46093</v>
      </c>
      <c r="AD1352" s="34">
        <v>46188</v>
      </c>
      <c r="AF1352">
        <v>0</v>
      </c>
      <c r="AG1352">
        <v>687.3</v>
      </c>
      <c r="AH1352">
        <v>0</v>
      </c>
      <c r="AI1352">
        <v>962220</v>
      </c>
      <c r="AJ1352">
        <v>0</v>
      </c>
      <c r="AK1352">
        <v>0</v>
      </c>
      <c r="AL1352">
        <v>241514</v>
      </c>
      <c r="AM1352">
        <v>0</v>
      </c>
      <c r="AN1352">
        <v>1203734</v>
      </c>
      <c r="AO1352" t="s">
        <v>122</v>
      </c>
      <c r="AP1352">
        <v>12.000999999999999</v>
      </c>
      <c r="AQ1352">
        <v>82.48</v>
      </c>
      <c r="AR1352">
        <v>115472</v>
      </c>
      <c r="AT1352">
        <v>13050</v>
      </c>
      <c r="AU1352">
        <v>412.38</v>
      </c>
      <c r="AV1352">
        <v>18270000</v>
      </c>
      <c r="AW1352">
        <v>577332</v>
      </c>
    </row>
    <row r="1353" spans="1:49" hidden="1" x14ac:dyDescent="0.35">
      <c r="A1353">
        <v>5865110</v>
      </c>
      <c r="B1353">
        <v>1090005865101</v>
      </c>
      <c r="D1353">
        <v>33709819769</v>
      </c>
      <c r="E1353" t="s">
        <v>830</v>
      </c>
      <c r="F1353" t="s">
        <v>1</v>
      </c>
      <c r="G1353" t="s">
        <v>370</v>
      </c>
      <c r="H1353" t="s">
        <v>58</v>
      </c>
      <c r="I1353">
        <v>6333</v>
      </c>
      <c r="J1353">
        <v>21</v>
      </c>
      <c r="K1353" t="s">
        <v>33</v>
      </c>
      <c r="L1353">
        <v>6127</v>
      </c>
      <c r="M1353" t="s">
        <v>118</v>
      </c>
      <c r="N1353">
        <v>1</v>
      </c>
      <c r="O1353" t="s">
        <v>125</v>
      </c>
      <c r="P1353" t="s">
        <v>573</v>
      </c>
      <c r="Q1353">
        <v>2047.5</v>
      </c>
      <c r="R1353">
        <v>58500</v>
      </c>
      <c r="S1353">
        <v>195</v>
      </c>
      <c r="T1353">
        <v>300</v>
      </c>
      <c r="U1353">
        <v>26</v>
      </c>
      <c r="V1353">
        <v>1400</v>
      </c>
      <c r="W1353" t="s">
        <v>121</v>
      </c>
      <c r="X1353" t="s">
        <v>1</v>
      </c>
      <c r="Y1353">
        <v>2866500</v>
      </c>
      <c r="Z1353">
        <v>81900000</v>
      </c>
      <c r="AA1353">
        <v>420000</v>
      </c>
      <c r="AB1353">
        <v>214</v>
      </c>
      <c r="AC1353" s="34">
        <v>45938</v>
      </c>
      <c r="AD1353" s="34">
        <v>46022</v>
      </c>
      <c r="AF1353">
        <v>0</v>
      </c>
      <c r="AG1353">
        <v>3985.5</v>
      </c>
      <c r="AH1353">
        <v>0</v>
      </c>
      <c r="AI1353">
        <v>5579700</v>
      </c>
      <c r="AJ1353">
        <v>0</v>
      </c>
      <c r="AK1353">
        <v>0</v>
      </c>
      <c r="AL1353">
        <v>1400518</v>
      </c>
      <c r="AM1353">
        <v>0</v>
      </c>
      <c r="AN1353">
        <v>6980218</v>
      </c>
      <c r="AO1353" t="s">
        <v>122</v>
      </c>
      <c r="AP1353">
        <v>12</v>
      </c>
      <c r="AQ1353">
        <v>478.26</v>
      </c>
      <c r="AR1353">
        <v>669564</v>
      </c>
      <c r="AT1353">
        <v>35100</v>
      </c>
      <c r="AU1353">
        <v>1228.5</v>
      </c>
      <c r="AV1353">
        <v>49140000</v>
      </c>
      <c r="AW1353">
        <v>1719900</v>
      </c>
    </row>
    <row r="1354" spans="1:49" hidden="1" x14ac:dyDescent="0.35">
      <c r="A1354">
        <v>5865110</v>
      </c>
      <c r="B1354">
        <v>1090005865101</v>
      </c>
      <c r="D1354">
        <v>33709819769</v>
      </c>
      <c r="E1354" t="s">
        <v>830</v>
      </c>
      <c r="F1354" t="s">
        <v>1</v>
      </c>
      <c r="G1354" t="s">
        <v>56</v>
      </c>
      <c r="H1354" t="s">
        <v>56</v>
      </c>
      <c r="I1354">
        <v>6381</v>
      </c>
      <c r="J1354">
        <v>21</v>
      </c>
      <c r="K1354" t="s">
        <v>33</v>
      </c>
      <c r="L1354">
        <v>6127</v>
      </c>
      <c r="M1354" t="s">
        <v>118</v>
      </c>
      <c r="N1354">
        <v>2</v>
      </c>
      <c r="O1354" t="s">
        <v>125</v>
      </c>
      <c r="P1354" t="s">
        <v>1887</v>
      </c>
      <c r="Q1354">
        <v>1140</v>
      </c>
      <c r="R1354">
        <v>30000</v>
      </c>
      <c r="S1354">
        <v>100</v>
      </c>
      <c r="T1354">
        <v>300</v>
      </c>
      <c r="U1354">
        <v>26</v>
      </c>
      <c r="V1354">
        <v>1400</v>
      </c>
      <c r="W1354" t="s">
        <v>121</v>
      </c>
      <c r="X1354" t="s">
        <v>1</v>
      </c>
      <c r="Y1354">
        <v>1596000</v>
      </c>
      <c r="Z1354">
        <v>42000000</v>
      </c>
      <c r="AA1354">
        <v>420000</v>
      </c>
      <c r="AB1354">
        <v>214</v>
      </c>
      <c r="AC1354" s="34">
        <v>45938</v>
      </c>
      <c r="AD1354" s="34">
        <v>46022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 t="s">
        <v>122</v>
      </c>
      <c r="AT1354">
        <v>18000</v>
      </c>
      <c r="AU1354">
        <v>684</v>
      </c>
      <c r="AV1354">
        <v>25200000</v>
      </c>
      <c r="AW1354">
        <v>957600</v>
      </c>
    </row>
    <row r="1355" spans="1:49" hidden="1" x14ac:dyDescent="0.35">
      <c r="A1355">
        <v>5865110</v>
      </c>
      <c r="B1355">
        <v>1090005865101</v>
      </c>
      <c r="D1355">
        <v>33709819769</v>
      </c>
      <c r="E1355" t="s">
        <v>830</v>
      </c>
      <c r="F1355" t="s">
        <v>1</v>
      </c>
      <c r="G1355" t="s">
        <v>56</v>
      </c>
      <c r="H1355" t="s">
        <v>56</v>
      </c>
      <c r="I1355">
        <v>6381</v>
      </c>
      <c r="J1355">
        <v>21</v>
      </c>
      <c r="K1355" t="s">
        <v>33</v>
      </c>
      <c r="L1355">
        <v>6127</v>
      </c>
      <c r="M1355" t="s">
        <v>118</v>
      </c>
      <c r="N1355">
        <v>3</v>
      </c>
      <c r="O1355" t="s">
        <v>125</v>
      </c>
      <c r="P1355" t="s">
        <v>1888</v>
      </c>
      <c r="Q1355">
        <v>547.20000000000005</v>
      </c>
      <c r="R1355">
        <v>14400</v>
      </c>
      <c r="S1355">
        <v>48</v>
      </c>
      <c r="T1355">
        <v>300</v>
      </c>
      <c r="U1355">
        <v>26</v>
      </c>
      <c r="V1355">
        <v>1400</v>
      </c>
      <c r="W1355" t="s">
        <v>121</v>
      </c>
      <c r="X1355" t="s">
        <v>1</v>
      </c>
      <c r="Y1355">
        <v>766080</v>
      </c>
      <c r="Z1355">
        <v>20160000</v>
      </c>
      <c r="AA1355">
        <v>420000</v>
      </c>
      <c r="AB1355">
        <v>214</v>
      </c>
      <c r="AC1355" s="34">
        <v>45938</v>
      </c>
      <c r="AD1355" s="34">
        <v>46022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 t="s">
        <v>122</v>
      </c>
      <c r="AT1355">
        <v>8640</v>
      </c>
      <c r="AU1355">
        <v>328.32</v>
      </c>
      <c r="AV1355">
        <v>12096000</v>
      </c>
      <c r="AW1355">
        <v>459648</v>
      </c>
    </row>
    <row r="1356" spans="1:49" hidden="1" x14ac:dyDescent="0.35">
      <c r="A1356">
        <v>5865110</v>
      </c>
      <c r="B1356">
        <v>1090005865101</v>
      </c>
      <c r="D1356">
        <v>33709819769</v>
      </c>
      <c r="E1356" t="s">
        <v>830</v>
      </c>
      <c r="F1356" t="s">
        <v>1</v>
      </c>
      <c r="G1356" t="s">
        <v>56</v>
      </c>
      <c r="H1356" t="s">
        <v>56</v>
      </c>
      <c r="I1356">
        <v>6381</v>
      </c>
      <c r="J1356">
        <v>21</v>
      </c>
      <c r="K1356" t="s">
        <v>33</v>
      </c>
      <c r="L1356">
        <v>6127</v>
      </c>
      <c r="M1356" t="s">
        <v>118</v>
      </c>
      <c r="N1356">
        <v>4</v>
      </c>
      <c r="O1356" t="s">
        <v>125</v>
      </c>
      <c r="P1356" t="s">
        <v>1889</v>
      </c>
      <c r="Q1356">
        <v>250.8</v>
      </c>
      <c r="R1356">
        <v>6600</v>
      </c>
      <c r="S1356">
        <v>22</v>
      </c>
      <c r="T1356">
        <v>300</v>
      </c>
      <c r="U1356">
        <v>26</v>
      </c>
      <c r="V1356">
        <v>1400</v>
      </c>
      <c r="W1356" t="s">
        <v>121</v>
      </c>
      <c r="X1356" t="s">
        <v>1</v>
      </c>
      <c r="Y1356">
        <v>351120</v>
      </c>
      <c r="Z1356">
        <v>9240000</v>
      </c>
      <c r="AA1356">
        <v>420000</v>
      </c>
      <c r="AB1356">
        <v>214</v>
      </c>
      <c r="AC1356" s="34">
        <v>45938</v>
      </c>
      <c r="AD1356" s="34">
        <v>46022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 t="s">
        <v>122</v>
      </c>
      <c r="AT1356">
        <v>3960</v>
      </c>
      <c r="AU1356">
        <v>150.47999999999999</v>
      </c>
      <c r="AV1356">
        <v>5544000</v>
      </c>
      <c r="AW1356">
        <v>210672</v>
      </c>
    </row>
    <row r="1357" spans="1:49" hidden="1" x14ac:dyDescent="0.35">
      <c r="A1357">
        <v>5865210</v>
      </c>
      <c r="B1357">
        <v>1090005865201</v>
      </c>
      <c r="D1357">
        <v>30694863791</v>
      </c>
      <c r="E1357" t="s">
        <v>1291</v>
      </c>
      <c r="F1357" t="s">
        <v>1</v>
      </c>
      <c r="G1357" t="s">
        <v>568</v>
      </c>
      <c r="H1357" t="s">
        <v>57</v>
      </c>
      <c r="I1357">
        <v>6360</v>
      </c>
      <c r="J1357">
        <v>21</v>
      </c>
      <c r="K1357" t="s">
        <v>33</v>
      </c>
      <c r="L1357">
        <v>6127</v>
      </c>
      <c r="M1357" t="s">
        <v>118</v>
      </c>
      <c r="N1357">
        <v>1</v>
      </c>
      <c r="O1357" t="s">
        <v>125</v>
      </c>
      <c r="P1357" t="s">
        <v>683</v>
      </c>
      <c r="Q1357">
        <v>378</v>
      </c>
      <c r="R1357">
        <v>12000</v>
      </c>
      <c r="S1357">
        <v>40</v>
      </c>
      <c r="T1357">
        <v>300</v>
      </c>
      <c r="U1357">
        <v>26</v>
      </c>
      <c r="V1357">
        <v>1400</v>
      </c>
      <c r="W1357" t="s">
        <v>121</v>
      </c>
      <c r="X1357" t="s">
        <v>1</v>
      </c>
      <c r="Y1357">
        <v>529200</v>
      </c>
      <c r="Z1357">
        <v>16800000</v>
      </c>
      <c r="AA1357">
        <v>420000</v>
      </c>
      <c r="AB1357">
        <v>214</v>
      </c>
      <c r="AC1357" s="34">
        <v>45939</v>
      </c>
      <c r="AD1357" s="34">
        <v>46022</v>
      </c>
      <c r="AF1357">
        <v>0</v>
      </c>
      <c r="AG1357">
        <v>378</v>
      </c>
      <c r="AH1357">
        <v>0</v>
      </c>
      <c r="AI1357">
        <v>529200</v>
      </c>
      <c r="AJ1357">
        <v>0</v>
      </c>
      <c r="AK1357">
        <v>0</v>
      </c>
      <c r="AL1357">
        <v>132832</v>
      </c>
      <c r="AM1357">
        <v>0</v>
      </c>
      <c r="AN1357">
        <v>662032</v>
      </c>
      <c r="AO1357" t="s">
        <v>122</v>
      </c>
      <c r="AP1357">
        <v>12</v>
      </c>
      <c r="AQ1357">
        <v>45.36</v>
      </c>
      <c r="AR1357">
        <v>63504</v>
      </c>
      <c r="AT1357">
        <v>7200</v>
      </c>
      <c r="AU1357">
        <v>226.8</v>
      </c>
      <c r="AV1357">
        <v>10080000</v>
      </c>
      <c r="AW1357">
        <v>317520</v>
      </c>
    </row>
    <row r="1358" spans="1:49" hidden="1" x14ac:dyDescent="0.35">
      <c r="A1358">
        <v>5865310</v>
      </c>
      <c r="B1358">
        <v>1090005865301</v>
      </c>
      <c r="D1358">
        <v>20117223273</v>
      </c>
      <c r="E1358" t="s">
        <v>1035</v>
      </c>
      <c r="F1358" t="s">
        <v>1</v>
      </c>
      <c r="G1358" t="s">
        <v>680</v>
      </c>
      <c r="H1358" t="s">
        <v>55</v>
      </c>
      <c r="I1358">
        <v>6220</v>
      </c>
      <c r="J1358">
        <v>21</v>
      </c>
      <c r="K1358" t="s">
        <v>33</v>
      </c>
      <c r="L1358">
        <v>6127</v>
      </c>
      <c r="M1358" t="s">
        <v>118</v>
      </c>
      <c r="N1358">
        <v>1</v>
      </c>
      <c r="O1358" t="s">
        <v>125</v>
      </c>
      <c r="P1358" t="s">
        <v>1890</v>
      </c>
      <c r="Q1358">
        <v>960</v>
      </c>
      <c r="R1358">
        <v>24000</v>
      </c>
      <c r="S1358">
        <v>60</v>
      </c>
      <c r="T1358">
        <v>400</v>
      </c>
      <c r="U1358">
        <v>26</v>
      </c>
      <c r="V1358">
        <v>1396</v>
      </c>
      <c r="W1358" t="s">
        <v>121</v>
      </c>
      <c r="X1358" t="s">
        <v>1</v>
      </c>
      <c r="Y1358">
        <v>1340160</v>
      </c>
      <c r="Z1358">
        <v>33504000</v>
      </c>
      <c r="AA1358">
        <v>558400</v>
      </c>
      <c r="AB1358">
        <v>214</v>
      </c>
      <c r="AC1358" s="34">
        <v>45922</v>
      </c>
      <c r="AD1358" s="34">
        <v>46022</v>
      </c>
      <c r="AE1358" t="s">
        <v>161</v>
      </c>
      <c r="AF1358">
        <v>0</v>
      </c>
      <c r="AG1358">
        <v>3410</v>
      </c>
      <c r="AH1358">
        <v>0</v>
      </c>
      <c r="AI1358">
        <v>4760360</v>
      </c>
      <c r="AJ1358">
        <v>0</v>
      </c>
      <c r="AK1358">
        <v>0</v>
      </c>
      <c r="AL1358">
        <v>1194850.3600000001</v>
      </c>
      <c r="AM1358">
        <v>0</v>
      </c>
      <c r="AN1358">
        <v>5955210.3600000003</v>
      </c>
      <c r="AO1358" t="s">
        <v>122</v>
      </c>
      <c r="AP1358">
        <v>12</v>
      </c>
      <c r="AQ1358">
        <v>409.2</v>
      </c>
      <c r="AR1358">
        <v>571243.19999999995</v>
      </c>
      <c r="AT1358">
        <v>14400</v>
      </c>
      <c r="AU1358">
        <v>576</v>
      </c>
      <c r="AV1358">
        <v>20102400</v>
      </c>
      <c r="AW1358">
        <v>804096</v>
      </c>
    </row>
    <row r="1359" spans="1:49" hidden="1" x14ac:dyDescent="0.35">
      <c r="A1359">
        <v>5865310</v>
      </c>
      <c r="B1359">
        <v>1090005865301</v>
      </c>
      <c r="D1359">
        <v>20117223273</v>
      </c>
      <c r="E1359" t="s">
        <v>1035</v>
      </c>
      <c r="F1359" t="s">
        <v>1</v>
      </c>
      <c r="G1359" t="s">
        <v>568</v>
      </c>
      <c r="H1359" t="s">
        <v>57</v>
      </c>
      <c r="I1359">
        <v>6360</v>
      </c>
      <c r="J1359">
        <v>21</v>
      </c>
      <c r="K1359" t="s">
        <v>33</v>
      </c>
      <c r="L1359">
        <v>6127</v>
      </c>
      <c r="M1359" t="s">
        <v>118</v>
      </c>
      <c r="N1359">
        <v>2</v>
      </c>
      <c r="O1359" t="s">
        <v>125</v>
      </c>
      <c r="P1359" t="s">
        <v>1891</v>
      </c>
      <c r="Q1359">
        <v>1890</v>
      </c>
      <c r="R1359">
        <v>54000</v>
      </c>
      <c r="S1359">
        <v>135</v>
      </c>
      <c r="T1359">
        <v>400</v>
      </c>
      <c r="U1359">
        <v>26</v>
      </c>
      <c r="V1359">
        <v>1396</v>
      </c>
      <c r="W1359" t="s">
        <v>121</v>
      </c>
      <c r="X1359" t="s">
        <v>1</v>
      </c>
      <c r="Y1359">
        <v>2638440</v>
      </c>
      <c r="Z1359">
        <v>75384000</v>
      </c>
      <c r="AA1359">
        <v>558400</v>
      </c>
      <c r="AB1359">
        <v>214</v>
      </c>
      <c r="AC1359" s="34">
        <v>45922</v>
      </c>
      <c r="AD1359" s="34">
        <v>46022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 t="s">
        <v>122</v>
      </c>
      <c r="AT1359">
        <v>32400</v>
      </c>
      <c r="AU1359">
        <v>1134</v>
      </c>
      <c r="AV1359">
        <v>45230400</v>
      </c>
      <c r="AW1359">
        <v>1583064</v>
      </c>
    </row>
    <row r="1360" spans="1:49" hidden="1" x14ac:dyDescent="0.35">
      <c r="A1360">
        <v>5865310</v>
      </c>
      <c r="B1360">
        <v>1090005865301</v>
      </c>
      <c r="D1360">
        <v>20117223273</v>
      </c>
      <c r="E1360" t="s">
        <v>1035</v>
      </c>
      <c r="F1360" t="s">
        <v>1</v>
      </c>
      <c r="G1360" t="s">
        <v>680</v>
      </c>
      <c r="H1360" t="s">
        <v>55</v>
      </c>
      <c r="I1360">
        <v>6220</v>
      </c>
      <c r="J1360">
        <v>21</v>
      </c>
      <c r="K1360" t="s">
        <v>33</v>
      </c>
      <c r="L1360">
        <v>6127</v>
      </c>
      <c r="M1360" t="s">
        <v>118</v>
      </c>
      <c r="N1360">
        <v>3</v>
      </c>
      <c r="O1360" t="s">
        <v>125</v>
      </c>
      <c r="P1360" t="s">
        <v>1892</v>
      </c>
      <c r="Q1360">
        <v>560</v>
      </c>
      <c r="R1360">
        <v>14000</v>
      </c>
      <c r="S1360">
        <v>35</v>
      </c>
      <c r="T1360">
        <v>400</v>
      </c>
      <c r="U1360">
        <v>26</v>
      </c>
      <c r="V1360">
        <v>1396</v>
      </c>
      <c r="W1360" t="s">
        <v>121</v>
      </c>
      <c r="X1360" t="s">
        <v>1</v>
      </c>
      <c r="Y1360">
        <v>781760</v>
      </c>
      <c r="Z1360">
        <v>19544000</v>
      </c>
      <c r="AA1360">
        <v>558400</v>
      </c>
      <c r="AB1360">
        <v>214</v>
      </c>
      <c r="AC1360" s="34">
        <v>45922</v>
      </c>
      <c r="AD1360" s="34">
        <v>46022</v>
      </c>
      <c r="AE1360" t="s">
        <v>161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 t="s">
        <v>122</v>
      </c>
      <c r="AT1360">
        <v>8400</v>
      </c>
      <c r="AU1360">
        <v>336</v>
      </c>
      <c r="AV1360">
        <v>11726400</v>
      </c>
      <c r="AW1360">
        <v>469056</v>
      </c>
    </row>
    <row r="1361" spans="1:49" hidden="1" x14ac:dyDescent="0.35">
      <c r="A1361">
        <v>5865410</v>
      </c>
      <c r="B1361">
        <v>1250005865401</v>
      </c>
      <c r="D1361">
        <v>30714601365</v>
      </c>
      <c r="E1361" t="s">
        <v>1893</v>
      </c>
      <c r="F1361" t="s">
        <v>1</v>
      </c>
      <c r="G1361" t="s">
        <v>1894</v>
      </c>
      <c r="H1361" t="s">
        <v>1895</v>
      </c>
      <c r="I1361">
        <v>5972</v>
      </c>
      <c r="J1361">
        <v>3</v>
      </c>
      <c r="K1361" t="s">
        <v>32</v>
      </c>
      <c r="L1361">
        <v>14392</v>
      </c>
      <c r="M1361" t="s">
        <v>1896</v>
      </c>
      <c r="N1361">
        <v>1</v>
      </c>
      <c r="O1361" t="s">
        <v>119</v>
      </c>
      <c r="P1361" t="s">
        <v>1897</v>
      </c>
      <c r="Q1361">
        <v>700.55</v>
      </c>
      <c r="R1361">
        <v>15065.6</v>
      </c>
      <c r="S1361">
        <v>214</v>
      </c>
      <c r="T1361">
        <v>70.400000000000006</v>
      </c>
      <c r="U1361">
        <v>26</v>
      </c>
      <c r="V1361">
        <v>1396</v>
      </c>
      <c r="W1361" t="s">
        <v>121</v>
      </c>
      <c r="X1361" t="s">
        <v>1</v>
      </c>
      <c r="Y1361">
        <v>977967.8</v>
      </c>
      <c r="Z1361">
        <v>21031577.600000001</v>
      </c>
      <c r="AA1361">
        <v>98278.399999999994</v>
      </c>
      <c r="AB1361">
        <v>106</v>
      </c>
      <c r="AC1361" s="34">
        <v>46053</v>
      </c>
      <c r="AD1361" s="34">
        <v>46173</v>
      </c>
      <c r="AF1361">
        <v>0</v>
      </c>
      <c r="AG1361">
        <v>864.23</v>
      </c>
      <c r="AH1361">
        <v>0</v>
      </c>
      <c r="AI1361">
        <v>1206465.08</v>
      </c>
      <c r="AJ1361">
        <v>0</v>
      </c>
      <c r="AK1361">
        <v>0</v>
      </c>
      <c r="AL1361">
        <v>314895.71999999997</v>
      </c>
      <c r="AM1361">
        <v>0</v>
      </c>
      <c r="AN1361">
        <v>1521360.8</v>
      </c>
      <c r="AO1361" t="s">
        <v>122</v>
      </c>
      <c r="AP1361">
        <v>14.999000000000001</v>
      </c>
      <c r="AQ1361">
        <v>129.63</v>
      </c>
      <c r="AR1361">
        <v>180963.48</v>
      </c>
      <c r="AT1361">
        <v>9039.36</v>
      </c>
      <c r="AU1361">
        <v>420.33</v>
      </c>
      <c r="AV1361">
        <v>12618946.560000001</v>
      </c>
      <c r="AW1361">
        <v>586780.68000000005</v>
      </c>
    </row>
    <row r="1362" spans="1:49" hidden="1" x14ac:dyDescent="0.35">
      <c r="A1362">
        <v>5865410</v>
      </c>
      <c r="B1362">
        <v>1250005865401</v>
      </c>
      <c r="D1362">
        <v>30714601365</v>
      </c>
      <c r="E1362" t="s">
        <v>1893</v>
      </c>
      <c r="F1362" t="s">
        <v>1</v>
      </c>
      <c r="G1362" t="s">
        <v>1898</v>
      </c>
      <c r="H1362" t="s">
        <v>1895</v>
      </c>
      <c r="I1362">
        <v>5974</v>
      </c>
      <c r="J1362">
        <v>3</v>
      </c>
      <c r="K1362" t="s">
        <v>32</v>
      </c>
      <c r="L1362">
        <v>14392</v>
      </c>
      <c r="M1362" t="s">
        <v>1896</v>
      </c>
      <c r="N1362">
        <v>2</v>
      </c>
      <c r="O1362" t="s">
        <v>119</v>
      </c>
      <c r="P1362" t="s">
        <v>1899</v>
      </c>
      <c r="Q1362">
        <v>163.68</v>
      </c>
      <c r="R1362">
        <v>3520</v>
      </c>
      <c r="S1362">
        <v>50</v>
      </c>
      <c r="T1362">
        <v>70.400000000000006</v>
      </c>
      <c r="U1362">
        <v>26</v>
      </c>
      <c r="V1362">
        <v>1396</v>
      </c>
      <c r="W1362" t="s">
        <v>121</v>
      </c>
      <c r="X1362" t="s">
        <v>1</v>
      </c>
      <c r="Y1362">
        <v>228497.28</v>
      </c>
      <c r="Z1362">
        <v>4913920</v>
      </c>
      <c r="AA1362">
        <v>98278.399999999994</v>
      </c>
      <c r="AB1362">
        <v>106</v>
      </c>
      <c r="AC1362" s="34">
        <v>46053</v>
      </c>
      <c r="AD1362" s="34">
        <v>46173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 t="s">
        <v>122</v>
      </c>
      <c r="AT1362">
        <v>2112</v>
      </c>
      <c r="AU1362">
        <v>98.21</v>
      </c>
      <c r="AV1362">
        <v>2948352</v>
      </c>
      <c r="AW1362">
        <v>137101.16</v>
      </c>
    </row>
    <row r="1363" spans="1:49" hidden="1" x14ac:dyDescent="0.35">
      <c r="A1363">
        <v>5865510</v>
      </c>
      <c r="B1363">
        <v>1250005865501</v>
      </c>
      <c r="D1363">
        <v>20283595057</v>
      </c>
      <c r="E1363" t="s">
        <v>1900</v>
      </c>
      <c r="F1363" t="s">
        <v>1</v>
      </c>
      <c r="G1363" t="s">
        <v>1898</v>
      </c>
      <c r="H1363" t="s">
        <v>1895</v>
      </c>
      <c r="I1363">
        <v>5974</v>
      </c>
      <c r="J1363">
        <v>3</v>
      </c>
      <c r="K1363" t="s">
        <v>32</v>
      </c>
      <c r="L1363">
        <v>14392</v>
      </c>
      <c r="M1363" t="s">
        <v>1896</v>
      </c>
      <c r="N1363">
        <v>1</v>
      </c>
      <c r="O1363" t="s">
        <v>119</v>
      </c>
      <c r="P1363" t="s">
        <v>1901</v>
      </c>
      <c r="Q1363">
        <v>780.16</v>
      </c>
      <c r="R1363">
        <v>16777.599999999999</v>
      </c>
      <c r="S1363">
        <v>214</v>
      </c>
      <c r="T1363">
        <v>78.400000000000006</v>
      </c>
      <c r="U1363">
        <v>26</v>
      </c>
      <c r="V1363">
        <v>1396</v>
      </c>
      <c r="W1363" t="s">
        <v>121</v>
      </c>
      <c r="X1363" t="s">
        <v>1</v>
      </c>
      <c r="Y1363">
        <v>1089103.3600000001</v>
      </c>
      <c r="Z1363">
        <v>23421529.600000001</v>
      </c>
      <c r="AA1363">
        <v>109446.39999999999</v>
      </c>
      <c r="AB1363">
        <v>106</v>
      </c>
      <c r="AC1363" s="34">
        <v>46053</v>
      </c>
      <c r="AD1363" s="34">
        <v>46173</v>
      </c>
      <c r="AF1363">
        <v>0</v>
      </c>
      <c r="AG1363">
        <v>962.44</v>
      </c>
      <c r="AH1363">
        <v>0</v>
      </c>
      <c r="AI1363">
        <v>1343566.24</v>
      </c>
      <c r="AJ1363">
        <v>0</v>
      </c>
      <c r="AK1363">
        <v>0</v>
      </c>
      <c r="AL1363">
        <v>350647.28</v>
      </c>
      <c r="AM1363">
        <v>0</v>
      </c>
      <c r="AN1363">
        <v>1694213.52</v>
      </c>
      <c r="AO1363" t="s">
        <v>122</v>
      </c>
      <c r="AP1363">
        <v>15</v>
      </c>
      <c r="AQ1363">
        <v>144.37</v>
      </c>
      <c r="AR1363">
        <v>201540.52</v>
      </c>
      <c r="AT1363">
        <v>10066.56</v>
      </c>
      <c r="AU1363">
        <v>468.1</v>
      </c>
      <c r="AV1363">
        <v>14052917.76</v>
      </c>
      <c r="AW1363">
        <v>653467.6</v>
      </c>
    </row>
    <row r="1364" spans="1:49" hidden="1" x14ac:dyDescent="0.35">
      <c r="A1364">
        <v>5865510</v>
      </c>
      <c r="B1364">
        <v>1250005865501</v>
      </c>
      <c r="D1364">
        <v>20283595057</v>
      </c>
      <c r="E1364" t="s">
        <v>1900</v>
      </c>
      <c r="F1364" t="s">
        <v>1</v>
      </c>
      <c r="G1364" t="s">
        <v>1898</v>
      </c>
      <c r="H1364" t="s">
        <v>1895</v>
      </c>
      <c r="I1364">
        <v>5974</v>
      </c>
      <c r="J1364">
        <v>3</v>
      </c>
      <c r="K1364" t="s">
        <v>32</v>
      </c>
      <c r="L1364">
        <v>14392</v>
      </c>
      <c r="M1364" t="s">
        <v>1896</v>
      </c>
      <c r="N1364">
        <v>2</v>
      </c>
      <c r="O1364" t="s">
        <v>119</v>
      </c>
      <c r="P1364" t="s">
        <v>1899</v>
      </c>
      <c r="Q1364">
        <v>182.28</v>
      </c>
      <c r="R1364">
        <v>3920</v>
      </c>
      <c r="S1364">
        <v>50</v>
      </c>
      <c r="T1364">
        <v>78.400000000000006</v>
      </c>
      <c r="U1364">
        <v>26</v>
      </c>
      <c r="V1364">
        <v>1396</v>
      </c>
      <c r="W1364" t="s">
        <v>121</v>
      </c>
      <c r="X1364" t="s">
        <v>1</v>
      </c>
      <c r="Y1364">
        <v>254462.88</v>
      </c>
      <c r="Z1364">
        <v>5472320</v>
      </c>
      <c r="AA1364">
        <v>109446.39999999999</v>
      </c>
      <c r="AB1364">
        <v>106</v>
      </c>
      <c r="AC1364" s="34">
        <v>46053</v>
      </c>
      <c r="AD1364" s="34">
        <v>46173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 t="s">
        <v>122</v>
      </c>
      <c r="AT1364">
        <v>2352</v>
      </c>
      <c r="AU1364">
        <v>109.37</v>
      </c>
      <c r="AV1364">
        <v>3283392</v>
      </c>
      <c r="AW1364">
        <v>152680.51999999999</v>
      </c>
    </row>
    <row r="1365" spans="1:49" x14ac:dyDescent="0.35">
      <c r="R1365" s="60"/>
      <c r="Y1365" s="60"/>
      <c r="Z1365" s="60"/>
    </row>
  </sheetData>
  <autoFilter ref="A1:AW1364" xr:uid="{97DE3AD9-0C2C-4455-90B3-C575E3F52BC9}">
    <filterColumn colId="7">
      <filters>
        <filter val="GENERAL ROCA"/>
      </filters>
    </filterColumn>
    <filterColumn colId="15">
      <filters>
        <filter val="SOJA - CAMPO DON JUAN - 344 HAS"/>
        <filter val="SOJA - CAMPO DON MIGUEL - 200 HAS"/>
        <filter val="SOJA - CAMPO GUTIERREZ - 210 HAS"/>
        <filter val="SOJA II - CAMPO DUPRAT - 255 HAS"/>
        <filter val="SOJA II - CAMPO SAN MARCELO - 100 HAS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2A85B-9DF4-454A-A140-593D4D2AF26E}">
  <dimension ref="A2:J15"/>
  <sheetViews>
    <sheetView workbookViewId="0">
      <selection activeCell="F12" sqref="F12"/>
    </sheetView>
  </sheetViews>
  <sheetFormatPr baseColWidth="10" defaultRowHeight="14.5" x14ac:dyDescent="0.35"/>
  <cols>
    <col min="1" max="1" width="11" bestFit="1" customWidth="1"/>
    <col min="3" max="5" width="15.1796875" bestFit="1" customWidth="1"/>
    <col min="6" max="7" width="11.453125" bestFit="1" customWidth="1"/>
    <col min="10" max="10" width="15.453125" customWidth="1"/>
  </cols>
  <sheetData>
    <row r="2" spans="1:10" x14ac:dyDescent="0.35">
      <c r="A2" s="39" t="s">
        <v>1906</v>
      </c>
      <c r="B2" s="40"/>
      <c r="C2" s="41"/>
      <c r="D2" s="41"/>
      <c r="E2" s="41"/>
    </row>
    <row r="3" spans="1:10" x14ac:dyDescent="0.35">
      <c r="A3" s="39" t="s">
        <v>1907</v>
      </c>
      <c r="B3" s="40"/>
      <c r="C3" s="41"/>
      <c r="D3" s="41"/>
      <c r="E3" s="41"/>
    </row>
    <row r="4" spans="1:10" x14ac:dyDescent="0.35">
      <c r="A4" s="42" t="s">
        <v>2</v>
      </c>
      <c r="B4" s="42" t="s">
        <v>1908</v>
      </c>
      <c r="C4" s="42" t="s">
        <v>1909</v>
      </c>
      <c r="D4" s="42" t="s">
        <v>1910</v>
      </c>
      <c r="E4" s="42" t="s">
        <v>1911</v>
      </c>
      <c r="F4" s="59" t="s">
        <v>1918</v>
      </c>
    </row>
    <row r="5" spans="1:10" x14ac:dyDescent="0.35">
      <c r="A5" s="43">
        <v>2025</v>
      </c>
      <c r="B5" s="44" t="s">
        <v>1912</v>
      </c>
      <c r="C5" s="45">
        <v>491527.47472614516</v>
      </c>
      <c r="D5" s="45">
        <v>492323.2</v>
      </c>
      <c r="E5" s="46">
        <v>983850.67472614511</v>
      </c>
    </row>
    <row r="6" spans="1:10" x14ac:dyDescent="0.35">
      <c r="A6" s="43">
        <v>2025</v>
      </c>
      <c r="B6" s="47" t="s">
        <v>1913</v>
      </c>
      <c r="C6" s="48">
        <v>147458.2472277639</v>
      </c>
      <c r="D6" s="48">
        <v>147696.57999999993</v>
      </c>
      <c r="E6" s="48">
        <v>295154.82722776383</v>
      </c>
    </row>
    <row r="7" spans="1:10" x14ac:dyDescent="0.35">
      <c r="A7" s="43">
        <v>2025</v>
      </c>
      <c r="B7" s="49" t="s">
        <v>1914</v>
      </c>
      <c r="C7" s="48">
        <v>270611.58566144085</v>
      </c>
      <c r="D7" s="48">
        <v>246861.17400000012</v>
      </c>
      <c r="E7" s="50">
        <v>517472.75966144097</v>
      </c>
    </row>
    <row r="8" spans="1:10" x14ac:dyDescent="0.35">
      <c r="A8" s="43">
        <v>2025</v>
      </c>
      <c r="B8" s="49" t="s">
        <v>1915</v>
      </c>
      <c r="C8" s="48">
        <v>0</v>
      </c>
      <c r="D8" s="48">
        <v>0</v>
      </c>
      <c r="E8" s="48">
        <v>0</v>
      </c>
    </row>
    <row r="9" spans="1:10" x14ac:dyDescent="0.35">
      <c r="A9" s="51">
        <v>2025</v>
      </c>
      <c r="B9" s="52" t="s">
        <v>1916</v>
      </c>
      <c r="C9" s="53">
        <v>353.91389290882773</v>
      </c>
      <c r="D9" s="54">
        <v>0</v>
      </c>
      <c r="E9" s="54">
        <v>353.91389290882773</v>
      </c>
    </row>
    <row r="10" spans="1:10" x14ac:dyDescent="0.35">
      <c r="A10" s="55">
        <v>2026</v>
      </c>
      <c r="B10" s="44" t="s">
        <v>1912</v>
      </c>
      <c r="C10" s="45">
        <v>476514.59710528597</v>
      </c>
      <c r="D10" s="45">
        <v>806622.18999999936</v>
      </c>
      <c r="E10" s="46">
        <v>1283136.7871052853</v>
      </c>
      <c r="F10" s="60">
        <f>+E10/60%</f>
        <v>2138561.3118421421</v>
      </c>
    </row>
    <row r="11" spans="1:10" x14ac:dyDescent="0.35">
      <c r="A11" s="47">
        <v>2026</v>
      </c>
      <c r="B11" s="47" t="s">
        <v>1913</v>
      </c>
      <c r="C11" s="48">
        <v>142954.38717613867</v>
      </c>
      <c r="D11" s="48">
        <v>241979.61999999985</v>
      </c>
      <c r="E11" s="48">
        <v>384934.00717613852</v>
      </c>
      <c r="F11" s="60"/>
    </row>
    <row r="12" spans="1:10" x14ac:dyDescent="0.35">
      <c r="A12" s="43">
        <v>2026</v>
      </c>
      <c r="B12" s="49" t="s">
        <v>1914</v>
      </c>
      <c r="C12" s="48">
        <v>67704.795024587147</v>
      </c>
      <c r="D12" s="48">
        <v>375653.89199999999</v>
      </c>
      <c r="E12" s="50">
        <v>443358.68702458713</v>
      </c>
      <c r="F12" s="60">
        <f>+E12/60%</f>
        <v>738931.14504097856</v>
      </c>
      <c r="G12" s="60"/>
      <c r="H12" s="61" t="e">
        <f>'25-26'!#REF!/Hoja1!G12</f>
        <v>#REF!</v>
      </c>
    </row>
    <row r="13" spans="1:10" x14ac:dyDescent="0.35">
      <c r="A13" s="43">
        <v>2026</v>
      </c>
      <c r="B13" s="49" t="s">
        <v>1915</v>
      </c>
      <c r="C13" s="48">
        <v>40023.256287988414</v>
      </c>
      <c r="D13" s="48">
        <v>44660.099999999991</v>
      </c>
      <c r="E13" s="48">
        <v>84683.356287988398</v>
      </c>
      <c r="F13" s="60">
        <f t="shared" ref="F13:F14" si="0">+E13/60%</f>
        <v>141138.92714664733</v>
      </c>
    </row>
    <row r="14" spans="1:10" x14ac:dyDescent="0.35">
      <c r="A14" s="43">
        <v>2026</v>
      </c>
      <c r="B14" s="49" t="s">
        <v>1916</v>
      </c>
      <c r="C14" s="53">
        <v>77865.90086830681</v>
      </c>
      <c r="D14" s="54">
        <v>94967</v>
      </c>
      <c r="E14" s="54">
        <v>172832.90086830681</v>
      </c>
      <c r="F14" s="60">
        <f t="shared" si="0"/>
        <v>288054.83478051139</v>
      </c>
      <c r="I14" s="60" t="e">
        <f>J14/H12</f>
        <v>#REF!</v>
      </c>
      <c r="J14" s="37">
        <v>186020487.44</v>
      </c>
    </row>
    <row r="15" spans="1:10" x14ac:dyDescent="0.35">
      <c r="A15" s="56" t="s">
        <v>1917</v>
      </c>
      <c r="B15" s="57"/>
      <c r="C15" s="58">
        <v>1715014.1579705656</v>
      </c>
      <c r="D15" s="58">
        <v>2450763.7559999996</v>
      </c>
      <c r="E15" s="58">
        <v>4165777.913970565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Hoja2</vt:lpstr>
      <vt:lpstr>25-26</vt:lpstr>
      <vt:lpstr>EMISION 31-3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Surijon, Lorena Patricia</dc:creator>
  <cp:lastModifiedBy>Rodriguez, Julian</cp:lastModifiedBy>
  <dcterms:created xsi:type="dcterms:W3CDTF">2026-04-27T14:20:27Z</dcterms:created>
  <dcterms:modified xsi:type="dcterms:W3CDTF">2026-05-11T22:11:58Z</dcterms:modified>
</cp:coreProperties>
</file>